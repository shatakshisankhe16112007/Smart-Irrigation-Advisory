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ata" sheetId="2" state="visible" r:id="rId4"/>
    <sheet name="Assumptions" sheetId="3" state="visible" r:id="rId5"/>
    <sheet name="Validation" sheetId="4" state="visible" r:id="rId6"/>
    <sheet name="Frequency" sheetId="5" state="visible" r:id="rId7"/>
    <sheet name="Descriptive" sheetId="6" state="visible" r:id="rId8"/>
    <sheet name="Correlation" sheetId="7" state="visible" r:id="rId9"/>
    <sheet name="CrossTab" sheetId="8" state="visible" r:id="rId10"/>
    <sheet name="Outliers" sheetId="9" state="visible" r:id="rId11"/>
    <sheet name="Comparison" sheetId="10" state="visible" r:id="rId12"/>
  </sheets>
  <definedNames>
    <definedName function="false" hidden="true" localSheetId="1" name="_xlnm._FilterDatabase" vbProcedure="false">Data!$A$1:$O$2201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<sst xmlns="http://schemas.openxmlformats.org/spreadsheetml/2006/main" count="11439" uniqueCount="264">
  <si>
    <t xml:space="preserve">Smart Irrigation Advisory - Statistical Report</t>
  </si>
  <si>
    <t xml:space="preserve">Dataset: Crop_recommendationV2_final.csv | all numbers below link to the analysis sheets</t>
  </si>
  <si>
    <t xml:space="preserve">Dataset overview</t>
  </si>
  <si>
    <t xml:space="preserve">Records</t>
  </si>
  <si>
    <t xml:space="preserve">Validation verdict</t>
  </si>
  <si>
    <t xml:space="preserve">Key statistics</t>
  </si>
  <si>
    <t xml:space="preserve">Variable</t>
  </si>
  <si>
    <t xml:space="preserve">Mean</t>
  </si>
  <si>
    <t xml:space="preserve">Median</t>
  </si>
  <si>
    <t xml:space="preserve">Std dev</t>
  </si>
  <si>
    <t xml:space="preserve">Min</t>
  </si>
  <si>
    <t xml:space="preserve">Max</t>
  </si>
  <si>
    <t xml:space="preserve">Q1</t>
  </si>
  <si>
    <t xml:space="preserve">Q3</t>
  </si>
  <si>
    <t xml:space="preserve">Temperature (°C)</t>
  </si>
  <si>
    <t xml:space="preserve">Rainfall (mm)</t>
  </si>
  <si>
    <t xml:space="preserve">Soil moisture (%)</t>
  </si>
  <si>
    <t xml:space="preserve">Correlations</t>
  </si>
  <si>
    <t xml:space="preserve">Pair</t>
  </si>
  <si>
    <t xml:space="preserve">r</t>
  </si>
  <si>
    <t xml:space="preserve">Strength</t>
  </si>
  <si>
    <t xml:space="preserve">p-value</t>
  </si>
  <si>
    <t xml:space="preserve">Outliers (IQR)</t>
  </si>
  <si>
    <t xml:space="preserve">Low</t>
  </si>
  <si>
    <t xml:space="preserve">High</t>
  </si>
  <si>
    <t xml:space="preserve">Total</t>
  </si>
  <si>
    <t xml:space="preserve">% of records</t>
  </si>
  <si>
    <t xml:space="preserve">Written findings</t>
  </si>
  <si>
    <t xml:space="preserve">1. Data quality: see the verdict above. No missing values, duplicates or out-of-range entries; categories and irrigation status match the thresholds on the Assumptions sheet.</t>
  </si>
  <si>
    <t xml:space="preserve">2. Soil moisture is spread almost evenly between 10% and 30% (mean 20.2%, skew -0.02); temperature is roughly symmetric (mean 25.6 °C); rainfall is right-skewed (mean 103 mm vs median 95 mm).</t>
  </si>
  <si>
    <t xml:space="preserve">3. Temperature, rainfall and soil moisture are essentially uncorrelated (all |r| &lt; 0.05). The rainfall-moisture link is detectable at n = 2,200 (p = 0.023) but explains about 0.2% of variation.</t>
  </si>
  <si>
    <t xml:space="preserve">4. Cross-tab: Low rainfall -&gt; 39% "Irrigate Now", 0% "No Irrigation"; High rainfall -&gt; 0% "Irrigate Now", 22% "No Irrigation". Chi-square p &lt; 0.001 (Cramer's V = 0.23). Temperature category is detectable (p = 0.001) but negligible in size (V = 0.06).</t>
  </si>
  <si>
    <t xml:space="preserve">5. Outliers: temperature 86 (48 hot, 38 cold), rainfall 100 (all high), soil moisture 0. They are plausible extremes, so they were kept.</t>
  </si>
  <si>
    <t xml:space="preserve">6. Group averages: moisture 14.0% / 20.7% / 27.6% and rainfall 65 / 108 / 144 mm for Irrigate Now / Monitor / No Irrigation.</t>
  </si>
  <si>
    <t xml:space="preserve">Engineering insights</t>
  </si>
  <si>
    <t xml:space="preserve">Irrigation Status is calculated from soil moisture and rainfall (Irrigate Now: moisture &lt; 18% and rainfall &lt; 100 mm; No Irrigation: moisture &gt;= 25% and rainfall &gt;= 100 mm; otherwise Monitor). All 2,200 rows follow this rule, so the link between status and those two variables is built in, not discovered.</t>
  </si>
  <si>
    <t xml:space="preserve">Between the two extreme statuses, soil moisture differs by 2.4 SD and rainfall by 1.4 SD, so moisture is the variable most closely associated with irrigation need, with rainfall second. Temperature is not in the rule and differs by only -0.26 SD.</t>
  </si>
  <si>
    <t xml:space="preserve">These are associations in a rule-labelled dataset. They do not show that moisture or rainfall cause irrigation need in a real field, and correlation alone would not justify that claim.</t>
  </si>
  <si>
    <t xml:space="preserve">Points to resolve before submission</t>
  </si>
  <si>
    <t xml:space="preserve">The GitHub README describes 20 observations and thresholds of 25/30/35% moisture. This dataset has 2,200 records, soil moisture never exceeds 30%, and the status rule uses 18% / 25% plus a 100 mm rainfall condition. Update the README or confirm which dataset the project uses.</t>
  </si>
  <si>
    <t xml:space="preserve">Soil moisture looks simulated (even spread, no link to rainfall, many decimals). Say so in the limitations. Temperature and rainfall ranges resemble the public Kaggle "Crop Recommendation" dataset, which also has 2,200 rows; I could not verify this, so check the source and cite it if it is correct.</t>
  </si>
  <si>
    <t xml:space="preserve">The decision rules are fixed thresholds (rule-based), not machine learning; describe them as a rule-based advisory system.</t>
  </si>
  <si>
    <t xml:space="preserve">temperature</t>
  </si>
  <si>
    <t xml:space="preserve">rainfall</t>
  </si>
  <si>
    <t xml:space="preserve">soil_moisture</t>
  </si>
  <si>
    <t xml:space="preserve">Temperature Category</t>
  </si>
  <si>
    <t xml:space="preserve">Rainfall Category</t>
  </si>
  <si>
    <t xml:space="preserve">Water Requirement</t>
  </si>
  <si>
    <t xml:space="preserve">Irrigation Status</t>
  </si>
  <si>
    <t xml:space="preserve">AI Recommendation</t>
  </si>
  <si>
    <t xml:space="preserve">Temp Outlier (IQR)</t>
  </si>
  <si>
    <t xml:space="preserve">Rain Outlier (IQR)</t>
  </si>
  <si>
    <t xml:space="preserve">Moisture Outlier (IQR)</t>
  </si>
  <si>
    <t xml:space="preserve">Record Key (helper)</t>
  </si>
  <si>
    <t xml:space="preserve">Duplicate Flag</t>
  </si>
  <si>
    <t xml:space="preserve">Rule-Expected Status</t>
  </si>
  <si>
    <t xml:space="preserve">Status Matches Rule</t>
  </si>
  <si>
    <t xml:space="preserve">Moderate</t>
  </si>
  <si>
    <t xml:space="preserve">No Irrigation Needed</t>
  </si>
  <si>
    <t xml:space="preserve">Do not irrigate now; soil moisture and rainfall are adequate.</t>
  </si>
  <si>
    <t xml:space="preserve">Medium</t>
  </si>
  <si>
    <t xml:space="preserve">Monitor</t>
  </si>
  <si>
    <t xml:space="preserve">Delay irrigation and monitor soil moisture after rainfall.</t>
  </si>
  <si>
    <t xml:space="preserve">Monitor soil moisture and irrigate if it drops further.</t>
  </si>
  <si>
    <t xml:space="preserve">Irrigate Now</t>
  </si>
  <si>
    <t xml:space="preserve">Irrigate now; soil moisture is low and rainfall is insufficient.</t>
  </si>
  <si>
    <t xml:space="preserve">Cool</t>
  </si>
  <si>
    <t xml:space="preserve">Hot</t>
  </si>
  <si>
    <t xml:space="preserve">Monitor closely; high temperature may increase water loss.</t>
  </si>
  <si>
    <t xml:space="preserve">Assumptions &amp; Parameters</t>
  </si>
  <si>
    <t xml:space="preserve">Blue cells are inputs. Every threshold below was INFERRED from the data (see notes) - confirm with the team. Change a value and the checks update.</t>
  </si>
  <si>
    <t xml:space="preserve">Parameter</t>
  </si>
  <si>
    <t xml:space="preserve">Value</t>
  </si>
  <si>
    <t xml:space="preserve">How it was derived</t>
  </si>
  <si>
    <t xml:space="preserve">Temperature: "Cool" if below (°C)</t>
  </si>
  <si>
    <t xml:space="preserve">Cool max = 19.97, Moderate min = 20.00 in the data</t>
  </si>
  <si>
    <t xml:space="preserve">Temperature: "Hot" if at/above (°C)</t>
  </si>
  <si>
    <t xml:space="preserve">Moderate max = 29.997, Hot min = 30.02 in the data</t>
  </si>
  <si>
    <t xml:space="preserve">Rainfall: "Low" if below (mm)</t>
  </si>
  <si>
    <t xml:space="preserve">Low max = 49.94, Moderate min = 50.02 in the data</t>
  </si>
  <si>
    <t xml:space="preserve">Rainfall: "High" if at/above (mm)</t>
  </si>
  <si>
    <t xml:space="preserve">Moderate max = 149.91, High min = 150.05 in the data</t>
  </si>
  <si>
    <t xml:space="preserve">Irrigate Now: soil moisture below (%)</t>
  </si>
  <si>
    <t xml:space="preserve">Irrigate Now moisture max = 17.99 in the data</t>
  </si>
  <si>
    <t xml:space="preserve">Irrigate Now: rainfall below (mm)</t>
  </si>
  <si>
    <t xml:space="preserve">Irrigate Now rainfall max = 99.93 in the data</t>
  </si>
  <si>
    <t xml:space="preserve">No Irrigation: soil moisture at/above (%)</t>
  </si>
  <si>
    <t xml:space="preserve">No-Irrigation moisture min = 25.01 in the data</t>
  </si>
  <si>
    <t xml:space="preserve">No Irrigation: rainfall at/above (mm)</t>
  </si>
  <si>
    <t xml:space="preserve">No-Irrigation rainfall min = 100.12 in the data</t>
  </si>
  <si>
    <t xml:space="preserve">All other rows = "Monitor". These rules reproduce Irrigation Status for 100% of the 2,200 rows (see Validation).</t>
  </si>
  <si>
    <t xml:space="preserve">Plausibility range (for validation)</t>
  </si>
  <si>
    <t xml:space="preserve">Note</t>
  </si>
  <si>
    <t xml:space="preserve">Temperature minimum (°C)</t>
  </si>
  <si>
    <t xml:space="preserve">Assumed physical limit for an agricultural region</t>
  </si>
  <si>
    <t xml:space="preserve">Temperature maximum (°C)</t>
  </si>
  <si>
    <t xml:space="preserve">Assumed physical limit</t>
  </si>
  <si>
    <t xml:space="preserve">Soil moisture minimum (%)</t>
  </si>
  <si>
    <t xml:space="preserve">A percentage cannot be below 0</t>
  </si>
  <si>
    <t xml:space="preserve">Soil moisture maximum (%)</t>
  </si>
  <si>
    <t xml:space="preserve">A percentage cannot exceed 100</t>
  </si>
  <si>
    <t xml:space="preserve">Rainfall minimum (mm)</t>
  </si>
  <si>
    <t xml:space="preserve">Rainfall cannot be negative</t>
  </si>
  <si>
    <t xml:space="preserve">Rainfall maximum (mm)</t>
  </si>
  <si>
    <t xml:space="preserve">Assumed upper limit for the rainfall measure used</t>
  </si>
  <si>
    <t xml:space="preserve">Data Validation</t>
  </si>
  <si>
    <t xml:space="preserve">Checks run BEFORE the statistics. Thresholds come from the Assumptions sheet.</t>
  </si>
  <si>
    <t xml:space="preserve">1. Completeness (missing / non-numeric)</t>
  </si>
  <si>
    <t xml:space="preserve">Column</t>
  </si>
  <si>
    <t xml:space="preserve">Expected rows</t>
  </si>
  <si>
    <t xml:space="preserve">Non-empty</t>
  </si>
  <si>
    <t xml:space="preserve">Missing</t>
  </si>
  <si>
    <t xml:space="preserve">Non-numeric</t>
  </si>
  <si>
    <t xml:space="preserve">Status</t>
  </si>
  <si>
    <t xml:space="preserve">n/a</t>
  </si>
  <si>
    <t xml:space="preserve">2. Duplicate records</t>
  </si>
  <si>
    <t xml:space="preserve">Check</t>
  </si>
  <si>
    <t xml:space="preserve">Count</t>
  </si>
  <si>
    <t xml:space="preserve">Duplicate (temperature, rainfall, soil_moisture) rows</t>
  </si>
  <si>
    <t xml:space="preserve">3. Range / plausibility</t>
  </si>
  <si>
    <t xml:space="preserve">Plausible min</t>
  </si>
  <si>
    <t xml:space="preserve">Plausible max</t>
  </si>
  <si>
    <t xml:space="preserve">Below min</t>
  </si>
  <si>
    <t xml:space="preserve">Above max</t>
  </si>
  <si>
    <t xml:space="preserve">temperature (°C)</t>
  </si>
  <si>
    <t xml:space="preserve">rainfall (mm)</t>
  </si>
  <si>
    <t xml:space="preserve">soil_moisture (%)</t>
  </si>
  <si>
    <t xml:space="preserve">4. Category labels &amp; rule consistency</t>
  </si>
  <si>
    <t xml:space="preserve">Rows affected</t>
  </si>
  <si>
    <t xml:space="preserve">Temperature Category: labels other than Cool/Moderate/Hot</t>
  </si>
  <si>
    <t xml:space="preserve">Rainfall Category: labels other than Low/Moderate/High</t>
  </si>
  <si>
    <t xml:space="preserve">Water Requirement: labels other than Low/Medium/High</t>
  </si>
  <si>
    <t xml:space="preserve">Irrigation Status: labels other than the 3 expected</t>
  </si>
  <si>
    <t xml:space="preserve">Text cells with leading/trailing spaces (5 text columns)</t>
  </si>
  <si>
    <t xml:space="preserve">Temperature Category disagrees with temperature cutoffs</t>
  </si>
  <si>
    <t xml:space="preserve">Rainfall Category disagrees with rainfall cutoffs</t>
  </si>
  <si>
    <t xml:space="preserve">Irrigation Status disagrees with the moisture + rainfall rule</t>
  </si>
  <si>
    <t xml:space="preserve">Overall verdict</t>
  </si>
  <si>
    <t xml:space="preserve">Note: soil moisture values have many decimals (e.g. 29.446...), which suggests generated rather than sensor-logged values. Not an error, but worth stating in the report.</t>
  </si>
  <si>
    <t xml:space="preserve">Grouped Frequency Distributions</t>
  </si>
  <si>
    <t xml:space="preserve">Class = lower limit &lt;= x &lt; upper limit. Blue cells (start, width) can be changed; the table rebuilds. Sturges rule for n=2,200 suggests about 12 classes.</t>
  </si>
  <si>
    <t xml:space="preserve">Start (lower limit)</t>
  </si>
  <si>
    <t xml:space="preserve">Class width</t>
  </si>
  <si>
    <t xml:space="preserve">Category</t>
  </si>
  <si>
    <t xml:space="preserve">%</t>
  </si>
  <si>
    <t xml:space="preserve">Class</t>
  </si>
  <si>
    <t xml:space="preserve">Lower</t>
  </si>
  <si>
    <t xml:space="preserve">Upper</t>
  </si>
  <si>
    <t xml:space="preserve">Midpoint</t>
  </si>
  <si>
    <t xml:space="preserve">Frequency</t>
  </si>
  <si>
    <t xml:space="preserve">Relative freq</t>
  </si>
  <si>
    <t xml:space="preserve">Cumulative freq</t>
  </si>
  <si>
    <t xml:space="preserve">Cumulative %</t>
  </si>
  <si>
    <t xml:space="preserve">Descriptive Statistics</t>
  </si>
  <si>
    <t xml:space="preserve">All values are live Excel formulas on the Data sheet. n = 2,200 records.</t>
  </si>
  <si>
    <t xml:space="preserve">Statistic</t>
  </si>
  <si>
    <t xml:space="preserve">How to read it</t>
  </si>
  <si>
    <t xml:space="preserve">Number of valid readings.</t>
  </si>
  <si>
    <t xml:space="preserve">Arithmetic average.</t>
  </si>
  <si>
    <t xml:space="preserve">Middle value; robust to extreme values. Compare with the mean to spot skew.</t>
  </si>
  <si>
    <t xml:space="preserve">Mode (raw values)</t>
  </si>
  <si>
    <t xml:space="preserve">Readings are continuous decimals, so no value repeats. Use the modal class below.</t>
  </si>
  <si>
    <t xml:space="preserve">Modal class (grouped)</t>
  </si>
  <si>
    <t xml:space="preserve">Most frequent class from the Frequency sheet (first one if tied).</t>
  </si>
  <si>
    <t xml:space="preserve">Variance (sample)</t>
  </si>
  <si>
    <t xml:space="preserve">Average squared distance from the mean, n-1 divisor.</t>
  </si>
  <si>
    <t xml:space="preserve">Variance (population)</t>
  </si>
  <si>
    <t xml:space="preserve">n divisor. Almost identical here because n is large.</t>
  </si>
  <si>
    <t xml:space="preserve">Std deviation (sample)</t>
  </si>
  <si>
    <t xml:space="preserve">Typical spread around the mean, in the original units.</t>
  </si>
  <si>
    <t xml:space="preserve">Std deviation (population)</t>
  </si>
  <si>
    <t xml:space="preserve">n divisor.</t>
  </si>
  <si>
    <t xml:space="preserve">Minimum</t>
  </si>
  <si>
    <t xml:space="preserve">Maximum</t>
  </si>
  <si>
    <t xml:space="preserve">Range</t>
  </si>
  <si>
    <t xml:space="preserve">Max - Min.</t>
  </si>
  <si>
    <t xml:space="preserve">Q1 (25th percentile)</t>
  </si>
  <si>
    <t xml:space="preserve">25% of readings fall below this.</t>
  </si>
  <si>
    <t xml:space="preserve">Q3 (75th percentile)</t>
  </si>
  <si>
    <t xml:space="preserve">75% of readings fall below this.</t>
  </si>
  <si>
    <t xml:space="preserve">IQR (Q3 - Q1)</t>
  </si>
  <si>
    <t xml:space="preserve">Spread of the middle 50%.</t>
  </si>
  <si>
    <t xml:space="preserve">Coefficient of variation</t>
  </si>
  <si>
    <t xml:space="preserve">SD relative to the mean; lets you compare spread across variables.</t>
  </si>
  <si>
    <t xml:space="preserve">Skewness</t>
  </si>
  <si>
    <t xml:space="preserve">About 0 = symmetric; &gt; 0.5 = long right tail; &lt; -0.5 = long left tail.</t>
  </si>
  <si>
    <t xml:space="preserve">Kurtosis (excess)</t>
  </si>
  <si>
    <t xml:space="preserve">0 = normal-like tails; negative = flatter than normal.</t>
  </si>
  <si>
    <t xml:space="preserve">Standard error of mean</t>
  </si>
  <si>
    <t xml:space="preserve">Uncertainty of the mean as an estimate.</t>
  </si>
  <si>
    <t xml:space="preserve">95% CI for mean - lower</t>
  </si>
  <si>
    <t xml:space="preserve">Mean - t x SE (t from TINV, 0.05, n-1).</t>
  </si>
  <si>
    <t xml:space="preserve">95% CI for mean - upper</t>
  </si>
  <si>
    <t xml:space="preserve">Mean + t x SE.</t>
  </si>
  <si>
    <t xml:space="preserve">Interpretation</t>
  </si>
  <si>
    <t xml:space="preserve">Soil moisture averages 20.15% (median 20.09%, SD 5.79) and spans almost exactly 10-30% with skewness near 0 (-0.02) and negative kurtosis (-1.22): readings are spread evenly across the range instead of clustering around a typical value.</t>
  </si>
  <si>
    <t xml:space="preserve">Temperature is roughly symmetric (mean 25.62 °C, median 25.60 °C, SD 5.06, skew 0.18). Rainfall is right-skewed (mean 103.5 mm &gt; median 94.9 mm, skew 0.97): a minority of very wet records pull the mean up, so the median describes typical rainfall better.</t>
  </si>
  <si>
    <t xml:space="preserve">Text above reflects the data at build time; re-read it if the Data sheet changes.</t>
  </si>
  <si>
    <t xml:space="preserve">Correlation Analysis</t>
  </si>
  <si>
    <t xml:space="preserve">Pearson r computed with CORREL on all 2,200 records.</t>
  </si>
  <si>
    <t xml:space="preserve">Correlation matrix</t>
  </si>
  <si>
    <t xml:space="preserve">Temperature</t>
  </si>
  <si>
    <t xml:space="preserve">Rainfall</t>
  </si>
  <si>
    <t xml:space="preserve">Soil moisture</t>
  </si>
  <si>
    <t xml:space="preserve">Pairwise detail</t>
  </si>
  <si>
    <t xml:space="preserve">r squared</t>
  </si>
  <si>
    <t xml:space="preserve">n</t>
  </si>
  <si>
    <t xml:space="preserve">t statistic</t>
  </si>
  <si>
    <t xml:space="preserve">p-value (2-tailed)</t>
  </si>
  <si>
    <t xml:space="preserve">Direction</t>
  </si>
  <si>
    <t xml:space="preserve">Temperature vs Rainfall</t>
  </si>
  <si>
    <t xml:space="preserve">Temperature vs Soil moisture</t>
  </si>
  <si>
    <t xml:space="preserve">Rainfall vs Soil moisture</t>
  </si>
  <si>
    <t xml:space="preserve">Strength labels: |r| &lt; 0.1 negligible, &lt; 0.3 weak, &lt; 0.5 moderate, &lt; 0.7 strong, otherwise very strong (common rule of thumb; stated here as an assumption).</t>
  </si>
  <si>
    <t xml:space="preserve">All three correlations are negligible (|r| &lt; 0.05). Rainfall vs soil moisture is r = -0.049 (p = 0.023): with 2,200 records even a tiny r can be "statistically significant", but r squared is only about 0.24%, so it explains almost nothing.</t>
  </si>
  <si>
    <t xml:space="preserve">In real fields, rainfall normally raises soil moisture (a clear positive r). Its absence here suggests soil moisture was not generated from rainfall, which fits a simulated or randomly assigned variable. State this as a limitation in the report.</t>
  </si>
  <si>
    <t xml:space="preserve">Correlation describes association only; it does not show that one variable causes another.</t>
  </si>
  <si>
    <t xml:space="preserve">Cross-Tabulation: category vs irrigation status</t>
  </si>
  <si>
    <t xml:space="preserve">Counts, row %, column %, and a chi-square test of independence (valid here because every expected count is large).</t>
  </si>
  <si>
    <t xml:space="preserve">A. Rainfall Category x Irrigation Status</t>
  </si>
  <si>
    <t xml:space="preserve">Counts</t>
  </si>
  <si>
    <t xml:space="preserve">Row % (share of each category that gets each status)</t>
  </si>
  <si>
    <t xml:space="preserve">Column % (makeup of each status)</t>
  </si>
  <si>
    <t xml:space="preserve">Expected counts if category and status were independent</t>
  </si>
  <si>
    <t xml:space="preserve">Chi-square statistic</t>
  </si>
  <si>
    <t xml:space="preserve">Degrees of freedom</t>
  </si>
  <si>
    <t xml:space="preserve">Cramer's V (effect size)</t>
  </si>
  <si>
    <t xml:space="preserve">Reading: 38.7% of Low-rainfall records are "Irrigate Now" and none are "No Irrigation Needed". High rainfall is the mirror image: 22.4% "No Irrigation Needed" and none "Irrigate Now". Moderate rainfall gives 22.7% / 11.7%. Chi-square = 229.2, p &lt; 0.001, Cramer's V = 0.23.</t>
  </si>
  <si>
    <t xml:space="preserve">Caution: rainfall is one of the two inputs of the irrigation rule (Assumptions sheet), so this pattern is built in by design. It confirms the rule works, not that a new relationship was discovered.</t>
  </si>
  <si>
    <t xml:space="preserve">B. Temperature Category x Irrigation Status (extra)</t>
  </si>
  <si>
    <t xml:space="preserve">Reading: temperature is NOT part of the rule. The association is statistically detectable with n = 2,200 (chi-square = 18.1, p = 0.001) but the effect size is negligible (Cramer's V = 0.06); status mix barely changes across Cool / Moderate / Hot.</t>
  </si>
  <si>
    <t xml:space="preserve">Outlier Detection (IQR method)</t>
  </si>
  <si>
    <t xml:space="preserve">Outlier if value &lt; Q1 - k x IQR or &gt; Q3 + k x IQR. Flags per record are in Data columns I-K.</t>
  </si>
  <si>
    <t xml:space="preserve">IQR multiplier (k)</t>
  </si>
  <si>
    <t xml:space="preserve">Standard Tukey fence value.</t>
  </si>
  <si>
    <t xml:space="preserve">IQR</t>
  </si>
  <si>
    <t xml:space="preserve">Lower fence</t>
  </si>
  <si>
    <t xml:space="preserve">Upper fence</t>
  </si>
  <si>
    <t xml:space="preserve"># Low outliers</t>
  </si>
  <si>
    <t xml:space="preserve"># High outliers</t>
  </si>
  <si>
    <t xml:space="preserve"># Total</t>
  </si>
  <si>
    <t xml:space="preserve">Data min</t>
  </si>
  <si>
    <t xml:space="preserve">Data max</t>
  </si>
  <si>
    <t xml:space="preserve">Temperature has 86 outliers (38 cold, 48 hot). Rainfall has 100 high outliers and no low ones, consistent with its right skew (a few very heavy-rain records). Soil moisture has none: its fences (0.1% and 40.4%) lie outside the actual 10-30% range.</t>
  </si>
  <si>
    <t xml:space="preserve">Recommendation: keep these records. The values are physically plausible extremes (see Validation range checks), not entry errors; removing them would hide real heavy-rain and heat events. Filter Data columns I-K to inspect them.</t>
  </si>
  <si>
    <t xml:space="preserve">Comparative Analysis by category</t>
  </si>
  <si>
    <t xml:space="preserve">Group averages with AVERAGEIFS; "Std diff" = (group mean - overall mean) / overall sample SD, so variables on different scales can be compared.</t>
  </si>
  <si>
    <t xml:space="preserve">A. By Irrigation Status</t>
  </si>
  <si>
    <t xml:space="preserve">N</t>
  </si>
  <si>
    <t xml:space="preserve">% of rows</t>
  </si>
  <si>
    <t xml:space="preserve">Avg moisture (%)</t>
  </si>
  <si>
    <t xml:space="preserve">Avg rainfall (mm)</t>
  </si>
  <si>
    <t xml:space="preserve">Avg temperature (°C)</t>
  </si>
  <si>
    <t xml:space="preserve">Min moisture</t>
  </si>
  <si>
    <t xml:space="preserve">Max moisture</t>
  </si>
  <si>
    <t xml:space="preserve">Min rainfall</t>
  </si>
  <si>
    <t xml:space="preserve">Max rainfall</t>
  </si>
  <si>
    <t xml:space="preserve">Std diff: moisture</t>
  </si>
  <si>
    <t xml:space="preserve">Std diff: rainfall</t>
  </si>
  <si>
    <t xml:space="preserve">Std diff: temperature</t>
  </si>
  <si>
    <t xml:space="preserve">All records</t>
  </si>
  <si>
    <t xml:space="preserve">B. By Water Requirement (extra)</t>
  </si>
  <si>
    <t xml:space="preserve">Average soil moisture rises from 14.0% (Irrigate Now) to 20.7% (Monitor) to 27.6% (No Irrigation Needed); average rainfall rises from 65 to 108 to 144 mm.</t>
  </si>
  <si>
    <t xml:space="preserve">Gap between the two extreme groups in SD units: moisture 2.35, rainfall 1.44, temperature -0.26. Temperature differs by only about 1.3 °C between groups, far less than its own spread.</t>
  </si>
</sst>
</file>

<file path=xl/styles.xml><?xml version="1.0" encoding="utf-8"?>
<styleSheet xmlns="http://schemas.openxmlformats.org/spreadsheetml/2006/main">
  <numFmts count="7">
    <numFmt numFmtId="164" formatCode="General"/>
    <numFmt numFmtId="165" formatCode="#,##0"/>
    <numFmt numFmtId="166" formatCode="0.00"/>
    <numFmt numFmtId="167" formatCode="0.000"/>
    <numFmt numFmtId="168" formatCode="0.0000"/>
    <numFmt numFmtId="169" formatCode="0.0%"/>
    <numFmt numFmtId="170"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5E3B"/>
      <name val="Arial"/>
      <family val="0"/>
      <charset val="1"/>
    </font>
    <font>
      <i val="true"/>
      <sz val="9"/>
      <color rgb="FF595959"/>
      <name val="Arial"/>
      <family val="0"/>
      <charset val="1"/>
    </font>
    <font>
      <b val="true"/>
      <sz val="11"/>
      <color rgb="FF1F5E3B"/>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8000"/>
      <name val="Arial"/>
      <family val="0"/>
      <charset val="1"/>
    </font>
    <font>
      <sz val="10"/>
      <color rgb="FF0000FF"/>
      <name val="Arial"/>
      <family val="0"/>
      <charset val="1"/>
    </font>
  </fonts>
  <fills count="5">
    <fill>
      <patternFill patternType="none"/>
    </fill>
    <fill>
      <patternFill patternType="gray125"/>
    </fill>
    <fill>
      <patternFill patternType="solid">
        <fgColor rgb="FF1F5E3B"/>
        <bgColor rgb="FF595959"/>
      </patternFill>
    </fill>
    <fill>
      <patternFill patternType="solid">
        <fgColor rgb="FFFFF9D6"/>
        <bgColor rgb="FFFFFFFF"/>
      </patternFill>
    </fill>
    <fill>
      <patternFill patternType="solid">
        <fgColor rgb="FFE8F3EC"/>
        <bgColor rgb="FFFFF9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9"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5E3B"/>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D6"/>
      <rgbColor rgb="FFE8F3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5E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4"/>
    <col collapsed="false" customWidth="true" hidden="false" outlineLevel="0" max="8" min="4"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ROWS(Data!$A$2:$A$2201)</f>
        <v>2200</v>
      </c>
    </row>
    <row r="6" customFormat="false" ht="15" hidden="false" customHeight="false" outlineLevel="0" collapsed="false">
      <c r="A6" s="4" t="s">
        <v>4</v>
      </c>
      <c r="B6" s="6" t="str">
        <f aca="false">Validation!B35</f>
        <v>PASS - no missing, duplicate, out-of-range or inconsistent entries found</v>
      </c>
    </row>
    <row r="8" customFormat="false" ht="15" hidden="false" customHeight="false" outlineLevel="0" collapsed="false">
      <c r="A8" s="3" t="s">
        <v>5</v>
      </c>
    </row>
    <row r="9" customFormat="false" ht="15" hidden="false" customHeight="false" outlineLevel="0" collapsed="false">
      <c r="A9" s="7" t="s">
        <v>6</v>
      </c>
      <c r="B9" s="7" t="s">
        <v>7</v>
      </c>
      <c r="C9" s="7" t="s">
        <v>8</v>
      </c>
      <c r="D9" s="7" t="s">
        <v>9</v>
      </c>
      <c r="E9" s="7" t="s">
        <v>10</v>
      </c>
      <c r="F9" s="7" t="s">
        <v>11</v>
      </c>
      <c r="G9" s="7" t="s">
        <v>12</v>
      </c>
      <c r="H9" s="7" t="s">
        <v>13</v>
      </c>
    </row>
    <row r="10" customFormat="false" ht="15" hidden="false" customHeight="false" outlineLevel="0" collapsed="false">
      <c r="A10" s="8" t="s">
        <v>14</v>
      </c>
      <c r="B10" s="9" t="n">
        <f aca="false">Descriptive!B6</f>
        <v>25.6162438517795</v>
      </c>
      <c r="C10" s="9" t="n">
        <f aca="false">Descriptive!B7</f>
        <v>25.5986932</v>
      </c>
      <c r="D10" s="9" t="n">
        <f aca="false">Descriptive!B12</f>
        <v>5.06374859995884</v>
      </c>
      <c r="E10" s="9" t="n">
        <f aca="false">Descriptive!B14</f>
        <v>8.825674745</v>
      </c>
      <c r="F10" s="9" t="n">
        <f aca="false">Descriptive!B15</f>
        <v>43.67549305</v>
      </c>
      <c r="G10" s="9" t="n">
        <f aca="false">Descriptive!B17</f>
        <v>22.7693746325</v>
      </c>
      <c r="H10" s="9" t="n">
        <f aca="false">Descriptive!B18</f>
        <v>28.5616539325</v>
      </c>
    </row>
    <row r="11" customFormat="false" ht="15" hidden="false" customHeight="false" outlineLevel="0" collapsed="false">
      <c r="A11" s="8" t="s">
        <v>15</v>
      </c>
      <c r="B11" s="9" t="n">
        <f aca="false">Descriptive!C6</f>
        <v>103.463655415768</v>
      </c>
      <c r="C11" s="9" t="n">
        <f aca="false">Descriptive!C7</f>
        <v>94.86762427</v>
      </c>
      <c r="D11" s="9" t="n">
        <f aca="false">Descriptive!C12</f>
        <v>54.9583885248781</v>
      </c>
      <c r="E11" s="9" t="n">
        <f aca="false">Descriptive!C14</f>
        <v>20.21126747</v>
      </c>
      <c r="F11" s="9" t="n">
        <f aca="false">Descriptive!C15</f>
        <v>298.5601175</v>
      </c>
      <c r="G11" s="9" t="n">
        <f aca="false">Descriptive!C17</f>
        <v>64.551686</v>
      </c>
      <c r="H11" s="9" t="n">
        <f aca="false">Descriptive!C18</f>
        <v>124.2675078</v>
      </c>
    </row>
    <row r="12" customFormat="false" ht="15" hidden="false" customHeight="false" outlineLevel="0" collapsed="false">
      <c r="A12" s="8" t="s">
        <v>16</v>
      </c>
      <c r="B12" s="9" t="n">
        <f aca="false">Descriptive!D6</f>
        <v>20.1513877830414</v>
      </c>
      <c r="C12" s="9" t="n">
        <f aca="false">Descriptive!D7</f>
        <v>20.0884811652008</v>
      </c>
      <c r="D12" s="9" t="n">
        <f aca="false">Descriptive!D12</f>
        <v>5.7937198252391</v>
      </c>
      <c r="E12" s="9" t="n">
        <f aca="false">Descriptive!D14</f>
        <v>10.0242604278505</v>
      </c>
      <c r="F12" s="9" t="n">
        <f aca="false">Descriptive!D15</f>
        <v>29.9978596528413</v>
      </c>
      <c r="G12" s="9" t="n">
        <f aca="false">Descriptive!D17</f>
        <v>15.1799488934697</v>
      </c>
      <c r="H12" s="9" t="n">
        <f aca="false">Descriptive!D18</f>
        <v>25.2551458211696</v>
      </c>
    </row>
    <row r="14" customFormat="false" ht="15" hidden="false" customHeight="false" outlineLevel="0" collapsed="false">
      <c r="A14" s="3" t="s">
        <v>17</v>
      </c>
    </row>
    <row r="15" customFormat="false" ht="15" hidden="false" customHeight="false" outlineLevel="0" collapsed="false">
      <c r="A15" s="7" t="s">
        <v>18</v>
      </c>
      <c r="B15" s="7" t="s">
        <v>19</v>
      </c>
      <c r="C15" s="7" t="s">
        <v>20</v>
      </c>
      <c r="D15" s="7" t="s">
        <v>21</v>
      </c>
    </row>
    <row r="16" customFormat="false" ht="15" hidden="false" customHeight="false" outlineLevel="0" collapsed="false">
      <c r="A16" s="10" t="str">
        <f aca="false">Correlation!A11</f>
        <v>Temperature vs Rainfall</v>
      </c>
      <c r="B16" s="11" t="n">
        <f aca="false">Correlation!B11</f>
        <v>-0.0300837808980414</v>
      </c>
      <c r="C16" s="10" t="str">
        <f aca="false">Correlation!G11</f>
        <v>Negligible</v>
      </c>
      <c r="D16" s="12" t="n">
        <f aca="false">Correlation!F11</f>
        <v>0.158370939453577</v>
      </c>
    </row>
    <row r="17" customFormat="false" ht="15" hidden="false" customHeight="false" outlineLevel="0" collapsed="false">
      <c r="A17" s="10" t="str">
        <f aca="false">Correlation!A12</f>
        <v>Temperature vs Soil moisture</v>
      </c>
      <c r="B17" s="11" t="n">
        <f aca="false">Correlation!B12</f>
        <v>-0.00984230800597498</v>
      </c>
      <c r="C17" s="10" t="str">
        <f aca="false">Correlation!G12</f>
        <v>Negligible</v>
      </c>
      <c r="D17" s="12" t="n">
        <f aca="false">Correlation!F12</f>
        <v>0.644515974418786</v>
      </c>
    </row>
    <row r="18" customFormat="false" ht="15" hidden="false" customHeight="false" outlineLevel="0" collapsed="false">
      <c r="A18" s="10" t="str">
        <f aca="false">Correlation!A13</f>
        <v>Rainfall vs Soil moisture</v>
      </c>
      <c r="B18" s="11" t="n">
        <f aca="false">Correlation!B13</f>
        <v>-0.0485932991249496</v>
      </c>
      <c r="C18" s="10" t="str">
        <f aca="false">Correlation!G13</f>
        <v>Negligible</v>
      </c>
      <c r="D18" s="12" t="n">
        <f aca="false">Correlation!F13</f>
        <v>0.022650491185264</v>
      </c>
    </row>
    <row r="20" customFormat="false" ht="15" hidden="false" customHeight="false" outlineLevel="0" collapsed="false">
      <c r="A20" s="3" t="s">
        <v>22</v>
      </c>
    </row>
    <row r="21" customFormat="false" ht="15" hidden="false" customHeight="false" outlineLevel="0" collapsed="false">
      <c r="A21" s="7" t="s">
        <v>6</v>
      </c>
      <c r="B21" s="7" t="s">
        <v>23</v>
      </c>
      <c r="C21" s="7" t="s">
        <v>24</v>
      </c>
      <c r="D21" s="7" t="s">
        <v>25</v>
      </c>
      <c r="E21" s="7" t="s">
        <v>26</v>
      </c>
    </row>
    <row r="22" customFormat="false" ht="15" hidden="false" customHeight="false" outlineLevel="0" collapsed="false">
      <c r="A22" s="8" t="s">
        <v>14</v>
      </c>
      <c r="B22" s="13" t="n">
        <f aca="false">Outliers!G6</f>
        <v>38</v>
      </c>
      <c r="C22" s="13" t="n">
        <f aca="false">Outliers!H6</f>
        <v>48</v>
      </c>
      <c r="D22" s="13" t="n">
        <f aca="false">Outliers!I6</f>
        <v>86</v>
      </c>
      <c r="E22" s="14" t="n">
        <f aca="false">Outliers!J6</f>
        <v>0.0390909090909091</v>
      </c>
    </row>
    <row r="23" customFormat="false" ht="15" hidden="false" customHeight="false" outlineLevel="0" collapsed="false">
      <c r="A23" s="8" t="s">
        <v>15</v>
      </c>
      <c r="B23" s="13" t="n">
        <f aca="false">Outliers!G7</f>
        <v>0</v>
      </c>
      <c r="C23" s="13" t="n">
        <f aca="false">Outliers!H7</f>
        <v>100</v>
      </c>
      <c r="D23" s="13" t="n">
        <f aca="false">Outliers!I7</f>
        <v>100</v>
      </c>
      <c r="E23" s="14" t="n">
        <f aca="false">Outliers!J7</f>
        <v>0.0454545454545455</v>
      </c>
    </row>
    <row r="24" customFormat="false" ht="15" hidden="false" customHeight="false" outlineLevel="0" collapsed="false">
      <c r="A24" s="8" t="s">
        <v>16</v>
      </c>
      <c r="B24" s="13" t="n">
        <f aca="false">Outliers!G8</f>
        <v>0</v>
      </c>
      <c r="C24" s="13" t="n">
        <f aca="false">Outliers!H8</f>
        <v>0</v>
      </c>
      <c r="D24" s="13" t="n">
        <f aca="false">Outliers!I8</f>
        <v>0</v>
      </c>
      <c r="E24" s="14" t="n">
        <f aca="false">Outliers!J8</f>
        <v>0</v>
      </c>
    </row>
    <row r="26" customFormat="false" ht="15" hidden="false" customHeight="false" outlineLevel="0" collapsed="false">
      <c r="A26" s="3" t="s">
        <v>27</v>
      </c>
    </row>
    <row r="27" customFormat="false" ht="27" hidden="false" customHeight="true" outlineLevel="0" collapsed="false">
      <c r="A27" s="15" t="s">
        <v>28</v>
      </c>
      <c r="B27" s="15"/>
      <c r="C27" s="15"/>
      <c r="D27" s="15"/>
      <c r="E27" s="15"/>
      <c r="F27" s="15"/>
      <c r="G27" s="15"/>
      <c r="H27" s="15"/>
    </row>
    <row r="28" customFormat="false" ht="27" hidden="false" customHeight="true" outlineLevel="0" collapsed="false">
      <c r="A28" s="15" t="s">
        <v>29</v>
      </c>
      <c r="B28" s="15"/>
      <c r="C28" s="15"/>
      <c r="D28" s="15"/>
      <c r="E28" s="15"/>
      <c r="F28" s="15"/>
      <c r="G28" s="15"/>
      <c r="H28" s="15"/>
    </row>
    <row r="29" customFormat="false" ht="27" hidden="false" customHeight="true" outlineLevel="0" collapsed="false">
      <c r="A29" s="15" t="s">
        <v>30</v>
      </c>
      <c r="B29" s="15"/>
      <c r="C29" s="15"/>
      <c r="D29" s="15"/>
      <c r="E29" s="15"/>
      <c r="F29" s="15"/>
      <c r="G29" s="15"/>
      <c r="H29" s="15"/>
    </row>
    <row r="30" customFormat="false" ht="40.5" hidden="false" customHeight="true" outlineLevel="0" collapsed="false">
      <c r="A30" s="15" t="s">
        <v>31</v>
      </c>
      <c r="B30" s="15"/>
      <c r="C30" s="15"/>
      <c r="D30" s="15"/>
      <c r="E30" s="15"/>
      <c r="F30" s="15"/>
      <c r="G30" s="15"/>
      <c r="H30" s="15"/>
    </row>
    <row r="31" customFormat="false" ht="27" hidden="false" customHeight="true" outlineLevel="0" collapsed="false">
      <c r="A31" s="15" t="s">
        <v>32</v>
      </c>
      <c r="B31" s="15"/>
      <c r="C31" s="15"/>
      <c r="D31" s="15"/>
      <c r="E31" s="15"/>
      <c r="F31" s="15"/>
      <c r="G31" s="15"/>
      <c r="H31" s="15"/>
    </row>
    <row r="32" customFormat="false" ht="27" hidden="false" customHeight="true" outlineLevel="0" collapsed="false">
      <c r="A32" s="15" t="s">
        <v>33</v>
      </c>
      <c r="B32" s="15"/>
      <c r="C32" s="15"/>
      <c r="D32" s="15"/>
      <c r="E32" s="15"/>
      <c r="F32" s="15"/>
      <c r="G32" s="15"/>
      <c r="H32" s="15"/>
    </row>
    <row r="34" customFormat="false" ht="15" hidden="false" customHeight="false" outlineLevel="0" collapsed="false">
      <c r="A34" s="3" t="s">
        <v>34</v>
      </c>
    </row>
    <row r="35" customFormat="false" ht="40.5" hidden="false" customHeight="true" outlineLevel="0" collapsed="false">
      <c r="A35" s="15" t="s">
        <v>35</v>
      </c>
      <c r="B35" s="15"/>
      <c r="C35" s="15"/>
      <c r="D35" s="15"/>
      <c r="E35" s="15"/>
      <c r="F35" s="15"/>
      <c r="G35" s="15"/>
      <c r="H35" s="15"/>
    </row>
    <row r="36" customFormat="false" ht="40.5" hidden="false" customHeight="true" outlineLevel="0" collapsed="false">
      <c r="A36" s="15" t="s">
        <v>36</v>
      </c>
      <c r="B36" s="15"/>
      <c r="C36" s="15"/>
      <c r="D36" s="15"/>
      <c r="E36" s="15"/>
      <c r="F36" s="15"/>
      <c r="G36" s="15"/>
      <c r="H36" s="15"/>
    </row>
    <row r="37" customFormat="false" ht="27" hidden="false" customHeight="true" outlineLevel="0" collapsed="false">
      <c r="A37" s="15" t="s">
        <v>37</v>
      </c>
      <c r="B37" s="15"/>
      <c r="C37" s="15"/>
      <c r="D37" s="15"/>
      <c r="E37" s="15"/>
      <c r="F37" s="15"/>
      <c r="G37" s="15"/>
      <c r="H37" s="15"/>
    </row>
    <row r="39" customFormat="false" ht="15" hidden="false" customHeight="false" outlineLevel="0" collapsed="false">
      <c r="A39" s="3" t="s">
        <v>38</v>
      </c>
    </row>
    <row r="40" customFormat="false" ht="40.5" hidden="false" customHeight="true" outlineLevel="0" collapsed="false">
      <c r="A40" s="15" t="s">
        <v>39</v>
      </c>
      <c r="B40" s="15"/>
      <c r="C40" s="15"/>
      <c r="D40" s="15"/>
      <c r="E40" s="15"/>
      <c r="F40" s="15"/>
      <c r="G40" s="15"/>
      <c r="H40" s="15"/>
    </row>
    <row r="41" customFormat="false" ht="40.5" hidden="false" customHeight="true" outlineLevel="0" collapsed="false">
      <c r="A41" s="15" t="s">
        <v>40</v>
      </c>
      <c r="B41" s="15"/>
      <c r="C41" s="15"/>
      <c r="D41" s="15"/>
      <c r="E41" s="15"/>
      <c r="F41" s="15"/>
      <c r="G41" s="15"/>
      <c r="H41" s="15"/>
    </row>
    <row r="42" customFormat="false" ht="27" hidden="false" customHeight="true" outlineLevel="0" collapsed="false">
      <c r="A42" s="15" t="s">
        <v>41</v>
      </c>
      <c r="B42" s="15"/>
      <c r="C42" s="15"/>
      <c r="D42" s="15"/>
      <c r="E42" s="15"/>
      <c r="F42" s="15"/>
      <c r="G42" s="15"/>
      <c r="H42" s="15"/>
    </row>
  </sheetData>
  <mergeCells count="12">
    <mergeCell ref="A27:H27"/>
    <mergeCell ref="A28:H28"/>
    <mergeCell ref="A29:H29"/>
    <mergeCell ref="A30:H30"/>
    <mergeCell ref="A31:H31"/>
    <mergeCell ref="A32:H32"/>
    <mergeCell ref="A35:H35"/>
    <mergeCell ref="A36:H36"/>
    <mergeCell ref="A37:H37"/>
    <mergeCell ref="A40:H40"/>
    <mergeCell ref="A41:H41"/>
    <mergeCell ref="A42: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6" min="4" style="0" width="14"/>
    <col collapsed="false" customWidth="true" hidden="false" outlineLevel="0" max="7" min="7" style="0" width="22"/>
    <col collapsed="false" customWidth="true" hidden="false" outlineLevel="0" max="8" min="8" style="0" width="60"/>
    <col collapsed="false" customWidth="true" hidden="false" outlineLevel="0" max="10" min="9" style="0" width="14"/>
    <col collapsed="false" customWidth="true" hidden="false" outlineLevel="0" max="11" min="11" style="0" width="16"/>
    <col collapsed="false" customWidth="true" hidden="false" outlineLevel="0" max="12" min="12" style="0" width="30"/>
    <col collapsed="false" customWidth="true" hidden="false" outlineLevel="0" max="13" min="13" style="0" width="11"/>
    <col collapsed="false" customWidth="true" hidden="false" outlineLevel="0" max="14" min="14" style="0" width="22"/>
    <col collapsed="false" customWidth="true" hidden="false" outlineLevel="0" max="15" min="15" style="0" width="13"/>
  </cols>
  <sheetData>
    <row r="1" customFormat="false" ht="30" hidden="false" customHeight="true" outlineLevel="0" collapsed="false">
      <c r="A1" s="7" t="s">
        <v>42</v>
      </c>
      <c r="B1" s="7" t="s">
        <v>43</v>
      </c>
      <c r="C1" s="7" t="s">
        <v>44</v>
      </c>
      <c r="D1" s="7" t="s">
        <v>45</v>
      </c>
      <c r="E1" s="7" t="s">
        <v>46</v>
      </c>
      <c r="F1" s="7" t="s">
        <v>47</v>
      </c>
      <c r="G1" s="7" t="s">
        <v>48</v>
      </c>
      <c r="H1" s="7" t="s">
        <v>49</v>
      </c>
      <c r="I1" s="7" t="s">
        <v>50</v>
      </c>
      <c r="J1" s="7" t="s">
        <v>51</v>
      </c>
      <c r="K1" s="7" t="s">
        <v>52</v>
      </c>
      <c r="L1" s="7" t="s">
        <v>53</v>
      </c>
      <c r="M1" s="7" t="s">
        <v>54</v>
      </c>
      <c r="N1" s="7" t="s">
        <v>55</v>
      </c>
      <c r="O1" s="7" t="s">
        <v>56</v>
      </c>
    </row>
    <row r="2" customFormat="false" ht="15" hidden="false" customHeight="false" outlineLevel="0" collapsed="false">
      <c r="A2" s="16" t="n">
        <v>20.87974371</v>
      </c>
      <c r="B2" s="16" t="n">
        <v>202.9355362</v>
      </c>
      <c r="C2" s="16" t="n">
        <v>29.4460639248291</v>
      </c>
      <c r="D2" s="6" t="s">
        <v>57</v>
      </c>
      <c r="E2" s="6" t="s">
        <v>24</v>
      </c>
      <c r="F2" s="6" t="s">
        <v>23</v>
      </c>
      <c r="G2" s="6" t="s">
        <v>58</v>
      </c>
      <c r="H2" s="6" t="s">
        <v>59</v>
      </c>
      <c r="I2" s="6" t="str">
        <f aca="false">IF(A2&lt;Outliers!$E$6,"Low",IF(A2&gt;Outliers!$F$6,"High",""))</f>
        <v/>
      </c>
      <c r="J2" s="6" t="str">
        <f aca="false">IF(B2&lt;Outliers!$E$7,"Low",IF(B2&gt;Outliers!$F$7,"High",""))</f>
        <v/>
      </c>
      <c r="K2" s="6" t="str">
        <f aca="false">IF(C2&lt;Outliers!$E$8,"Low",IF(C2&gt;Outliers!$F$8,"High",""))</f>
        <v/>
      </c>
      <c r="L2" s="6" t="str">
        <f aca="false">A2&amp;";"&amp;B2&amp;";"&amp;C2</f>
        <v>20.87974371;202.9355362;29.4460639248291</v>
      </c>
      <c r="M2" s="6" t="n">
        <f aca="false">IF(COUNTIF($L$2:$L$2201,L2)&gt;1,1,0)</f>
        <v>0</v>
      </c>
      <c r="N2" s="6" t="str">
        <f aca="false">IF(AND(C2&lt;Assumptions!$B$9,B2&lt;Assumptions!$B$10),"Irrigate Now",IF(AND(C2&gt;=Assumptions!$B$11,B2&gt;=Assumptions!$B$12),"No Irrigation Needed","Monitor"))</f>
        <v>No Irrigation Needed</v>
      </c>
      <c r="O2" s="6" t="n">
        <f aca="false">IF(N2=G2,1,0)</f>
        <v>1</v>
      </c>
    </row>
    <row r="3" customFormat="false" ht="15" hidden="false" customHeight="false" outlineLevel="0" collapsed="false">
      <c r="A3" s="16" t="n">
        <v>21.77046169</v>
      </c>
      <c r="B3" s="16" t="n">
        <v>226.6555374</v>
      </c>
      <c r="C3" s="16" t="n">
        <v>12.851182636937</v>
      </c>
      <c r="D3" s="6" t="s">
        <v>57</v>
      </c>
      <c r="E3" s="6" t="s">
        <v>24</v>
      </c>
      <c r="F3" s="6" t="s">
        <v>60</v>
      </c>
      <c r="G3" s="6" t="s">
        <v>61</v>
      </c>
      <c r="H3" s="6" t="s">
        <v>62</v>
      </c>
      <c r="I3" s="6" t="str">
        <f aca="false">IF(A3&lt;Outliers!$E$6,"Low",IF(A3&gt;Outliers!$F$6,"High",""))</f>
        <v/>
      </c>
      <c r="J3" s="6" t="str">
        <f aca="false">IF(B3&lt;Outliers!$E$7,"Low",IF(B3&gt;Outliers!$F$7,"High",""))</f>
        <v>High</v>
      </c>
      <c r="K3" s="6" t="str">
        <f aca="false">IF(C3&lt;Outliers!$E$8,"Low",IF(C3&gt;Outliers!$F$8,"High",""))</f>
        <v/>
      </c>
      <c r="L3" s="6" t="str">
        <f aca="false">A3&amp;";"&amp;B3&amp;";"&amp;C3</f>
        <v>21.77046169;226.6555374;12.851182636937</v>
      </c>
      <c r="M3" s="6" t="n">
        <f aca="false">IF(COUNTIF($L$2:$L$2201,L3)&gt;1,1,0)</f>
        <v>0</v>
      </c>
      <c r="N3" s="6" t="str">
        <f aca="false">IF(AND(C3&lt;Assumptions!$B$9,B3&lt;Assumptions!$B$10),"Irrigate Now",IF(AND(C3&gt;=Assumptions!$B$11,B3&gt;=Assumptions!$B$12),"No Irrigation Needed","Monitor"))</f>
        <v>Monitor</v>
      </c>
      <c r="O3" s="6" t="n">
        <f aca="false">IF(N3=G3,1,0)</f>
        <v>1</v>
      </c>
    </row>
    <row r="4" customFormat="false" ht="15" hidden="false" customHeight="false" outlineLevel="0" collapsed="false">
      <c r="A4" s="16" t="n">
        <v>23.00445915</v>
      </c>
      <c r="B4" s="16" t="n">
        <v>263.9642476</v>
      </c>
      <c r="C4" s="16" t="n">
        <v>29.3639128910548</v>
      </c>
      <c r="D4" s="6" t="s">
        <v>57</v>
      </c>
      <c r="E4" s="6" t="s">
        <v>24</v>
      </c>
      <c r="F4" s="6" t="s">
        <v>23</v>
      </c>
      <c r="G4" s="6" t="s">
        <v>58</v>
      </c>
      <c r="H4" s="6" t="s">
        <v>59</v>
      </c>
      <c r="I4" s="6" t="str">
        <f aca="false">IF(A4&lt;Outliers!$E$6,"Low",IF(A4&gt;Outliers!$F$6,"High",""))</f>
        <v/>
      </c>
      <c r="J4" s="6" t="str">
        <f aca="false">IF(B4&lt;Outliers!$E$7,"Low",IF(B4&gt;Outliers!$F$7,"High",""))</f>
        <v>High</v>
      </c>
      <c r="K4" s="6" t="str">
        <f aca="false">IF(C4&lt;Outliers!$E$8,"Low",IF(C4&gt;Outliers!$F$8,"High",""))</f>
        <v/>
      </c>
      <c r="L4" s="6" t="str">
        <f aca="false">A4&amp;";"&amp;B4&amp;";"&amp;C4</f>
        <v>23.00445915;263.9642476;29.3639128910548</v>
      </c>
      <c r="M4" s="6" t="n">
        <f aca="false">IF(COUNTIF($L$2:$L$2201,L4)&gt;1,1,0)</f>
        <v>0</v>
      </c>
      <c r="N4" s="6" t="str">
        <f aca="false">IF(AND(C4&lt;Assumptions!$B$9,B4&lt;Assumptions!$B$10),"Irrigate Now",IF(AND(C4&gt;=Assumptions!$B$11,B4&gt;=Assumptions!$B$12),"No Irrigation Needed","Monitor"))</f>
        <v>No Irrigation Needed</v>
      </c>
      <c r="O4" s="6" t="n">
        <f aca="false">IF(N4=G4,1,0)</f>
        <v>1</v>
      </c>
    </row>
    <row r="5" customFormat="false" ht="15" hidden="false" customHeight="false" outlineLevel="0" collapsed="false">
      <c r="A5" s="16" t="n">
        <v>26.49109635</v>
      </c>
      <c r="B5" s="16" t="n">
        <v>242.8640342</v>
      </c>
      <c r="C5" s="16" t="n">
        <v>26.2077323929988</v>
      </c>
      <c r="D5" s="6" t="s">
        <v>57</v>
      </c>
      <c r="E5" s="6" t="s">
        <v>24</v>
      </c>
      <c r="F5" s="6" t="s">
        <v>23</v>
      </c>
      <c r="G5" s="6" t="s">
        <v>58</v>
      </c>
      <c r="H5" s="6" t="s">
        <v>59</v>
      </c>
      <c r="I5" s="6" t="str">
        <f aca="false">IF(A5&lt;Outliers!$E$6,"Low",IF(A5&gt;Outliers!$F$6,"High",""))</f>
        <v/>
      </c>
      <c r="J5" s="6" t="str">
        <f aca="false">IF(B5&lt;Outliers!$E$7,"Low",IF(B5&gt;Outliers!$F$7,"High",""))</f>
        <v>High</v>
      </c>
      <c r="K5" s="6" t="str">
        <f aca="false">IF(C5&lt;Outliers!$E$8,"Low",IF(C5&gt;Outliers!$F$8,"High",""))</f>
        <v/>
      </c>
      <c r="L5" s="6" t="str">
        <f aca="false">A5&amp;";"&amp;B5&amp;";"&amp;C5</f>
        <v>26.49109635;242.8640342;26.2077323929988</v>
      </c>
      <c r="M5" s="6" t="n">
        <f aca="false">IF(COUNTIF($L$2:$L$2201,L5)&gt;1,1,0)</f>
        <v>0</v>
      </c>
      <c r="N5" s="6" t="str">
        <f aca="false">IF(AND(C5&lt;Assumptions!$B$9,B5&lt;Assumptions!$B$10),"Irrigate Now",IF(AND(C5&gt;=Assumptions!$B$11,B5&gt;=Assumptions!$B$12),"No Irrigation Needed","Monitor"))</f>
        <v>No Irrigation Needed</v>
      </c>
      <c r="O5" s="6" t="n">
        <f aca="false">IF(N5=G5,1,0)</f>
        <v>1</v>
      </c>
    </row>
    <row r="6" customFormat="false" ht="15" hidden="false" customHeight="false" outlineLevel="0" collapsed="false">
      <c r="A6" s="16" t="n">
        <v>20.13017482</v>
      </c>
      <c r="B6" s="16" t="n">
        <v>262.7173405</v>
      </c>
      <c r="C6" s="16" t="n">
        <v>28.2362361358356</v>
      </c>
      <c r="D6" s="6" t="s">
        <v>57</v>
      </c>
      <c r="E6" s="6" t="s">
        <v>24</v>
      </c>
      <c r="F6" s="6" t="s">
        <v>23</v>
      </c>
      <c r="G6" s="6" t="s">
        <v>58</v>
      </c>
      <c r="H6" s="6" t="s">
        <v>59</v>
      </c>
      <c r="I6" s="6" t="str">
        <f aca="false">IF(A6&lt;Outliers!$E$6,"Low",IF(A6&gt;Outliers!$F$6,"High",""))</f>
        <v/>
      </c>
      <c r="J6" s="6" t="str">
        <f aca="false">IF(B6&lt;Outliers!$E$7,"Low",IF(B6&gt;Outliers!$F$7,"High",""))</f>
        <v>High</v>
      </c>
      <c r="K6" s="6" t="str">
        <f aca="false">IF(C6&lt;Outliers!$E$8,"Low",IF(C6&gt;Outliers!$F$8,"High",""))</f>
        <v/>
      </c>
      <c r="L6" s="6" t="str">
        <f aca="false">A6&amp;";"&amp;B6&amp;";"&amp;C6</f>
        <v>20.13017482;262.7173405;28.2362361358356</v>
      </c>
      <c r="M6" s="6" t="n">
        <f aca="false">IF(COUNTIF($L$2:$L$2201,L6)&gt;1,1,0)</f>
        <v>0</v>
      </c>
      <c r="N6" s="6" t="str">
        <f aca="false">IF(AND(C6&lt;Assumptions!$B$9,B6&lt;Assumptions!$B$10),"Irrigate Now",IF(AND(C6&gt;=Assumptions!$B$11,B6&gt;=Assumptions!$B$12),"No Irrigation Needed","Monitor"))</f>
        <v>No Irrigation Needed</v>
      </c>
      <c r="O6" s="6" t="n">
        <f aca="false">IF(N6=G6,1,0)</f>
        <v>1</v>
      </c>
    </row>
    <row r="7" customFormat="false" ht="15" hidden="false" customHeight="false" outlineLevel="0" collapsed="false">
      <c r="A7" s="16" t="n">
        <v>23.05804872</v>
      </c>
      <c r="B7" s="16" t="n">
        <v>251.0549998</v>
      </c>
      <c r="C7" s="16" t="n">
        <v>23.6131151961422</v>
      </c>
      <c r="D7" s="6" t="s">
        <v>57</v>
      </c>
      <c r="E7" s="6" t="s">
        <v>24</v>
      </c>
      <c r="F7" s="6" t="s">
        <v>23</v>
      </c>
      <c r="G7" s="6" t="s">
        <v>61</v>
      </c>
      <c r="H7" s="6" t="s">
        <v>62</v>
      </c>
      <c r="I7" s="6" t="str">
        <f aca="false">IF(A7&lt;Outliers!$E$6,"Low",IF(A7&gt;Outliers!$F$6,"High",""))</f>
        <v/>
      </c>
      <c r="J7" s="6" t="str">
        <f aca="false">IF(B7&lt;Outliers!$E$7,"Low",IF(B7&gt;Outliers!$F$7,"High",""))</f>
        <v>High</v>
      </c>
      <c r="K7" s="6" t="str">
        <f aca="false">IF(C7&lt;Outliers!$E$8,"Low",IF(C7&gt;Outliers!$F$8,"High",""))</f>
        <v/>
      </c>
      <c r="L7" s="6" t="str">
        <f aca="false">A7&amp;";"&amp;B7&amp;";"&amp;C7</f>
        <v>23.05804872;251.0549998;23.6131151961422</v>
      </c>
      <c r="M7" s="6" t="n">
        <f aca="false">IF(COUNTIF($L$2:$L$2201,L7)&gt;1,1,0)</f>
        <v>0</v>
      </c>
      <c r="N7" s="6" t="str">
        <f aca="false">IF(AND(C7&lt;Assumptions!$B$9,B7&lt;Assumptions!$B$10),"Irrigate Now",IF(AND(C7&gt;=Assumptions!$B$11,B7&gt;=Assumptions!$B$12),"No Irrigation Needed","Monitor"))</f>
        <v>Monitor</v>
      </c>
      <c r="O7" s="6" t="n">
        <f aca="false">IF(N7=G7,1,0)</f>
        <v>1</v>
      </c>
    </row>
    <row r="8" customFormat="false" ht="15" hidden="false" customHeight="false" outlineLevel="0" collapsed="false">
      <c r="A8" s="16" t="n">
        <v>22.70883798</v>
      </c>
      <c r="B8" s="16" t="n">
        <v>271.3248604</v>
      </c>
      <c r="C8" s="16" t="n">
        <v>15.333693105309</v>
      </c>
      <c r="D8" s="6" t="s">
        <v>57</v>
      </c>
      <c r="E8" s="6" t="s">
        <v>24</v>
      </c>
      <c r="F8" s="6" t="s">
        <v>60</v>
      </c>
      <c r="G8" s="6" t="s">
        <v>61</v>
      </c>
      <c r="H8" s="6" t="s">
        <v>62</v>
      </c>
      <c r="I8" s="6" t="str">
        <f aca="false">IF(A8&lt;Outliers!$E$6,"Low",IF(A8&gt;Outliers!$F$6,"High",""))</f>
        <v/>
      </c>
      <c r="J8" s="6" t="str">
        <f aca="false">IF(B8&lt;Outliers!$E$7,"Low",IF(B8&gt;Outliers!$F$7,"High",""))</f>
        <v>High</v>
      </c>
      <c r="K8" s="6" t="str">
        <f aca="false">IF(C8&lt;Outliers!$E$8,"Low",IF(C8&gt;Outliers!$F$8,"High",""))</f>
        <v/>
      </c>
      <c r="L8" s="6" t="str">
        <f aca="false">A8&amp;";"&amp;B8&amp;";"&amp;C8</f>
        <v>22.70883798;271.3248604;15.333693105309</v>
      </c>
      <c r="M8" s="6" t="n">
        <f aca="false">IF(COUNTIF($L$2:$L$2201,L8)&gt;1,1,0)</f>
        <v>0</v>
      </c>
      <c r="N8" s="6" t="str">
        <f aca="false">IF(AND(C8&lt;Assumptions!$B$9,B8&lt;Assumptions!$B$10),"Irrigate Now",IF(AND(C8&gt;=Assumptions!$B$11,B8&gt;=Assumptions!$B$12),"No Irrigation Needed","Monitor"))</f>
        <v>Monitor</v>
      </c>
      <c r="O8" s="6" t="n">
        <f aca="false">IF(N8=G8,1,0)</f>
        <v>1</v>
      </c>
    </row>
    <row r="9" customFormat="false" ht="15" hidden="false" customHeight="false" outlineLevel="0" collapsed="false">
      <c r="A9" s="16" t="n">
        <v>20.27774362</v>
      </c>
      <c r="B9" s="16" t="n">
        <v>241.9741949</v>
      </c>
      <c r="C9" s="16" t="n">
        <v>20.8356404825321</v>
      </c>
      <c r="D9" s="6" t="s">
        <v>57</v>
      </c>
      <c r="E9" s="6" t="s">
        <v>24</v>
      </c>
      <c r="F9" s="6" t="s">
        <v>23</v>
      </c>
      <c r="G9" s="6" t="s">
        <v>61</v>
      </c>
      <c r="H9" s="6" t="s">
        <v>62</v>
      </c>
      <c r="I9" s="6" t="str">
        <f aca="false">IF(A9&lt;Outliers!$E$6,"Low",IF(A9&gt;Outliers!$F$6,"High",""))</f>
        <v/>
      </c>
      <c r="J9" s="6" t="str">
        <f aca="false">IF(B9&lt;Outliers!$E$7,"Low",IF(B9&gt;Outliers!$F$7,"High",""))</f>
        <v>High</v>
      </c>
      <c r="K9" s="6" t="str">
        <f aca="false">IF(C9&lt;Outliers!$E$8,"Low",IF(C9&gt;Outliers!$F$8,"High",""))</f>
        <v/>
      </c>
      <c r="L9" s="6" t="str">
        <f aca="false">A9&amp;";"&amp;B9&amp;";"&amp;C9</f>
        <v>20.27774362;241.9741949;20.8356404825321</v>
      </c>
      <c r="M9" s="6" t="n">
        <f aca="false">IF(COUNTIF($L$2:$L$2201,L9)&gt;1,1,0)</f>
        <v>0</v>
      </c>
      <c r="N9" s="6" t="str">
        <f aca="false">IF(AND(C9&lt;Assumptions!$B$9,B9&lt;Assumptions!$B$10),"Irrigate Now",IF(AND(C9&gt;=Assumptions!$B$11,B9&gt;=Assumptions!$B$12),"No Irrigation Needed","Monitor"))</f>
        <v>Monitor</v>
      </c>
      <c r="O9" s="6" t="n">
        <f aca="false">IF(N9=G9,1,0)</f>
        <v>1</v>
      </c>
    </row>
    <row r="10" customFormat="false" ht="15" hidden="false" customHeight="false" outlineLevel="0" collapsed="false">
      <c r="A10" s="16" t="n">
        <v>24.51588066</v>
      </c>
      <c r="B10" s="16" t="n">
        <v>230.4462359</v>
      </c>
      <c r="C10" s="16" t="n">
        <v>26.6406557684007</v>
      </c>
      <c r="D10" s="6" t="s">
        <v>57</v>
      </c>
      <c r="E10" s="6" t="s">
        <v>24</v>
      </c>
      <c r="F10" s="6" t="s">
        <v>23</v>
      </c>
      <c r="G10" s="6" t="s">
        <v>58</v>
      </c>
      <c r="H10" s="6" t="s">
        <v>59</v>
      </c>
      <c r="I10" s="6" t="str">
        <f aca="false">IF(A10&lt;Outliers!$E$6,"Low",IF(A10&gt;Outliers!$F$6,"High",""))</f>
        <v/>
      </c>
      <c r="J10" s="6" t="str">
        <f aca="false">IF(B10&lt;Outliers!$E$7,"Low",IF(B10&gt;Outliers!$F$7,"High",""))</f>
        <v>High</v>
      </c>
      <c r="K10" s="6" t="str">
        <f aca="false">IF(C10&lt;Outliers!$E$8,"Low",IF(C10&gt;Outliers!$F$8,"High",""))</f>
        <v/>
      </c>
      <c r="L10" s="6" t="str">
        <f aca="false">A10&amp;";"&amp;B10&amp;";"&amp;C10</f>
        <v>24.51588066;230.4462359;26.6406557684007</v>
      </c>
      <c r="M10" s="6" t="n">
        <f aca="false">IF(COUNTIF($L$2:$L$2201,L10)&gt;1,1,0)</f>
        <v>0</v>
      </c>
      <c r="N10" s="6" t="str">
        <f aca="false">IF(AND(C10&lt;Assumptions!$B$9,B10&lt;Assumptions!$B$10),"Irrigate Now",IF(AND(C10&gt;=Assumptions!$B$11,B10&gt;=Assumptions!$B$12),"No Irrigation Needed","Monitor"))</f>
        <v>No Irrigation Needed</v>
      </c>
      <c r="O10" s="6" t="n">
        <f aca="false">IF(N10=G10,1,0)</f>
        <v>1</v>
      </c>
    </row>
    <row r="11" customFormat="false" ht="15" hidden="false" customHeight="false" outlineLevel="0" collapsed="false">
      <c r="A11" s="16" t="n">
        <v>23.22397386</v>
      </c>
      <c r="B11" s="16" t="n">
        <v>221.2091958</v>
      </c>
      <c r="C11" s="16" t="n">
        <v>24.3688529174328</v>
      </c>
      <c r="D11" s="6" t="s">
        <v>57</v>
      </c>
      <c r="E11" s="6" t="s">
        <v>24</v>
      </c>
      <c r="F11" s="6" t="s">
        <v>23</v>
      </c>
      <c r="G11" s="6" t="s">
        <v>61</v>
      </c>
      <c r="H11" s="6" t="s">
        <v>62</v>
      </c>
      <c r="I11" s="6" t="str">
        <f aca="false">IF(A11&lt;Outliers!$E$6,"Low",IF(A11&gt;Outliers!$F$6,"High",""))</f>
        <v/>
      </c>
      <c r="J11" s="6" t="str">
        <f aca="false">IF(B11&lt;Outliers!$E$7,"Low",IF(B11&gt;Outliers!$F$7,"High",""))</f>
        <v>High</v>
      </c>
      <c r="K11" s="6" t="str">
        <f aca="false">IF(C11&lt;Outliers!$E$8,"Low",IF(C11&gt;Outliers!$F$8,"High",""))</f>
        <v/>
      </c>
      <c r="L11" s="6" t="str">
        <f aca="false">A11&amp;";"&amp;B11&amp;";"&amp;C11</f>
        <v>23.22397386;221.2091958;24.3688529174328</v>
      </c>
      <c r="M11" s="6" t="n">
        <f aca="false">IF(COUNTIF($L$2:$L$2201,L11)&gt;1,1,0)</f>
        <v>0</v>
      </c>
      <c r="N11" s="6" t="str">
        <f aca="false">IF(AND(C11&lt;Assumptions!$B$9,B11&lt;Assumptions!$B$10),"Irrigate Now",IF(AND(C11&gt;=Assumptions!$B$11,B11&gt;=Assumptions!$B$12),"No Irrigation Needed","Monitor"))</f>
        <v>Monitor</v>
      </c>
      <c r="O11" s="6" t="n">
        <f aca="false">IF(N11=G11,1,0)</f>
        <v>1</v>
      </c>
    </row>
    <row r="12" customFormat="false" ht="15" hidden="false" customHeight="false" outlineLevel="0" collapsed="false">
      <c r="A12" s="16" t="n">
        <v>26.52723513</v>
      </c>
      <c r="B12" s="16" t="n">
        <v>264.6148697</v>
      </c>
      <c r="C12" s="16" t="n">
        <v>20.4591457410829</v>
      </c>
      <c r="D12" s="6" t="s">
        <v>57</v>
      </c>
      <c r="E12" s="6" t="s">
        <v>24</v>
      </c>
      <c r="F12" s="6" t="s">
        <v>23</v>
      </c>
      <c r="G12" s="6" t="s">
        <v>61</v>
      </c>
      <c r="H12" s="6" t="s">
        <v>62</v>
      </c>
      <c r="I12" s="6" t="str">
        <f aca="false">IF(A12&lt;Outliers!$E$6,"Low",IF(A12&gt;Outliers!$F$6,"High",""))</f>
        <v/>
      </c>
      <c r="J12" s="6" t="str">
        <f aca="false">IF(B12&lt;Outliers!$E$7,"Low",IF(B12&gt;Outliers!$F$7,"High",""))</f>
        <v>High</v>
      </c>
      <c r="K12" s="6" t="str">
        <f aca="false">IF(C12&lt;Outliers!$E$8,"Low",IF(C12&gt;Outliers!$F$8,"High",""))</f>
        <v/>
      </c>
      <c r="L12" s="6" t="str">
        <f aca="false">A12&amp;";"&amp;B12&amp;";"&amp;C12</f>
        <v>26.52723513;264.6148697;20.4591457410829</v>
      </c>
      <c r="M12" s="6" t="n">
        <f aca="false">IF(COUNTIF($L$2:$L$2201,L12)&gt;1,1,0)</f>
        <v>0</v>
      </c>
      <c r="N12" s="6" t="str">
        <f aca="false">IF(AND(C12&lt;Assumptions!$B$9,B12&lt;Assumptions!$B$10),"Irrigate Now",IF(AND(C12&gt;=Assumptions!$B$11,B12&gt;=Assumptions!$B$12),"No Irrigation Needed","Monitor"))</f>
        <v>Monitor</v>
      </c>
      <c r="O12" s="6" t="n">
        <f aca="false">IF(N12=G12,1,0)</f>
        <v>1</v>
      </c>
    </row>
    <row r="13" customFormat="false" ht="15" hidden="false" customHeight="false" outlineLevel="0" collapsed="false">
      <c r="A13" s="16" t="n">
        <v>23.97898217</v>
      </c>
      <c r="B13" s="16" t="n">
        <v>250.0832336</v>
      </c>
      <c r="C13" s="16" t="n">
        <v>15.4046004460179</v>
      </c>
      <c r="D13" s="6" t="s">
        <v>57</v>
      </c>
      <c r="E13" s="6" t="s">
        <v>24</v>
      </c>
      <c r="F13" s="6" t="s">
        <v>60</v>
      </c>
      <c r="G13" s="6" t="s">
        <v>61</v>
      </c>
      <c r="H13" s="6" t="s">
        <v>62</v>
      </c>
      <c r="I13" s="6" t="str">
        <f aca="false">IF(A13&lt;Outliers!$E$6,"Low",IF(A13&gt;Outliers!$F$6,"High",""))</f>
        <v/>
      </c>
      <c r="J13" s="6" t="str">
        <f aca="false">IF(B13&lt;Outliers!$E$7,"Low",IF(B13&gt;Outliers!$F$7,"High",""))</f>
        <v>High</v>
      </c>
      <c r="K13" s="6" t="str">
        <f aca="false">IF(C13&lt;Outliers!$E$8,"Low",IF(C13&gt;Outliers!$F$8,"High",""))</f>
        <v/>
      </c>
      <c r="L13" s="6" t="str">
        <f aca="false">A13&amp;";"&amp;B13&amp;";"&amp;C13</f>
        <v>23.97898217;250.0832336;15.4046004460179</v>
      </c>
      <c r="M13" s="6" t="n">
        <f aca="false">IF(COUNTIF($L$2:$L$2201,L13)&gt;1,1,0)</f>
        <v>0</v>
      </c>
      <c r="N13" s="6" t="str">
        <f aca="false">IF(AND(C13&lt;Assumptions!$B$9,B13&lt;Assumptions!$B$10),"Irrigate Now",IF(AND(C13&gt;=Assumptions!$B$11,B13&gt;=Assumptions!$B$12),"No Irrigation Needed","Monitor"))</f>
        <v>Monitor</v>
      </c>
      <c r="O13" s="6" t="n">
        <f aca="false">IF(N13=G13,1,0)</f>
        <v>1</v>
      </c>
    </row>
    <row r="14" customFormat="false" ht="15" hidden="false" customHeight="false" outlineLevel="0" collapsed="false">
      <c r="A14" s="16" t="n">
        <v>26.80079604</v>
      </c>
      <c r="B14" s="16" t="n">
        <v>284.4364567</v>
      </c>
      <c r="C14" s="16" t="n">
        <v>15.696490757525</v>
      </c>
      <c r="D14" s="6" t="s">
        <v>57</v>
      </c>
      <c r="E14" s="6" t="s">
        <v>24</v>
      </c>
      <c r="F14" s="6" t="s">
        <v>23</v>
      </c>
      <c r="G14" s="6" t="s">
        <v>61</v>
      </c>
      <c r="H14" s="6" t="s">
        <v>62</v>
      </c>
      <c r="I14" s="6" t="str">
        <f aca="false">IF(A14&lt;Outliers!$E$6,"Low",IF(A14&gt;Outliers!$F$6,"High",""))</f>
        <v/>
      </c>
      <c r="J14" s="6" t="str">
        <f aca="false">IF(B14&lt;Outliers!$E$7,"Low",IF(B14&gt;Outliers!$F$7,"High",""))</f>
        <v>High</v>
      </c>
      <c r="K14" s="6" t="str">
        <f aca="false">IF(C14&lt;Outliers!$E$8,"Low",IF(C14&gt;Outliers!$F$8,"High",""))</f>
        <v/>
      </c>
      <c r="L14" s="6" t="str">
        <f aca="false">A14&amp;";"&amp;B14&amp;";"&amp;C14</f>
        <v>26.80079604;284.4364567;15.696490757525</v>
      </c>
      <c r="M14" s="6" t="n">
        <f aca="false">IF(COUNTIF($L$2:$L$2201,L14)&gt;1,1,0)</f>
        <v>0</v>
      </c>
      <c r="N14" s="6" t="str">
        <f aca="false">IF(AND(C14&lt;Assumptions!$B$9,B14&lt;Assumptions!$B$10),"Irrigate Now",IF(AND(C14&gt;=Assumptions!$B$11,B14&gt;=Assumptions!$B$12),"No Irrigation Needed","Monitor"))</f>
        <v>Monitor</v>
      </c>
      <c r="O14" s="6" t="n">
        <f aca="false">IF(N14=G14,1,0)</f>
        <v>1</v>
      </c>
    </row>
    <row r="15" customFormat="false" ht="15" hidden="false" customHeight="false" outlineLevel="0" collapsed="false">
      <c r="A15" s="16" t="n">
        <v>24.01497622</v>
      </c>
      <c r="B15" s="16" t="n">
        <v>185.2773389</v>
      </c>
      <c r="C15" s="16" t="n">
        <v>18.1022995609758</v>
      </c>
      <c r="D15" s="6" t="s">
        <v>57</v>
      </c>
      <c r="E15" s="6" t="s">
        <v>24</v>
      </c>
      <c r="F15" s="6" t="s">
        <v>60</v>
      </c>
      <c r="G15" s="6" t="s">
        <v>61</v>
      </c>
      <c r="H15" s="6" t="s">
        <v>62</v>
      </c>
      <c r="I15" s="6" t="str">
        <f aca="false">IF(A15&lt;Outliers!$E$6,"Low",IF(A15&gt;Outliers!$F$6,"High",""))</f>
        <v/>
      </c>
      <c r="J15" s="6" t="str">
        <f aca="false">IF(B15&lt;Outliers!$E$7,"Low",IF(B15&gt;Outliers!$F$7,"High",""))</f>
        <v/>
      </c>
      <c r="K15" s="6" t="str">
        <f aca="false">IF(C15&lt;Outliers!$E$8,"Low",IF(C15&gt;Outliers!$F$8,"High",""))</f>
        <v/>
      </c>
      <c r="L15" s="6" t="str">
        <f aca="false">A15&amp;";"&amp;B15&amp;";"&amp;C15</f>
        <v>24.01497622;185.2773389;18.1022995609758</v>
      </c>
      <c r="M15" s="6" t="n">
        <f aca="false">IF(COUNTIF($L$2:$L$2201,L15)&gt;1,1,0)</f>
        <v>0</v>
      </c>
      <c r="N15" s="6" t="str">
        <f aca="false">IF(AND(C15&lt;Assumptions!$B$9,B15&lt;Assumptions!$B$10),"Irrigate Now",IF(AND(C15&gt;=Assumptions!$B$11,B15&gt;=Assumptions!$B$12),"No Irrigation Needed","Monitor"))</f>
        <v>Monitor</v>
      </c>
      <c r="O15" s="6" t="n">
        <f aca="false">IF(N15=G15,1,0)</f>
        <v>1</v>
      </c>
    </row>
    <row r="16" customFormat="false" ht="15" hidden="false" customHeight="false" outlineLevel="0" collapsed="false">
      <c r="A16" s="16" t="n">
        <v>25.66585205</v>
      </c>
      <c r="B16" s="16" t="n">
        <v>209.5869708</v>
      </c>
      <c r="C16" s="16" t="n">
        <v>19.742522826826</v>
      </c>
      <c r="D16" s="6" t="s">
        <v>57</v>
      </c>
      <c r="E16" s="6" t="s">
        <v>24</v>
      </c>
      <c r="F16" s="6" t="s">
        <v>23</v>
      </c>
      <c r="G16" s="6" t="s">
        <v>61</v>
      </c>
      <c r="H16" s="6" t="s">
        <v>62</v>
      </c>
      <c r="I16" s="6" t="str">
        <f aca="false">IF(A16&lt;Outliers!$E$6,"Low",IF(A16&gt;Outliers!$F$6,"High",""))</f>
        <v/>
      </c>
      <c r="J16" s="6" t="str">
        <f aca="false">IF(B16&lt;Outliers!$E$7,"Low",IF(B16&gt;Outliers!$F$7,"High",""))</f>
        <v/>
      </c>
      <c r="K16" s="6" t="str">
        <f aca="false">IF(C16&lt;Outliers!$E$8,"Low",IF(C16&gt;Outliers!$F$8,"High",""))</f>
        <v/>
      </c>
      <c r="L16" s="6" t="str">
        <f aca="false">A16&amp;";"&amp;B16&amp;";"&amp;C16</f>
        <v>25.66585205;209.5869708;19.742522826826</v>
      </c>
      <c r="M16" s="6" t="n">
        <f aca="false">IF(COUNTIF($L$2:$L$2201,L16)&gt;1,1,0)</f>
        <v>0</v>
      </c>
      <c r="N16" s="6" t="str">
        <f aca="false">IF(AND(C16&lt;Assumptions!$B$9,B16&lt;Assumptions!$B$10),"Irrigate Now",IF(AND(C16&gt;=Assumptions!$B$11,B16&gt;=Assumptions!$B$12),"No Irrigation Needed","Monitor"))</f>
        <v>Monitor</v>
      </c>
      <c r="O16" s="6" t="n">
        <f aca="false">IF(N16=G16,1,0)</f>
        <v>1</v>
      </c>
    </row>
    <row r="17" customFormat="false" ht="15" hidden="false" customHeight="false" outlineLevel="0" collapsed="false">
      <c r="A17" s="16" t="n">
        <v>24.28209415</v>
      </c>
      <c r="B17" s="16" t="n">
        <v>231.0863347</v>
      </c>
      <c r="C17" s="16" t="n">
        <v>23.3451145111718</v>
      </c>
      <c r="D17" s="6" t="s">
        <v>57</v>
      </c>
      <c r="E17" s="6" t="s">
        <v>24</v>
      </c>
      <c r="F17" s="6" t="s">
        <v>23</v>
      </c>
      <c r="G17" s="6" t="s">
        <v>61</v>
      </c>
      <c r="H17" s="6" t="s">
        <v>62</v>
      </c>
      <c r="I17" s="6" t="str">
        <f aca="false">IF(A17&lt;Outliers!$E$6,"Low",IF(A17&gt;Outliers!$F$6,"High",""))</f>
        <v/>
      </c>
      <c r="J17" s="6" t="str">
        <f aca="false">IF(B17&lt;Outliers!$E$7,"Low",IF(B17&gt;Outliers!$F$7,"High",""))</f>
        <v>High</v>
      </c>
      <c r="K17" s="6" t="str">
        <f aca="false">IF(C17&lt;Outliers!$E$8,"Low",IF(C17&gt;Outliers!$F$8,"High",""))</f>
        <v/>
      </c>
      <c r="L17" s="6" t="str">
        <f aca="false">A17&amp;";"&amp;B17&amp;";"&amp;C17</f>
        <v>24.28209415;231.0863347;23.3451145111718</v>
      </c>
      <c r="M17" s="6" t="n">
        <f aca="false">IF(COUNTIF($L$2:$L$2201,L17)&gt;1,1,0)</f>
        <v>0</v>
      </c>
      <c r="N17" s="6" t="str">
        <f aca="false">IF(AND(C17&lt;Assumptions!$B$9,B17&lt;Assumptions!$B$10),"Irrigate Now",IF(AND(C17&gt;=Assumptions!$B$11,B17&gt;=Assumptions!$B$12),"No Irrigation Needed","Monitor"))</f>
        <v>Monitor</v>
      </c>
      <c r="O17" s="6" t="n">
        <f aca="false">IF(N17=G17,1,0)</f>
        <v>1</v>
      </c>
    </row>
    <row r="18" customFormat="false" ht="15" hidden="false" customHeight="false" outlineLevel="0" collapsed="false">
      <c r="A18" s="16" t="n">
        <v>21.58711777</v>
      </c>
      <c r="B18" s="16" t="n">
        <v>276.6552459</v>
      </c>
      <c r="C18" s="16" t="n">
        <v>12.2878430103484</v>
      </c>
      <c r="D18" s="6" t="s">
        <v>57</v>
      </c>
      <c r="E18" s="6" t="s">
        <v>24</v>
      </c>
      <c r="F18" s="6" t="s">
        <v>60</v>
      </c>
      <c r="G18" s="6" t="s">
        <v>61</v>
      </c>
      <c r="H18" s="6" t="s">
        <v>62</v>
      </c>
      <c r="I18" s="6" t="str">
        <f aca="false">IF(A18&lt;Outliers!$E$6,"Low",IF(A18&gt;Outliers!$F$6,"High",""))</f>
        <v/>
      </c>
      <c r="J18" s="6" t="str">
        <f aca="false">IF(B18&lt;Outliers!$E$7,"Low",IF(B18&gt;Outliers!$F$7,"High",""))</f>
        <v>High</v>
      </c>
      <c r="K18" s="6" t="str">
        <f aca="false">IF(C18&lt;Outliers!$E$8,"Low",IF(C18&gt;Outliers!$F$8,"High",""))</f>
        <v/>
      </c>
      <c r="L18" s="6" t="str">
        <f aca="false">A18&amp;";"&amp;B18&amp;";"&amp;C18</f>
        <v>21.58711777;276.6552459;12.2878430103484</v>
      </c>
      <c r="M18" s="6" t="n">
        <f aca="false">IF(COUNTIF($L$2:$L$2201,L18)&gt;1,1,0)</f>
        <v>0</v>
      </c>
      <c r="N18" s="6" t="str">
        <f aca="false">IF(AND(C18&lt;Assumptions!$B$9,B18&lt;Assumptions!$B$10),"Irrigate Now",IF(AND(C18&gt;=Assumptions!$B$11,B18&gt;=Assumptions!$B$12),"No Irrigation Needed","Monitor"))</f>
        <v>Monitor</v>
      </c>
      <c r="O18" s="6" t="n">
        <f aca="false">IF(N18=G18,1,0)</f>
        <v>1</v>
      </c>
    </row>
    <row r="19" customFormat="false" ht="15" hidden="false" customHeight="false" outlineLevel="0" collapsed="false">
      <c r="A19" s="16" t="n">
        <v>23.79391957</v>
      </c>
      <c r="B19" s="16" t="n">
        <v>206.2611855</v>
      </c>
      <c r="C19" s="16" t="n">
        <v>20.5055290469997</v>
      </c>
      <c r="D19" s="6" t="s">
        <v>57</v>
      </c>
      <c r="E19" s="6" t="s">
        <v>24</v>
      </c>
      <c r="F19" s="6" t="s">
        <v>23</v>
      </c>
      <c r="G19" s="6" t="s">
        <v>61</v>
      </c>
      <c r="H19" s="6" t="s">
        <v>62</v>
      </c>
      <c r="I19" s="6" t="str">
        <f aca="false">IF(A19&lt;Outliers!$E$6,"Low",IF(A19&gt;Outliers!$F$6,"High",""))</f>
        <v/>
      </c>
      <c r="J19" s="6" t="str">
        <f aca="false">IF(B19&lt;Outliers!$E$7,"Low",IF(B19&gt;Outliers!$F$7,"High",""))</f>
        <v/>
      </c>
      <c r="K19" s="6" t="str">
        <f aca="false">IF(C19&lt;Outliers!$E$8,"Low",IF(C19&gt;Outliers!$F$8,"High",""))</f>
        <v/>
      </c>
      <c r="L19" s="6" t="str">
        <f aca="false">A19&amp;";"&amp;B19&amp;";"&amp;C19</f>
        <v>23.79391957;206.2611855;20.5055290469997</v>
      </c>
      <c r="M19" s="6" t="n">
        <f aca="false">IF(COUNTIF($L$2:$L$2201,L19)&gt;1,1,0)</f>
        <v>0</v>
      </c>
      <c r="N19" s="6" t="str">
        <f aca="false">IF(AND(C19&lt;Assumptions!$B$9,B19&lt;Assumptions!$B$10),"Irrigate Now",IF(AND(C19&gt;=Assumptions!$B$11,B19&gt;=Assumptions!$B$12),"No Irrigation Needed","Monitor"))</f>
        <v>Monitor</v>
      </c>
      <c r="O19" s="6" t="n">
        <f aca="false">IF(N19=G19,1,0)</f>
        <v>1</v>
      </c>
    </row>
    <row r="20" customFormat="false" ht="15" hidden="false" customHeight="false" outlineLevel="0" collapsed="false">
      <c r="A20" s="16" t="n">
        <v>21.8652524</v>
      </c>
      <c r="B20" s="16" t="n">
        <v>224.5550169</v>
      </c>
      <c r="C20" s="16" t="n">
        <v>19.8629777113258</v>
      </c>
      <c r="D20" s="6" t="s">
        <v>57</v>
      </c>
      <c r="E20" s="6" t="s">
        <v>24</v>
      </c>
      <c r="F20" s="6" t="s">
        <v>23</v>
      </c>
      <c r="G20" s="6" t="s">
        <v>61</v>
      </c>
      <c r="H20" s="6" t="s">
        <v>62</v>
      </c>
      <c r="I20" s="6" t="str">
        <f aca="false">IF(A20&lt;Outliers!$E$6,"Low",IF(A20&gt;Outliers!$F$6,"High",""))</f>
        <v/>
      </c>
      <c r="J20" s="6" t="str">
        <f aca="false">IF(B20&lt;Outliers!$E$7,"Low",IF(B20&gt;Outliers!$F$7,"High",""))</f>
        <v>High</v>
      </c>
      <c r="K20" s="6" t="str">
        <f aca="false">IF(C20&lt;Outliers!$E$8,"Low",IF(C20&gt;Outliers!$F$8,"High",""))</f>
        <v/>
      </c>
      <c r="L20" s="6" t="str">
        <f aca="false">A20&amp;";"&amp;B20&amp;";"&amp;C20</f>
        <v>21.8652524;224.5550169;19.8629777113258</v>
      </c>
      <c r="M20" s="6" t="n">
        <f aca="false">IF(COUNTIF($L$2:$L$2201,L20)&gt;1,1,0)</f>
        <v>0</v>
      </c>
      <c r="N20" s="6" t="str">
        <f aca="false">IF(AND(C20&lt;Assumptions!$B$9,B20&lt;Assumptions!$B$10),"Irrigate Now",IF(AND(C20&gt;=Assumptions!$B$11,B20&gt;=Assumptions!$B$12),"No Irrigation Needed","Monitor"))</f>
        <v>Monitor</v>
      </c>
      <c r="O20" s="6" t="n">
        <f aca="false">IF(N20=G20,1,0)</f>
        <v>1</v>
      </c>
    </row>
    <row r="21" customFormat="false" ht="15" hidden="false" customHeight="false" outlineLevel="0" collapsed="false">
      <c r="A21" s="16" t="n">
        <v>23.57943626</v>
      </c>
      <c r="B21" s="16" t="n">
        <v>291.2986618</v>
      </c>
      <c r="C21" s="16" t="n">
        <v>25.7510065726386</v>
      </c>
      <c r="D21" s="6" t="s">
        <v>57</v>
      </c>
      <c r="E21" s="6" t="s">
        <v>24</v>
      </c>
      <c r="F21" s="6" t="s">
        <v>23</v>
      </c>
      <c r="G21" s="6" t="s">
        <v>58</v>
      </c>
      <c r="H21" s="6" t="s">
        <v>59</v>
      </c>
      <c r="I21" s="6" t="str">
        <f aca="false">IF(A21&lt;Outliers!$E$6,"Low",IF(A21&gt;Outliers!$F$6,"High",""))</f>
        <v/>
      </c>
      <c r="J21" s="6" t="str">
        <f aca="false">IF(B21&lt;Outliers!$E$7,"Low",IF(B21&gt;Outliers!$F$7,"High",""))</f>
        <v>High</v>
      </c>
      <c r="K21" s="6" t="str">
        <f aca="false">IF(C21&lt;Outliers!$E$8,"Low",IF(C21&gt;Outliers!$F$8,"High",""))</f>
        <v/>
      </c>
      <c r="L21" s="6" t="str">
        <f aca="false">A21&amp;";"&amp;B21&amp;";"&amp;C21</f>
        <v>23.57943626;291.2986618;25.7510065726386</v>
      </c>
      <c r="M21" s="6" t="n">
        <f aca="false">IF(COUNTIF($L$2:$L$2201,L21)&gt;1,1,0)</f>
        <v>0</v>
      </c>
      <c r="N21" s="6" t="str">
        <f aca="false">IF(AND(C21&lt;Assumptions!$B$9,B21&lt;Assumptions!$B$10),"Irrigate Now",IF(AND(C21&gt;=Assumptions!$B$11,B21&gt;=Assumptions!$B$12),"No Irrigation Needed","Monitor"))</f>
        <v>No Irrigation Needed</v>
      </c>
      <c r="O21" s="6" t="n">
        <f aca="false">IF(N21=G21,1,0)</f>
        <v>1</v>
      </c>
    </row>
    <row r="22" customFormat="false" ht="15" hidden="false" customHeight="false" outlineLevel="0" collapsed="false">
      <c r="A22" s="16" t="n">
        <v>21.32504158</v>
      </c>
      <c r="B22" s="16" t="n">
        <v>185.4974732</v>
      </c>
      <c r="C22" s="16" t="n">
        <v>17.8509557911977</v>
      </c>
      <c r="D22" s="6" t="s">
        <v>57</v>
      </c>
      <c r="E22" s="6" t="s">
        <v>24</v>
      </c>
      <c r="F22" s="6" t="s">
        <v>60</v>
      </c>
      <c r="G22" s="6" t="s">
        <v>61</v>
      </c>
      <c r="H22" s="6" t="s">
        <v>62</v>
      </c>
      <c r="I22" s="6" t="str">
        <f aca="false">IF(A22&lt;Outliers!$E$6,"Low",IF(A22&gt;Outliers!$F$6,"High",""))</f>
        <v/>
      </c>
      <c r="J22" s="6" t="str">
        <f aca="false">IF(B22&lt;Outliers!$E$7,"Low",IF(B22&gt;Outliers!$F$7,"High",""))</f>
        <v/>
      </c>
      <c r="K22" s="6" t="str">
        <f aca="false">IF(C22&lt;Outliers!$E$8,"Low",IF(C22&gt;Outliers!$F$8,"High",""))</f>
        <v/>
      </c>
      <c r="L22" s="6" t="str">
        <f aca="false">A22&amp;";"&amp;B22&amp;";"&amp;C22</f>
        <v>21.32504158;185.4974732;17.8509557911977</v>
      </c>
      <c r="M22" s="6" t="n">
        <f aca="false">IF(COUNTIF($L$2:$L$2201,L22)&gt;1,1,0)</f>
        <v>0</v>
      </c>
      <c r="N22" s="6" t="str">
        <f aca="false">IF(AND(C22&lt;Assumptions!$B$9,B22&lt;Assumptions!$B$10),"Irrigate Now",IF(AND(C22&gt;=Assumptions!$B$11,B22&gt;=Assumptions!$B$12),"No Irrigation Needed","Monitor"))</f>
        <v>Monitor</v>
      </c>
      <c r="O22" s="6" t="n">
        <f aca="false">IF(N22=G22,1,0)</f>
        <v>1</v>
      </c>
    </row>
    <row r="23" customFormat="false" ht="15" hidden="false" customHeight="false" outlineLevel="0" collapsed="false">
      <c r="A23" s="16" t="n">
        <v>25.15745531</v>
      </c>
      <c r="B23" s="16" t="n">
        <v>231.3843163</v>
      </c>
      <c r="C23" s="16" t="n">
        <v>16.9254435828954</v>
      </c>
      <c r="D23" s="6" t="s">
        <v>57</v>
      </c>
      <c r="E23" s="6" t="s">
        <v>24</v>
      </c>
      <c r="F23" s="6" t="s">
        <v>60</v>
      </c>
      <c r="G23" s="6" t="s">
        <v>61</v>
      </c>
      <c r="H23" s="6" t="s">
        <v>62</v>
      </c>
      <c r="I23" s="6" t="str">
        <f aca="false">IF(A23&lt;Outliers!$E$6,"Low",IF(A23&gt;Outliers!$F$6,"High",""))</f>
        <v/>
      </c>
      <c r="J23" s="6" t="str">
        <f aca="false">IF(B23&lt;Outliers!$E$7,"Low",IF(B23&gt;Outliers!$F$7,"High",""))</f>
        <v>High</v>
      </c>
      <c r="K23" s="6" t="str">
        <f aca="false">IF(C23&lt;Outliers!$E$8,"Low",IF(C23&gt;Outliers!$F$8,"High",""))</f>
        <v/>
      </c>
      <c r="L23" s="6" t="str">
        <f aca="false">A23&amp;";"&amp;B23&amp;";"&amp;C23</f>
        <v>25.15745531;231.3843163;16.9254435828954</v>
      </c>
      <c r="M23" s="6" t="n">
        <f aca="false">IF(COUNTIF($L$2:$L$2201,L23)&gt;1,1,0)</f>
        <v>0</v>
      </c>
      <c r="N23" s="6" t="str">
        <f aca="false">IF(AND(C23&lt;Assumptions!$B$9,B23&lt;Assumptions!$B$10),"Irrigate Now",IF(AND(C23&gt;=Assumptions!$B$11,B23&gt;=Assumptions!$B$12),"No Irrigation Needed","Monitor"))</f>
        <v>Monitor</v>
      </c>
      <c r="O23" s="6" t="n">
        <f aca="false">IF(N23=G23,1,0)</f>
        <v>1</v>
      </c>
    </row>
    <row r="24" customFormat="false" ht="15" hidden="false" customHeight="false" outlineLevel="0" collapsed="false">
      <c r="A24" s="16" t="n">
        <v>21.94766735</v>
      </c>
      <c r="B24" s="16" t="n">
        <v>213.3560921</v>
      </c>
      <c r="C24" s="16" t="n">
        <v>13.9285897742515</v>
      </c>
      <c r="D24" s="6" t="s">
        <v>57</v>
      </c>
      <c r="E24" s="6" t="s">
        <v>24</v>
      </c>
      <c r="F24" s="6" t="s">
        <v>60</v>
      </c>
      <c r="G24" s="6" t="s">
        <v>61</v>
      </c>
      <c r="H24" s="6" t="s">
        <v>62</v>
      </c>
      <c r="I24" s="6" t="str">
        <f aca="false">IF(A24&lt;Outliers!$E$6,"Low",IF(A24&gt;Outliers!$F$6,"High",""))</f>
        <v/>
      </c>
      <c r="J24" s="6" t="str">
        <f aca="false">IF(B24&lt;Outliers!$E$7,"Low",IF(B24&gt;Outliers!$F$7,"High",""))</f>
        <v/>
      </c>
      <c r="K24" s="6" t="str">
        <f aca="false">IF(C24&lt;Outliers!$E$8,"Low",IF(C24&gt;Outliers!$F$8,"High",""))</f>
        <v/>
      </c>
      <c r="L24" s="6" t="str">
        <f aca="false">A24&amp;";"&amp;B24&amp;";"&amp;C24</f>
        <v>21.94766735;213.3560921;13.9285897742515</v>
      </c>
      <c r="M24" s="6" t="n">
        <f aca="false">IF(COUNTIF($L$2:$L$2201,L24)&gt;1,1,0)</f>
        <v>0</v>
      </c>
      <c r="N24" s="6" t="str">
        <f aca="false">IF(AND(C24&lt;Assumptions!$B$9,B24&lt;Assumptions!$B$10),"Irrigate Now",IF(AND(C24&gt;=Assumptions!$B$11,B24&gt;=Assumptions!$B$12),"No Irrigation Needed","Monitor"))</f>
        <v>Monitor</v>
      </c>
      <c r="O24" s="6" t="n">
        <f aca="false">IF(N24=G24,1,0)</f>
        <v>1</v>
      </c>
    </row>
    <row r="25" customFormat="false" ht="15" hidden="false" customHeight="false" outlineLevel="0" collapsed="false">
      <c r="A25" s="16" t="n">
        <v>21.0525355</v>
      </c>
      <c r="B25" s="16" t="n">
        <v>233.1075816</v>
      </c>
      <c r="C25" s="16" t="n">
        <v>15.0540799708059</v>
      </c>
      <c r="D25" s="6" t="s">
        <v>57</v>
      </c>
      <c r="E25" s="6" t="s">
        <v>24</v>
      </c>
      <c r="F25" s="6" t="s">
        <v>60</v>
      </c>
      <c r="G25" s="6" t="s">
        <v>61</v>
      </c>
      <c r="H25" s="6" t="s">
        <v>62</v>
      </c>
      <c r="I25" s="6" t="str">
        <f aca="false">IF(A25&lt;Outliers!$E$6,"Low",IF(A25&gt;Outliers!$F$6,"High",""))</f>
        <v/>
      </c>
      <c r="J25" s="6" t="str">
        <f aca="false">IF(B25&lt;Outliers!$E$7,"Low",IF(B25&gt;Outliers!$F$7,"High",""))</f>
        <v>High</v>
      </c>
      <c r="K25" s="6" t="str">
        <f aca="false">IF(C25&lt;Outliers!$E$8,"Low",IF(C25&gt;Outliers!$F$8,"High",""))</f>
        <v/>
      </c>
      <c r="L25" s="6" t="str">
        <f aca="false">A25&amp;";"&amp;B25&amp;";"&amp;C25</f>
        <v>21.0525355;233.1075816;15.0540799708059</v>
      </c>
      <c r="M25" s="6" t="n">
        <f aca="false">IF(COUNTIF($L$2:$L$2201,L25)&gt;1,1,0)</f>
        <v>0</v>
      </c>
      <c r="N25" s="6" t="str">
        <f aca="false">IF(AND(C25&lt;Assumptions!$B$9,B25&lt;Assumptions!$B$10),"Irrigate Now",IF(AND(C25&gt;=Assumptions!$B$11,B25&gt;=Assumptions!$B$12),"No Irrigation Needed","Monitor"))</f>
        <v>Monitor</v>
      </c>
      <c r="O25" s="6" t="n">
        <f aca="false">IF(N25=G25,1,0)</f>
        <v>1</v>
      </c>
    </row>
    <row r="26" customFormat="false" ht="15" hidden="false" customHeight="false" outlineLevel="0" collapsed="false">
      <c r="A26" s="16" t="n">
        <v>23.48381344</v>
      </c>
      <c r="B26" s="16" t="n">
        <v>224.0581164</v>
      </c>
      <c r="C26" s="16" t="n">
        <v>21.6655015867664</v>
      </c>
      <c r="D26" s="6" t="s">
        <v>57</v>
      </c>
      <c r="E26" s="6" t="s">
        <v>24</v>
      </c>
      <c r="F26" s="6" t="s">
        <v>23</v>
      </c>
      <c r="G26" s="6" t="s">
        <v>61</v>
      </c>
      <c r="H26" s="6" t="s">
        <v>62</v>
      </c>
      <c r="I26" s="6" t="str">
        <f aca="false">IF(A26&lt;Outliers!$E$6,"Low",IF(A26&gt;Outliers!$F$6,"High",""))</f>
        <v/>
      </c>
      <c r="J26" s="6" t="str">
        <f aca="false">IF(B26&lt;Outliers!$E$7,"Low",IF(B26&gt;Outliers!$F$7,"High",""))</f>
        <v>High</v>
      </c>
      <c r="K26" s="6" t="str">
        <f aca="false">IF(C26&lt;Outliers!$E$8,"Low",IF(C26&gt;Outliers!$F$8,"High",""))</f>
        <v/>
      </c>
      <c r="L26" s="6" t="str">
        <f aca="false">A26&amp;";"&amp;B26&amp;";"&amp;C26</f>
        <v>23.48381344;224.0581164;21.6655015867664</v>
      </c>
      <c r="M26" s="6" t="n">
        <f aca="false">IF(COUNTIF($L$2:$L$2201,L26)&gt;1,1,0)</f>
        <v>0</v>
      </c>
      <c r="N26" s="6" t="str">
        <f aca="false">IF(AND(C26&lt;Assumptions!$B$9,B26&lt;Assumptions!$B$10),"Irrigate Now",IF(AND(C26&gt;=Assumptions!$B$11,B26&gt;=Assumptions!$B$12),"No Irrigation Needed","Monitor"))</f>
        <v>Monitor</v>
      </c>
      <c r="O26" s="6" t="n">
        <f aca="false">IF(N26=G26,1,0)</f>
        <v>1</v>
      </c>
    </row>
    <row r="27" customFormat="false" ht="15" hidden="false" customHeight="false" outlineLevel="0" collapsed="false">
      <c r="A27" s="16" t="n">
        <v>25.0756354</v>
      </c>
      <c r="B27" s="16" t="n">
        <v>257.0038865</v>
      </c>
      <c r="C27" s="16" t="n">
        <v>13.7417468581759</v>
      </c>
      <c r="D27" s="6" t="s">
        <v>57</v>
      </c>
      <c r="E27" s="6" t="s">
        <v>24</v>
      </c>
      <c r="F27" s="6" t="s">
        <v>60</v>
      </c>
      <c r="G27" s="6" t="s">
        <v>61</v>
      </c>
      <c r="H27" s="6" t="s">
        <v>62</v>
      </c>
      <c r="I27" s="6" t="str">
        <f aca="false">IF(A27&lt;Outliers!$E$6,"Low",IF(A27&gt;Outliers!$F$6,"High",""))</f>
        <v/>
      </c>
      <c r="J27" s="6" t="str">
        <f aca="false">IF(B27&lt;Outliers!$E$7,"Low",IF(B27&gt;Outliers!$F$7,"High",""))</f>
        <v>High</v>
      </c>
      <c r="K27" s="6" t="str">
        <f aca="false">IF(C27&lt;Outliers!$E$8,"Low",IF(C27&gt;Outliers!$F$8,"High",""))</f>
        <v/>
      </c>
      <c r="L27" s="6" t="str">
        <f aca="false">A27&amp;";"&amp;B27&amp;";"&amp;C27</f>
        <v>25.0756354;257.0038865;13.7417468581759</v>
      </c>
      <c r="M27" s="6" t="n">
        <f aca="false">IF(COUNTIF($L$2:$L$2201,L27)&gt;1,1,0)</f>
        <v>0</v>
      </c>
      <c r="N27" s="6" t="str">
        <f aca="false">IF(AND(C27&lt;Assumptions!$B$9,B27&lt;Assumptions!$B$10),"Irrigate Now",IF(AND(C27&gt;=Assumptions!$B$11,B27&gt;=Assumptions!$B$12),"No Irrigation Needed","Monitor"))</f>
        <v>Monitor</v>
      </c>
      <c r="O27" s="6" t="n">
        <f aca="false">IF(N27=G27,1,0)</f>
        <v>1</v>
      </c>
    </row>
    <row r="28" customFormat="false" ht="15" hidden="false" customHeight="false" outlineLevel="0" collapsed="false">
      <c r="A28" s="16" t="n">
        <v>26.35927159</v>
      </c>
      <c r="B28" s="16" t="n">
        <v>271.3586137</v>
      </c>
      <c r="C28" s="16" t="n">
        <v>25.5254881364249</v>
      </c>
      <c r="D28" s="6" t="s">
        <v>57</v>
      </c>
      <c r="E28" s="6" t="s">
        <v>24</v>
      </c>
      <c r="F28" s="6" t="s">
        <v>23</v>
      </c>
      <c r="G28" s="6" t="s">
        <v>58</v>
      </c>
      <c r="H28" s="6" t="s">
        <v>59</v>
      </c>
      <c r="I28" s="6" t="str">
        <f aca="false">IF(A28&lt;Outliers!$E$6,"Low",IF(A28&gt;Outliers!$F$6,"High",""))</f>
        <v/>
      </c>
      <c r="J28" s="6" t="str">
        <f aca="false">IF(B28&lt;Outliers!$E$7,"Low",IF(B28&gt;Outliers!$F$7,"High",""))</f>
        <v>High</v>
      </c>
      <c r="K28" s="6" t="str">
        <f aca="false">IF(C28&lt;Outliers!$E$8,"Low",IF(C28&gt;Outliers!$F$8,"High",""))</f>
        <v/>
      </c>
      <c r="L28" s="6" t="str">
        <f aca="false">A28&amp;";"&amp;B28&amp;";"&amp;C28</f>
        <v>26.35927159;271.3586137;25.5254881364249</v>
      </c>
      <c r="M28" s="6" t="n">
        <f aca="false">IF(COUNTIF($L$2:$L$2201,L28)&gt;1,1,0)</f>
        <v>0</v>
      </c>
      <c r="N28" s="6" t="str">
        <f aca="false">IF(AND(C28&lt;Assumptions!$B$9,B28&lt;Assumptions!$B$10),"Irrigate Now",IF(AND(C28&gt;=Assumptions!$B$11,B28&gt;=Assumptions!$B$12),"No Irrigation Needed","Monitor"))</f>
        <v>No Irrigation Needed</v>
      </c>
      <c r="O28" s="6" t="n">
        <f aca="false">IF(N28=G28,1,0)</f>
        <v>1</v>
      </c>
    </row>
    <row r="29" customFormat="false" ht="15" hidden="false" customHeight="false" outlineLevel="0" collapsed="false">
      <c r="A29" s="16" t="n">
        <v>24.52922681</v>
      </c>
      <c r="B29" s="16" t="n">
        <v>260.2634026</v>
      </c>
      <c r="C29" s="16" t="n">
        <v>16.9004052999644</v>
      </c>
      <c r="D29" s="6" t="s">
        <v>57</v>
      </c>
      <c r="E29" s="6" t="s">
        <v>24</v>
      </c>
      <c r="F29" s="6" t="s">
        <v>23</v>
      </c>
      <c r="G29" s="6" t="s">
        <v>61</v>
      </c>
      <c r="H29" s="6" t="s">
        <v>62</v>
      </c>
      <c r="I29" s="6" t="str">
        <f aca="false">IF(A29&lt;Outliers!$E$6,"Low",IF(A29&gt;Outliers!$F$6,"High",""))</f>
        <v/>
      </c>
      <c r="J29" s="6" t="str">
        <f aca="false">IF(B29&lt;Outliers!$E$7,"Low",IF(B29&gt;Outliers!$F$7,"High",""))</f>
        <v>High</v>
      </c>
      <c r="K29" s="6" t="str">
        <f aca="false">IF(C29&lt;Outliers!$E$8,"Low",IF(C29&gt;Outliers!$F$8,"High",""))</f>
        <v/>
      </c>
      <c r="L29" s="6" t="str">
        <f aca="false">A29&amp;";"&amp;B29&amp;";"&amp;C29</f>
        <v>24.52922681;260.2634026;16.9004052999644</v>
      </c>
      <c r="M29" s="6" t="n">
        <f aca="false">IF(COUNTIF($L$2:$L$2201,L29)&gt;1,1,0)</f>
        <v>0</v>
      </c>
      <c r="N29" s="6" t="str">
        <f aca="false">IF(AND(C29&lt;Assumptions!$B$9,B29&lt;Assumptions!$B$10),"Irrigate Now",IF(AND(C29&gt;=Assumptions!$B$11,B29&gt;=Assumptions!$B$12),"No Irrigation Needed","Monitor"))</f>
        <v>Monitor</v>
      </c>
      <c r="O29" s="6" t="n">
        <f aca="false">IF(N29=G29,1,0)</f>
        <v>1</v>
      </c>
    </row>
    <row r="30" customFormat="false" ht="15" hidden="false" customHeight="false" outlineLevel="0" collapsed="false">
      <c r="A30" s="16" t="n">
        <v>20.77576147</v>
      </c>
      <c r="B30" s="16" t="n">
        <v>240.0810647</v>
      </c>
      <c r="C30" s="16" t="n">
        <v>14.0708734344115</v>
      </c>
      <c r="D30" s="6" t="s">
        <v>57</v>
      </c>
      <c r="E30" s="6" t="s">
        <v>24</v>
      </c>
      <c r="F30" s="6" t="s">
        <v>60</v>
      </c>
      <c r="G30" s="6" t="s">
        <v>61</v>
      </c>
      <c r="H30" s="6" t="s">
        <v>62</v>
      </c>
      <c r="I30" s="6" t="str">
        <f aca="false">IF(A30&lt;Outliers!$E$6,"Low",IF(A30&gt;Outliers!$F$6,"High",""))</f>
        <v/>
      </c>
      <c r="J30" s="6" t="str">
        <f aca="false">IF(B30&lt;Outliers!$E$7,"Low",IF(B30&gt;Outliers!$F$7,"High",""))</f>
        <v>High</v>
      </c>
      <c r="K30" s="6" t="str">
        <f aca="false">IF(C30&lt;Outliers!$E$8,"Low",IF(C30&gt;Outliers!$F$8,"High",""))</f>
        <v/>
      </c>
      <c r="L30" s="6" t="str">
        <f aca="false">A30&amp;";"&amp;B30&amp;";"&amp;C30</f>
        <v>20.77576147;240.0810647;14.0708734344115</v>
      </c>
      <c r="M30" s="6" t="n">
        <f aca="false">IF(COUNTIF($L$2:$L$2201,L30)&gt;1,1,0)</f>
        <v>0</v>
      </c>
      <c r="N30" s="6" t="str">
        <f aca="false">IF(AND(C30&lt;Assumptions!$B$9,B30&lt;Assumptions!$B$10),"Irrigate Now",IF(AND(C30&gt;=Assumptions!$B$11,B30&gt;=Assumptions!$B$12),"No Irrigation Needed","Monitor"))</f>
        <v>Monitor</v>
      </c>
      <c r="O30" s="6" t="n">
        <f aca="false">IF(N30=G30,1,0)</f>
        <v>1</v>
      </c>
    </row>
    <row r="31" customFormat="false" ht="15" hidden="false" customHeight="false" outlineLevel="0" collapsed="false">
      <c r="A31" s="16" t="n">
        <v>22.30157427</v>
      </c>
      <c r="B31" s="16" t="n">
        <v>197.9791215</v>
      </c>
      <c r="C31" s="16" t="n">
        <v>12.4187229258018</v>
      </c>
      <c r="D31" s="6" t="s">
        <v>57</v>
      </c>
      <c r="E31" s="6" t="s">
        <v>24</v>
      </c>
      <c r="F31" s="6" t="s">
        <v>60</v>
      </c>
      <c r="G31" s="6" t="s">
        <v>61</v>
      </c>
      <c r="H31" s="6" t="s">
        <v>62</v>
      </c>
      <c r="I31" s="6" t="str">
        <f aca="false">IF(A31&lt;Outliers!$E$6,"Low",IF(A31&gt;Outliers!$F$6,"High",""))</f>
        <v/>
      </c>
      <c r="J31" s="6" t="str">
        <f aca="false">IF(B31&lt;Outliers!$E$7,"Low",IF(B31&gt;Outliers!$F$7,"High",""))</f>
        <v/>
      </c>
      <c r="K31" s="6" t="str">
        <f aca="false">IF(C31&lt;Outliers!$E$8,"Low",IF(C31&gt;Outliers!$F$8,"High",""))</f>
        <v/>
      </c>
      <c r="L31" s="6" t="str">
        <f aca="false">A31&amp;";"&amp;B31&amp;";"&amp;C31</f>
        <v>22.30157427;197.9791215;12.4187229258018</v>
      </c>
      <c r="M31" s="6" t="n">
        <f aca="false">IF(COUNTIF($L$2:$L$2201,L31)&gt;1,1,0)</f>
        <v>0</v>
      </c>
      <c r="N31" s="6" t="str">
        <f aca="false">IF(AND(C31&lt;Assumptions!$B$9,B31&lt;Assumptions!$B$10),"Irrigate Now",IF(AND(C31&gt;=Assumptions!$B$11,B31&gt;=Assumptions!$B$12),"No Irrigation Needed","Monitor"))</f>
        <v>Monitor</v>
      </c>
      <c r="O31" s="6" t="n">
        <f aca="false">IF(N31=G31,1,0)</f>
        <v>1</v>
      </c>
    </row>
    <row r="32" customFormat="false" ht="15" hidden="false" customHeight="false" outlineLevel="0" collapsed="false">
      <c r="A32" s="16" t="n">
        <v>21.44653958</v>
      </c>
      <c r="B32" s="16" t="n">
        <v>272.2017204</v>
      </c>
      <c r="C32" s="16" t="n">
        <v>24.0385319504795</v>
      </c>
      <c r="D32" s="6" t="s">
        <v>57</v>
      </c>
      <c r="E32" s="6" t="s">
        <v>24</v>
      </c>
      <c r="F32" s="6" t="s">
        <v>23</v>
      </c>
      <c r="G32" s="6" t="s">
        <v>61</v>
      </c>
      <c r="H32" s="6" t="s">
        <v>62</v>
      </c>
      <c r="I32" s="6" t="str">
        <f aca="false">IF(A32&lt;Outliers!$E$6,"Low",IF(A32&gt;Outliers!$F$6,"High",""))</f>
        <v/>
      </c>
      <c r="J32" s="6" t="str">
        <f aca="false">IF(B32&lt;Outliers!$E$7,"Low",IF(B32&gt;Outliers!$F$7,"High",""))</f>
        <v>High</v>
      </c>
      <c r="K32" s="6" t="str">
        <f aca="false">IF(C32&lt;Outliers!$E$8,"Low",IF(C32&gt;Outliers!$F$8,"High",""))</f>
        <v/>
      </c>
      <c r="L32" s="6" t="str">
        <f aca="false">A32&amp;";"&amp;B32&amp;";"&amp;C32</f>
        <v>21.44653958;272.2017204;24.0385319504795</v>
      </c>
      <c r="M32" s="6" t="n">
        <f aca="false">IF(COUNTIF($L$2:$L$2201,L32)&gt;1,1,0)</f>
        <v>0</v>
      </c>
      <c r="N32" s="6" t="str">
        <f aca="false">IF(AND(C32&lt;Assumptions!$B$9,B32&lt;Assumptions!$B$10),"Irrigate Now",IF(AND(C32&gt;=Assumptions!$B$11,B32&gt;=Assumptions!$B$12),"No Irrigation Needed","Monitor"))</f>
        <v>Monitor</v>
      </c>
      <c r="O32" s="6" t="n">
        <f aca="false">IF(N32=G32,1,0)</f>
        <v>1</v>
      </c>
    </row>
    <row r="33" customFormat="false" ht="15" hidden="false" customHeight="false" outlineLevel="0" collapsed="false">
      <c r="A33" s="16" t="n">
        <v>22.17931888</v>
      </c>
      <c r="B33" s="16" t="n">
        <v>200.0882787</v>
      </c>
      <c r="C33" s="16" t="n">
        <v>11.7866641040755</v>
      </c>
      <c r="D33" s="6" t="s">
        <v>57</v>
      </c>
      <c r="E33" s="6" t="s">
        <v>24</v>
      </c>
      <c r="F33" s="6" t="s">
        <v>24</v>
      </c>
      <c r="G33" s="6" t="s">
        <v>61</v>
      </c>
      <c r="H33" s="6" t="s">
        <v>62</v>
      </c>
      <c r="I33" s="6" t="str">
        <f aca="false">IF(A33&lt;Outliers!$E$6,"Low",IF(A33&gt;Outliers!$F$6,"High",""))</f>
        <v/>
      </c>
      <c r="J33" s="6" t="str">
        <f aca="false">IF(B33&lt;Outliers!$E$7,"Low",IF(B33&gt;Outliers!$F$7,"High",""))</f>
        <v/>
      </c>
      <c r="K33" s="6" t="str">
        <f aca="false">IF(C33&lt;Outliers!$E$8,"Low",IF(C33&gt;Outliers!$F$8,"High",""))</f>
        <v/>
      </c>
      <c r="L33" s="6" t="str">
        <f aca="false">A33&amp;";"&amp;B33&amp;";"&amp;C33</f>
        <v>22.17931888;200.0882787;11.7866641040755</v>
      </c>
      <c r="M33" s="6" t="n">
        <f aca="false">IF(COUNTIF($L$2:$L$2201,L33)&gt;1,1,0)</f>
        <v>0</v>
      </c>
      <c r="N33" s="6" t="str">
        <f aca="false">IF(AND(C33&lt;Assumptions!$B$9,B33&lt;Assumptions!$B$10),"Irrigate Now",IF(AND(C33&gt;=Assumptions!$B$11,B33&gt;=Assumptions!$B$12),"No Irrigation Needed","Monitor"))</f>
        <v>Monitor</v>
      </c>
      <c r="O33" s="6" t="n">
        <f aca="false">IF(N33=G33,1,0)</f>
        <v>1</v>
      </c>
    </row>
    <row r="34" customFormat="false" ht="15" hidden="false" customHeight="false" outlineLevel="0" collapsed="false">
      <c r="A34" s="16" t="n">
        <v>24.52783742</v>
      </c>
      <c r="B34" s="16" t="n">
        <v>224.6757231</v>
      </c>
      <c r="C34" s="16" t="n">
        <v>18.5808028067894</v>
      </c>
      <c r="D34" s="6" t="s">
        <v>57</v>
      </c>
      <c r="E34" s="6" t="s">
        <v>24</v>
      </c>
      <c r="F34" s="6" t="s">
        <v>23</v>
      </c>
      <c r="G34" s="6" t="s">
        <v>61</v>
      </c>
      <c r="H34" s="6" t="s">
        <v>62</v>
      </c>
      <c r="I34" s="6" t="str">
        <f aca="false">IF(A34&lt;Outliers!$E$6,"Low",IF(A34&gt;Outliers!$F$6,"High",""))</f>
        <v/>
      </c>
      <c r="J34" s="6" t="str">
        <f aca="false">IF(B34&lt;Outliers!$E$7,"Low",IF(B34&gt;Outliers!$F$7,"High",""))</f>
        <v>High</v>
      </c>
      <c r="K34" s="6" t="str">
        <f aca="false">IF(C34&lt;Outliers!$E$8,"Low",IF(C34&gt;Outliers!$F$8,"High",""))</f>
        <v/>
      </c>
      <c r="L34" s="6" t="str">
        <f aca="false">A34&amp;";"&amp;B34&amp;";"&amp;C34</f>
        <v>24.52783742;224.6757231;18.5808028067894</v>
      </c>
      <c r="M34" s="6" t="n">
        <f aca="false">IF(COUNTIF($L$2:$L$2201,L34)&gt;1,1,0)</f>
        <v>0</v>
      </c>
      <c r="N34" s="6" t="str">
        <f aca="false">IF(AND(C34&lt;Assumptions!$B$9,B34&lt;Assumptions!$B$10),"Irrigate Now",IF(AND(C34&gt;=Assumptions!$B$11,B34&gt;=Assumptions!$B$12),"No Irrigation Needed","Monitor"))</f>
        <v>Monitor</v>
      </c>
      <c r="O34" s="6" t="n">
        <f aca="false">IF(N34=G34,1,0)</f>
        <v>1</v>
      </c>
    </row>
    <row r="35" customFormat="false" ht="15" hidden="false" customHeight="false" outlineLevel="0" collapsed="false">
      <c r="A35" s="16" t="n">
        <v>20.26707606</v>
      </c>
      <c r="B35" s="16" t="n">
        <v>270.4417274</v>
      </c>
      <c r="C35" s="16" t="n">
        <v>12.1730069370402</v>
      </c>
      <c r="D35" s="6" t="s">
        <v>57</v>
      </c>
      <c r="E35" s="6" t="s">
        <v>24</v>
      </c>
      <c r="F35" s="6" t="s">
        <v>60</v>
      </c>
      <c r="G35" s="6" t="s">
        <v>61</v>
      </c>
      <c r="H35" s="6" t="s">
        <v>62</v>
      </c>
      <c r="I35" s="6" t="str">
        <f aca="false">IF(A35&lt;Outliers!$E$6,"Low",IF(A35&gt;Outliers!$F$6,"High",""))</f>
        <v/>
      </c>
      <c r="J35" s="6" t="str">
        <f aca="false">IF(B35&lt;Outliers!$E$7,"Low",IF(B35&gt;Outliers!$F$7,"High",""))</f>
        <v>High</v>
      </c>
      <c r="K35" s="6" t="str">
        <f aca="false">IF(C35&lt;Outliers!$E$8,"Low",IF(C35&gt;Outliers!$F$8,"High",""))</f>
        <v/>
      </c>
      <c r="L35" s="6" t="str">
        <f aca="false">A35&amp;";"&amp;B35&amp;";"&amp;C35</f>
        <v>20.26707606;270.4417274;12.1730069370402</v>
      </c>
      <c r="M35" s="6" t="n">
        <f aca="false">IF(COUNTIF($L$2:$L$2201,L35)&gt;1,1,0)</f>
        <v>0</v>
      </c>
      <c r="N35" s="6" t="str">
        <f aca="false">IF(AND(C35&lt;Assumptions!$B$9,B35&lt;Assumptions!$B$10),"Irrigate Now",IF(AND(C35&gt;=Assumptions!$B$11,B35&gt;=Assumptions!$B$12),"No Irrigation Needed","Monitor"))</f>
        <v>Monitor</v>
      </c>
      <c r="O35" s="6" t="n">
        <f aca="false">IF(N35=G35,1,0)</f>
        <v>1</v>
      </c>
    </row>
    <row r="36" customFormat="false" ht="15" hidden="false" customHeight="false" outlineLevel="0" collapsed="false">
      <c r="A36" s="16" t="n">
        <v>25.7354293</v>
      </c>
      <c r="B36" s="16" t="n">
        <v>233.1321372</v>
      </c>
      <c r="C36" s="16" t="n">
        <v>23.3340274104018</v>
      </c>
      <c r="D36" s="6" t="s">
        <v>57</v>
      </c>
      <c r="E36" s="6" t="s">
        <v>24</v>
      </c>
      <c r="F36" s="6" t="s">
        <v>23</v>
      </c>
      <c r="G36" s="6" t="s">
        <v>61</v>
      </c>
      <c r="H36" s="6" t="s">
        <v>62</v>
      </c>
      <c r="I36" s="6" t="str">
        <f aca="false">IF(A36&lt;Outliers!$E$6,"Low",IF(A36&gt;Outliers!$F$6,"High",""))</f>
        <v/>
      </c>
      <c r="J36" s="6" t="str">
        <f aca="false">IF(B36&lt;Outliers!$E$7,"Low",IF(B36&gt;Outliers!$F$7,"High",""))</f>
        <v>High</v>
      </c>
      <c r="K36" s="6" t="str">
        <f aca="false">IF(C36&lt;Outliers!$E$8,"Low",IF(C36&gt;Outliers!$F$8,"High",""))</f>
        <v/>
      </c>
      <c r="L36" s="6" t="str">
        <f aca="false">A36&amp;";"&amp;B36&amp;";"&amp;C36</f>
        <v>25.7354293;233.1321372;23.3340274104018</v>
      </c>
      <c r="M36" s="6" t="n">
        <f aca="false">IF(COUNTIF($L$2:$L$2201,L36)&gt;1,1,0)</f>
        <v>0</v>
      </c>
      <c r="N36" s="6" t="str">
        <f aca="false">IF(AND(C36&lt;Assumptions!$B$9,B36&lt;Assumptions!$B$10),"Irrigate Now",IF(AND(C36&gt;=Assumptions!$B$11,B36&gt;=Assumptions!$B$12),"No Irrigation Needed","Monitor"))</f>
        <v>Monitor</v>
      </c>
      <c r="O36" s="6" t="n">
        <f aca="false">IF(N36=G36,1,0)</f>
        <v>1</v>
      </c>
    </row>
    <row r="37" customFormat="false" ht="15" hidden="false" customHeight="false" outlineLevel="0" collapsed="false">
      <c r="A37" s="16" t="n">
        <v>26.79533926</v>
      </c>
      <c r="B37" s="16" t="n">
        <v>193.3473987</v>
      </c>
      <c r="C37" s="16" t="n">
        <v>23.9788282553464</v>
      </c>
      <c r="D37" s="6" t="s">
        <v>57</v>
      </c>
      <c r="E37" s="6" t="s">
        <v>24</v>
      </c>
      <c r="F37" s="6" t="s">
        <v>23</v>
      </c>
      <c r="G37" s="6" t="s">
        <v>61</v>
      </c>
      <c r="H37" s="6" t="s">
        <v>62</v>
      </c>
      <c r="I37" s="6" t="str">
        <f aca="false">IF(A37&lt;Outliers!$E$6,"Low",IF(A37&gt;Outliers!$F$6,"High",""))</f>
        <v/>
      </c>
      <c r="J37" s="6" t="str">
        <f aca="false">IF(B37&lt;Outliers!$E$7,"Low",IF(B37&gt;Outliers!$F$7,"High",""))</f>
        <v/>
      </c>
      <c r="K37" s="6" t="str">
        <f aca="false">IF(C37&lt;Outliers!$E$8,"Low",IF(C37&gt;Outliers!$F$8,"High",""))</f>
        <v/>
      </c>
      <c r="L37" s="6" t="str">
        <f aca="false">A37&amp;";"&amp;B37&amp;";"&amp;C37</f>
        <v>26.79533926;193.3473987;23.9788282553464</v>
      </c>
      <c r="M37" s="6" t="n">
        <f aca="false">IF(COUNTIF($L$2:$L$2201,L37)&gt;1,1,0)</f>
        <v>0</v>
      </c>
      <c r="N37" s="6" t="str">
        <f aca="false">IF(AND(C37&lt;Assumptions!$B$9,B37&lt;Assumptions!$B$10),"Irrigate Now",IF(AND(C37&gt;=Assumptions!$B$11,B37&gt;=Assumptions!$B$12),"No Irrigation Needed","Monitor"))</f>
        <v>Monitor</v>
      </c>
      <c r="O37" s="6" t="n">
        <f aca="false">IF(N37=G37,1,0)</f>
        <v>1</v>
      </c>
    </row>
    <row r="38" customFormat="false" ht="15" hidden="false" customHeight="false" outlineLevel="0" collapsed="false">
      <c r="A38" s="16" t="n">
        <v>26.75754171</v>
      </c>
      <c r="B38" s="16" t="n">
        <v>272.2999056</v>
      </c>
      <c r="C38" s="16" t="n">
        <v>20.463412227529</v>
      </c>
      <c r="D38" s="6" t="s">
        <v>57</v>
      </c>
      <c r="E38" s="6" t="s">
        <v>24</v>
      </c>
      <c r="F38" s="6" t="s">
        <v>23</v>
      </c>
      <c r="G38" s="6" t="s">
        <v>61</v>
      </c>
      <c r="H38" s="6" t="s">
        <v>62</v>
      </c>
      <c r="I38" s="6" t="str">
        <f aca="false">IF(A38&lt;Outliers!$E$6,"Low",IF(A38&gt;Outliers!$F$6,"High",""))</f>
        <v/>
      </c>
      <c r="J38" s="6" t="str">
        <f aca="false">IF(B38&lt;Outliers!$E$7,"Low",IF(B38&gt;Outliers!$F$7,"High",""))</f>
        <v>High</v>
      </c>
      <c r="K38" s="6" t="str">
        <f aca="false">IF(C38&lt;Outliers!$E$8,"Low",IF(C38&gt;Outliers!$F$8,"High",""))</f>
        <v/>
      </c>
      <c r="L38" s="6" t="str">
        <f aca="false">A38&amp;";"&amp;B38&amp;";"&amp;C38</f>
        <v>26.75754171;272.2999056;20.463412227529</v>
      </c>
      <c r="M38" s="6" t="n">
        <f aca="false">IF(COUNTIF($L$2:$L$2201,L38)&gt;1,1,0)</f>
        <v>0</v>
      </c>
      <c r="N38" s="6" t="str">
        <f aca="false">IF(AND(C38&lt;Assumptions!$B$9,B38&lt;Assumptions!$B$10),"Irrigate Now",IF(AND(C38&gt;=Assumptions!$B$11,B38&gt;=Assumptions!$B$12),"No Irrigation Needed","Monitor"))</f>
        <v>Monitor</v>
      </c>
      <c r="O38" s="6" t="n">
        <f aca="false">IF(N38=G38,1,0)</f>
        <v>1</v>
      </c>
    </row>
    <row r="39" customFormat="false" ht="15" hidden="false" customHeight="false" outlineLevel="0" collapsed="false">
      <c r="A39" s="16" t="n">
        <v>23.86330467</v>
      </c>
      <c r="B39" s="16" t="n">
        <v>285.2493645</v>
      </c>
      <c r="C39" s="16" t="n">
        <v>18.1954853366754</v>
      </c>
      <c r="D39" s="6" t="s">
        <v>57</v>
      </c>
      <c r="E39" s="6" t="s">
        <v>24</v>
      </c>
      <c r="F39" s="6" t="s">
        <v>23</v>
      </c>
      <c r="G39" s="6" t="s">
        <v>61</v>
      </c>
      <c r="H39" s="6" t="s">
        <v>62</v>
      </c>
      <c r="I39" s="6" t="str">
        <f aca="false">IF(A39&lt;Outliers!$E$6,"Low",IF(A39&gt;Outliers!$F$6,"High",""))</f>
        <v/>
      </c>
      <c r="J39" s="6" t="str">
        <f aca="false">IF(B39&lt;Outliers!$E$7,"Low",IF(B39&gt;Outliers!$F$7,"High",""))</f>
        <v>High</v>
      </c>
      <c r="K39" s="6" t="str">
        <f aca="false">IF(C39&lt;Outliers!$E$8,"Low",IF(C39&gt;Outliers!$F$8,"High",""))</f>
        <v/>
      </c>
      <c r="L39" s="6" t="str">
        <f aca="false">A39&amp;";"&amp;B39&amp;";"&amp;C39</f>
        <v>23.86330467;285.2493645;18.1954853366754</v>
      </c>
      <c r="M39" s="6" t="n">
        <f aca="false">IF(COUNTIF($L$2:$L$2201,L39)&gt;1,1,0)</f>
        <v>0</v>
      </c>
      <c r="N39" s="6" t="str">
        <f aca="false">IF(AND(C39&lt;Assumptions!$B$9,B39&lt;Assumptions!$B$10),"Irrigate Now",IF(AND(C39&gt;=Assumptions!$B$11,B39&gt;=Assumptions!$B$12),"No Irrigation Needed","Monitor"))</f>
        <v>Monitor</v>
      </c>
      <c r="O39" s="6" t="n">
        <f aca="false">IF(N39=G39,1,0)</f>
        <v>1</v>
      </c>
    </row>
    <row r="40" customFormat="false" ht="15" hidden="false" customHeight="false" outlineLevel="0" collapsed="false">
      <c r="A40" s="16" t="n">
        <v>21.01944696</v>
      </c>
      <c r="B40" s="16" t="n">
        <v>298.4018471</v>
      </c>
      <c r="C40" s="16" t="n">
        <v>19.4740002230312</v>
      </c>
      <c r="D40" s="6" t="s">
        <v>57</v>
      </c>
      <c r="E40" s="6" t="s">
        <v>24</v>
      </c>
      <c r="F40" s="6" t="s">
        <v>23</v>
      </c>
      <c r="G40" s="6" t="s">
        <v>61</v>
      </c>
      <c r="H40" s="6" t="s">
        <v>62</v>
      </c>
      <c r="I40" s="6" t="str">
        <f aca="false">IF(A40&lt;Outliers!$E$6,"Low",IF(A40&gt;Outliers!$F$6,"High",""))</f>
        <v/>
      </c>
      <c r="J40" s="6" t="str">
        <f aca="false">IF(B40&lt;Outliers!$E$7,"Low",IF(B40&gt;Outliers!$F$7,"High",""))</f>
        <v>High</v>
      </c>
      <c r="K40" s="6" t="str">
        <f aca="false">IF(C40&lt;Outliers!$E$8,"Low",IF(C40&gt;Outliers!$F$8,"High",""))</f>
        <v/>
      </c>
      <c r="L40" s="6" t="str">
        <f aca="false">A40&amp;";"&amp;B40&amp;";"&amp;C40</f>
        <v>21.01944696;298.4018471;19.4740002230312</v>
      </c>
      <c r="M40" s="6" t="n">
        <f aca="false">IF(COUNTIF($L$2:$L$2201,L40)&gt;1,1,0)</f>
        <v>0</v>
      </c>
      <c r="N40" s="6" t="str">
        <f aca="false">IF(AND(C40&lt;Assumptions!$B$9,B40&lt;Assumptions!$B$10),"Irrigate Now",IF(AND(C40&gt;=Assumptions!$B$11,B40&gt;=Assumptions!$B$12),"No Irrigation Needed","Monitor"))</f>
        <v>Monitor</v>
      </c>
      <c r="O40" s="6" t="n">
        <f aca="false">IF(N40=G40,1,0)</f>
        <v>1</v>
      </c>
    </row>
    <row r="41" customFormat="false" ht="15" hidden="false" customHeight="false" outlineLevel="0" collapsed="false">
      <c r="A41" s="16" t="n">
        <v>24.17298839</v>
      </c>
      <c r="B41" s="16" t="n">
        <v>257.0343554</v>
      </c>
      <c r="C41" s="16" t="n">
        <v>10.4703230502761</v>
      </c>
      <c r="D41" s="6" t="s">
        <v>57</v>
      </c>
      <c r="E41" s="6" t="s">
        <v>24</v>
      </c>
      <c r="F41" s="6" t="s">
        <v>60</v>
      </c>
      <c r="G41" s="6" t="s">
        <v>61</v>
      </c>
      <c r="H41" s="6" t="s">
        <v>62</v>
      </c>
      <c r="I41" s="6" t="str">
        <f aca="false">IF(A41&lt;Outliers!$E$6,"Low",IF(A41&gt;Outliers!$F$6,"High",""))</f>
        <v/>
      </c>
      <c r="J41" s="6" t="str">
        <f aca="false">IF(B41&lt;Outliers!$E$7,"Low",IF(B41&gt;Outliers!$F$7,"High",""))</f>
        <v>High</v>
      </c>
      <c r="K41" s="6" t="str">
        <f aca="false">IF(C41&lt;Outliers!$E$8,"Low",IF(C41&gt;Outliers!$F$8,"High",""))</f>
        <v/>
      </c>
      <c r="L41" s="6" t="str">
        <f aca="false">A41&amp;";"&amp;B41&amp;";"&amp;C41</f>
        <v>24.17298839;257.0343554;10.4703230502761</v>
      </c>
      <c r="M41" s="6" t="n">
        <f aca="false">IF(COUNTIF($L$2:$L$2201,L41)&gt;1,1,0)</f>
        <v>0</v>
      </c>
      <c r="N41" s="6" t="str">
        <f aca="false">IF(AND(C41&lt;Assumptions!$B$9,B41&lt;Assumptions!$B$10),"Irrigate Now",IF(AND(C41&gt;=Assumptions!$B$11,B41&gt;=Assumptions!$B$12),"No Irrigation Needed","Monitor"))</f>
        <v>Monitor</v>
      </c>
      <c r="O41" s="6" t="n">
        <f aca="false">IF(N41=G41,1,0)</f>
        <v>1</v>
      </c>
    </row>
    <row r="42" customFormat="false" ht="15" hidden="false" customHeight="false" outlineLevel="0" collapsed="false">
      <c r="A42" s="16" t="n">
        <v>22.78133816</v>
      </c>
      <c r="B42" s="16" t="n">
        <v>248.7183228</v>
      </c>
      <c r="C42" s="16" t="n">
        <v>19.7100077448465</v>
      </c>
      <c r="D42" s="6" t="s">
        <v>57</v>
      </c>
      <c r="E42" s="6" t="s">
        <v>24</v>
      </c>
      <c r="F42" s="6" t="s">
        <v>23</v>
      </c>
      <c r="G42" s="6" t="s">
        <v>61</v>
      </c>
      <c r="H42" s="6" t="s">
        <v>62</v>
      </c>
      <c r="I42" s="6" t="str">
        <f aca="false">IF(A42&lt;Outliers!$E$6,"Low",IF(A42&gt;Outliers!$F$6,"High",""))</f>
        <v/>
      </c>
      <c r="J42" s="6" t="str">
        <f aca="false">IF(B42&lt;Outliers!$E$7,"Low",IF(B42&gt;Outliers!$F$7,"High",""))</f>
        <v>High</v>
      </c>
      <c r="K42" s="6" t="str">
        <f aca="false">IF(C42&lt;Outliers!$E$8,"Low",IF(C42&gt;Outliers!$F$8,"High",""))</f>
        <v/>
      </c>
      <c r="L42" s="6" t="str">
        <f aca="false">A42&amp;";"&amp;B42&amp;";"&amp;C42</f>
        <v>22.78133816;248.7183228;19.7100077448465</v>
      </c>
      <c r="M42" s="6" t="n">
        <f aca="false">IF(COUNTIF($L$2:$L$2201,L42)&gt;1,1,0)</f>
        <v>0</v>
      </c>
      <c r="N42" s="6" t="str">
        <f aca="false">IF(AND(C42&lt;Assumptions!$B$9,B42&lt;Assumptions!$B$10),"Irrigate Now",IF(AND(C42&gt;=Assumptions!$B$11,B42&gt;=Assumptions!$B$12),"No Irrigation Needed","Monitor"))</f>
        <v>Monitor</v>
      </c>
      <c r="O42" s="6" t="n">
        <f aca="false">IF(N42=G42,1,0)</f>
        <v>1</v>
      </c>
    </row>
    <row r="43" customFormat="false" ht="15" hidden="false" customHeight="false" outlineLevel="0" collapsed="false">
      <c r="A43" s="16" t="n">
        <v>25.62980105</v>
      </c>
      <c r="B43" s="16" t="n">
        <v>209.9001977</v>
      </c>
      <c r="C43" s="16" t="n">
        <v>17.2418981821896</v>
      </c>
      <c r="D43" s="6" t="s">
        <v>57</v>
      </c>
      <c r="E43" s="6" t="s">
        <v>24</v>
      </c>
      <c r="F43" s="6" t="s">
        <v>60</v>
      </c>
      <c r="G43" s="6" t="s">
        <v>61</v>
      </c>
      <c r="H43" s="6" t="s">
        <v>62</v>
      </c>
      <c r="I43" s="6" t="str">
        <f aca="false">IF(A43&lt;Outliers!$E$6,"Low",IF(A43&gt;Outliers!$F$6,"High",""))</f>
        <v/>
      </c>
      <c r="J43" s="6" t="str">
        <f aca="false">IF(B43&lt;Outliers!$E$7,"Low",IF(B43&gt;Outliers!$F$7,"High",""))</f>
        <v/>
      </c>
      <c r="K43" s="6" t="str">
        <f aca="false">IF(C43&lt;Outliers!$E$8,"Low",IF(C43&gt;Outliers!$F$8,"High",""))</f>
        <v/>
      </c>
      <c r="L43" s="6" t="str">
        <f aca="false">A43&amp;";"&amp;B43&amp;";"&amp;C43</f>
        <v>25.62980105;209.9001977;17.2418981821896</v>
      </c>
      <c r="M43" s="6" t="n">
        <f aca="false">IF(COUNTIF($L$2:$L$2201,L43)&gt;1,1,0)</f>
        <v>0</v>
      </c>
      <c r="N43" s="6" t="str">
        <f aca="false">IF(AND(C43&lt;Assumptions!$B$9,B43&lt;Assumptions!$B$10),"Irrigate Now",IF(AND(C43&gt;=Assumptions!$B$11,B43&gt;=Assumptions!$B$12),"No Irrigation Needed","Monitor"))</f>
        <v>Monitor</v>
      </c>
      <c r="O43" s="6" t="n">
        <f aca="false">IF(N43=G43,1,0)</f>
        <v>1</v>
      </c>
    </row>
    <row r="44" customFormat="false" ht="15" hidden="false" customHeight="false" outlineLevel="0" collapsed="false">
      <c r="A44" s="16" t="n">
        <v>25.59704938</v>
      </c>
      <c r="B44" s="16" t="n">
        <v>200.834898</v>
      </c>
      <c r="C44" s="16" t="n">
        <v>23.5322355593619</v>
      </c>
      <c r="D44" s="6" t="s">
        <v>57</v>
      </c>
      <c r="E44" s="6" t="s">
        <v>24</v>
      </c>
      <c r="F44" s="6" t="s">
        <v>23</v>
      </c>
      <c r="G44" s="6" t="s">
        <v>61</v>
      </c>
      <c r="H44" s="6" t="s">
        <v>62</v>
      </c>
      <c r="I44" s="6" t="str">
        <f aca="false">IF(A44&lt;Outliers!$E$6,"Low",IF(A44&gt;Outliers!$F$6,"High",""))</f>
        <v/>
      </c>
      <c r="J44" s="6" t="str">
        <f aca="false">IF(B44&lt;Outliers!$E$7,"Low",IF(B44&gt;Outliers!$F$7,"High",""))</f>
        <v/>
      </c>
      <c r="K44" s="6" t="str">
        <f aca="false">IF(C44&lt;Outliers!$E$8,"Low",IF(C44&gt;Outliers!$F$8,"High",""))</f>
        <v/>
      </c>
      <c r="L44" s="6" t="str">
        <f aca="false">A44&amp;";"&amp;B44&amp;";"&amp;C44</f>
        <v>25.59704938;200.834898;23.5322355593619</v>
      </c>
      <c r="M44" s="6" t="n">
        <f aca="false">IF(COUNTIF($L$2:$L$2201,L44)&gt;1,1,0)</f>
        <v>0</v>
      </c>
      <c r="N44" s="6" t="str">
        <f aca="false">IF(AND(C44&lt;Assumptions!$B$9,B44&lt;Assumptions!$B$10),"Irrigate Now",IF(AND(C44&gt;=Assumptions!$B$11,B44&gt;=Assumptions!$B$12),"No Irrigation Needed","Monitor"))</f>
        <v>Monitor</v>
      </c>
      <c r="O44" s="6" t="n">
        <f aca="false">IF(N44=G44,1,0)</f>
        <v>1</v>
      </c>
    </row>
    <row r="45" customFormat="false" ht="15" hidden="false" customHeight="false" outlineLevel="0" collapsed="false">
      <c r="A45" s="16" t="n">
        <v>23.83067496</v>
      </c>
      <c r="B45" s="16" t="n">
        <v>298.5601175</v>
      </c>
      <c r="C45" s="16" t="n">
        <v>22.6916202141368</v>
      </c>
      <c r="D45" s="6" t="s">
        <v>57</v>
      </c>
      <c r="E45" s="6" t="s">
        <v>24</v>
      </c>
      <c r="F45" s="6" t="s">
        <v>23</v>
      </c>
      <c r="G45" s="6" t="s">
        <v>61</v>
      </c>
      <c r="H45" s="6" t="s">
        <v>62</v>
      </c>
      <c r="I45" s="6" t="str">
        <f aca="false">IF(A45&lt;Outliers!$E$6,"Low",IF(A45&gt;Outliers!$F$6,"High",""))</f>
        <v/>
      </c>
      <c r="J45" s="6" t="str">
        <f aca="false">IF(B45&lt;Outliers!$E$7,"Low",IF(B45&gt;Outliers!$F$7,"High",""))</f>
        <v>High</v>
      </c>
      <c r="K45" s="6" t="str">
        <f aca="false">IF(C45&lt;Outliers!$E$8,"Low",IF(C45&gt;Outliers!$F$8,"High",""))</f>
        <v/>
      </c>
      <c r="L45" s="6" t="str">
        <f aca="false">A45&amp;";"&amp;B45&amp;";"&amp;C45</f>
        <v>23.83067496;298.5601175;22.6916202141368</v>
      </c>
      <c r="M45" s="6" t="n">
        <f aca="false">IF(COUNTIF($L$2:$L$2201,L45)&gt;1,1,0)</f>
        <v>0</v>
      </c>
      <c r="N45" s="6" t="str">
        <f aca="false">IF(AND(C45&lt;Assumptions!$B$9,B45&lt;Assumptions!$B$10),"Irrigate Now",IF(AND(C45&gt;=Assumptions!$B$11,B45&gt;=Assumptions!$B$12),"No Irrigation Needed","Monitor"))</f>
        <v>Monitor</v>
      </c>
      <c r="O45" s="6" t="n">
        <f aca="false">IF(N45=G45,1,0)</f>
        <v>1</v>
      </c>
    </row>
    <row r="46" customFormat="false" ht="15" hidden="false" customHeight="false" outlineLevel="0" collapsed="false">
      <c r="A46" s="16" t="n">
        <v>26.31355498</v>
      </c>
      <c r="B46" s="16" t="n">
        <v>265.5355937</v>
      </c>
      <c r="C46" s="16" t="n">
        <v>10.9249397694844</v>
      </c>
      <c r="D46" s="6" t="s">
        <v>57</v>
      </c>
      <c r="E46" s="6" t="s">
        <v>24</v>
      </c>
      <c r="F46" s="6" t="s">
        <v>60</v>
      </c>
      <c r="G46" s="6" t="s">
        <v>61</v>
      </c>
      <c r="H46" s="6" t="s">
        <v>62</v>
      </c>
      <c r="I46" s="6" t="str">
        <f aca="false">IF(A46&lt;Outliers!$E$6,"Low",IF(A46&gt;Outliers!$F$6,"High",""))</f>
        <v/>
      </c>
      <c r="J46" s="6" t="str">
        <f aca="false">IF(B46&lt;Outliers!$E$7,"Low",IF(B46&gt;Outliers!$F$7,"High",""))</f>
        <v>High</v>
      </c>
      <c r="K46" s="6" t="str">
        <f aca="false">IF(C46&lt;Outliers!$E$8,"Low",IF(C46&gt;Outliers!$F$8,"High",""))</f>
        <v/>
      </c>
      <c r="L46" s="6" t="str">
        <f aca="false">A46&amp;";"&amp;B46&amp;";"&amp;C46</f>
        <v>26.31355498;265.5355937;10.9249397694844</v>
      </c>
      <c r="M46" s="6" t="n">
        <f aca="false">IF(COUNTIF($L$2:$L$2201,L46)&gt;1,1,0)</f>
        <v>0</v>
      </c>
      <c r="N46" s="6" t="str">
        <f aca="false">IF(AND(C46&lt;Assumptions!$B$9,B46&lt;Assumptions!$B$10),"Irrigate Now",IF(AND(C46&gt;=Assumptions!$B$11,B46&gt;=Assumptions!$B$12),"No Irrigation Needed","Monitor"))</f>
        <v>Monitor</v>
      </c>
      <c r="O46" s="6" t="n">
        <f aca="false">IF(N46=G46,1,0)</f>
        <v>1</v>
      </c>
    </row>
    <row r="47" customFormat="false" ht="15" hidden="false" customHeight="false" outlineLevel="0" collapsed="false">
      <c r="A47" s="16" t="n">
        <v>24.8972823</v>
      </c>
      <c r="B47" s="16" t="n">
        <v>183.6793207</v>
      </c>
      <c r="C47" s="16" t="n">
        <v>14.659362350624</v>
      </c>
      <c r="D47" s="6" t="s">
        <v>57</v>
      </c>
      <c r="E47" s="6" t="s">
        <v>24</v>
      </c>
      <c r="F47" s="6" t="s">
        <v>60</v>
      </c>
      <c r="G47" s="6" t="s">
        <v>61</v>
      </c>
      <c r="H47" s="6" t="s">
        <v>62</v>
      </c>
      <c r="I47" s="6" t="str">
        <f aca="false">IF(A47&lt;Outliers!$E$6,"Low",IF(A47&gt;Outliers!$F$6,"High",""))</f>
        <v/>
      </c>
      <c r="J47" s="6" t="str">
        <f aca="false">IF(B47&lt;Outliers!$E$7,"Low",IF(B47&gt;Outliers!$F$7,"High",""))</f>
        <v/>
      </c>
      <c r="K47" s="6" t="str">
        <f aca="false">IF(C47&lt;Outliers!$E$8,"Low",IF(C47&gt;Outliers!$F$8,"High",""))</f>
        <v/>
      </c>
      <c r="L47" s="6" t="str">
        <f aca="false">A47&amp;";"&amp;B47&amp;";"&amp;C47</f>
        <v>24.8972823;183.6793207;14.659362350624</v>
      </c>
      <c r="M47" s="6" t="n">
        <f aca="false">IF(COUNTIF($L$2:$L$2201,L47)&gt;1,1,0)</f>
        <v>0</v>
      </c>
      <c r="N47" s="6" t="str">
        <f aca="false">IF(AND(C47&lt;Assumptions!$B$9,B47&lt;Assumptions!$B$10),"Irrigate Now",IF(AND(C47&gt;=Assumptions!$B$11,B47&gt;=Assumptions!$B$12),"No Irrigation Needed","Monitor"))</f>
        <v>Monitor</v>
      </c>
      <c r="O47" s="6" t="n">
        <f aca="false">IF(N47=G47,1,0)</f>
        <v>1</v>
      </c>
    </row>
    <row r="48" customFormat="false" ht="15" hidden="false" customHeight="false" outlineLevel="0" collapsed="false">
      <c r="A48" s="16" t="n">
        <v>24.958779</v>
      </c>
      <c r="B48" s="16" t="n">
        <v>196.9560008</v>
      </c>
      <c r="C48" s="16" t="n">
        <v>15.6727509195576</v>
      </c>
      <c r="D48" s="6" t="s">
        <v>57</v>
      </c>
      <c r="E48" s="6" t="s">
        <v>24</v>
      </c>
      <c r="F48" s="6" t="s">
        <v>60</v>
      </c>
      <c r="G48" s="6" t="s">
        <v>61</v>
      </c>
      <c r="H48" s="6" t="s">
        <v>62</v>
      </c>
      <c r="I48" s="6" t="str">
        <f aca="false">IF(A48&lt;Outliers!$E$6,"Low",IF(A48&gt;Outliers!$F$6,"High",""))</f>
        <v/>
      </c>
      <c r="J48" s="6" t="str">
        <f aca="false">IF(B48&lt;Outliers!$E$7,"Low",IF(B48&gt;Outliers!$F$7,"High",""))</f>
        <v/>
      </c>
      <c r="K48" s="6" t="str">
        <f aca="false">IF(C48&lt;Outliers!$E$8,"Low",IF(C48&gt;Outliers!$F$8,"High",""))</f>
        <v/>
      </c>
      <c r="L48" s="6" t="str">
        <f aca="false">A48&amp;";"&amp;B48&amp;";"&amp;C48</f>
        <v>24.958779;196.9560008;15.6727509195576</v>
      </c>
      <c r="M48" s="6" t="n">
        <f aca="false">IF(COUNTIF($L$2:$L$2201,L48)&gt;1,1,0)</f>
        <v>0</v>
      </c>
      <c r="N48" s="6" t="str">
        <f aca="false">IF(AND(C48&lt;Assumptions!$B$9,B48&lt;Assumptions!$B$10),"Irrigate Now",IF(AND(C48&gt;=Assumptions!$B$11,B48&gt;=Assumptions!$B$12),"No Irrigation Needed","Monitor"))</f>
        <v>Monitor</v>
      </c>
      <c r="O48" s="6" t="n">
        <f aca="false">IF(N48=G48,1,0)</f>
        <v>1</v>
      </c>
    </row>
    <row r="49" customFormat="false" ht="15" hidden="false" customHeight="false" outlineLevel="0" collapsed="false">
      <c r="A49" s="16" t="n">
        <v>23.24113501</v>
      </c>
      <c r="B49" s="16" t="n">
        <v>233.0453455</v>
      </c>
      <c r="C49" s="16" t="n">
        <v>20.8174830590552</v>
      </c>
      <c r="D49" s="6" t="s">
        <v>57</v>
      </c>
      <c r="E49" s="6" t="s">
        <v>24</v>
      </c>
      <c r="F49" s="6" t="s">
        <v>23</v>
      </c>
      <c r="G49" s="6" t="s">
        <v>61</v>
      </c>
      <c r="H49" s="6" t="s">
        <v>62</v>
      </c>
      <c r="I49" s="6" t="str">
        <f aca="false">IF(A49&lt;Outliers!$E$6,"Low",IF(A49&gt;Outliers!$F$6,"High",""))</f>
        <v/>
      </c>
      <c r="J49" s="6" t="str">
        <f aca="false">IF(B49&lt;Outliers!$E$7,"Low",IF(B49&gt;Outliers!$F$7,"High",""))</f>
        <v>High</v>
      </c>
      <c r="K49" s="6" t="str">
        <f aca="false">IF(C49&lt;Outliers!$E$8,"Low",IF(C49&gt;Outliers!$F$8,"High",""))</f>
        <v/>
      </c>
      <c r="L49" s="6" t="str">
        <f aca="false">A49&amp;";"&amp;B49&amp;";"&amp;C49</f>
        <v>23.24113501;233.0453455;20.8174830590552</v>
      </c>
      <c r="M49" s="6" t="n">
        <f aca="false">IF(COUNTIF($L$2:$L$2201,L49)&gt;1,1,0)</f>
        <v>0</v>
      </c>
      <c r="N49" s="6" t="str">
        <f aca="false">IF(AND(C49&lt;Assumptions!$B$9,B49&lt;Assumptions!$B$10),"Irrigate Now",IF(AND(C49&gt;=Assumptions!$B$11,B49&gt;=Assumptions!$B$12),"No Irrigation Needed","Monitor"))</f>
        <v>Monitor</v>
      </c>
      <c r="O49" s="6" t="n">
        <f aca="false">IF(N49=G49,1,0)</f>
        <v>1</v>
      </c>
    </row>
    <row r="50" customFormat="false" ht="15" hidden="false" customHeight="false" outlineLevel="0" collapsed="false">
      <c r="A50" s="16" t="n">
        <v>21.66628296</v>
      </c>
      <c r="B50" s="16" t="n">
        <v>210.8142087</v>
      </c>
      <c r="C50" s="16" t="n">
        <v>16.4349359590298</v>
      </c>
      <c r="D50" s="6" t="s">
        <v>57</v>
      </c>
      <c r="E50" s="6" t="s">
        <v>24</v>
      </c>
      <c r="F50" s="6" t="s">
        <v>60</v>
      </c>
      <c r="G50" s="6" t="s">
        <v>61</v>
      </c>
      <c r="H50" s="6" t="s">
        <v>62</v>
      </c>
      <c r="I50" s="6" t="str">
        <f aca="false">IF(A50&lt;Outliers!$E$6,"Low",IF(A50&gt;Outliers!$F$6,"High",""))</f>
        <v/>
      </c>
      <c r="J50" s="6" t="str">
        <f aca="false">IF(B50&lt;Outliers!$E$7,"Low",IF(B50&gt;Outliers!$F$7,"High",""))</f>
        <v/>
      </c>
      <c r="K50" s="6" t="str">
        <f aca="false">IF(C50&lt;Outliers!$E$8,"Low",IF(C50&gt;Outliers!$F$8,"High",""))</f>
        <v/>
      </c>
      <c r="L50" s="6" t="str">
        <f aca="false">A50&amp;";"&amp;B50&amp;";"&amp;C50</f>
        <v>21.66628296;210.8142087;16.4349359590298</v>
      </c>
      <c r="M50" s="6" t="n">
        <f aca="false">IF(COUNTIF($L$2:$L$2201,L50)&gt;1,1,0)</f>
        <v>0</v>
      </c>
      <c r="N50" s="6" t="str">
        <f aca="false">IF(AND(C50&lt;Assumptions!$B$9,B50&lt;Assumptions!$B$10),"Irrigate Now",IF(AND(C50&gt;=Assumptions!$B$11,B50&gt;=Assumptions!$B$12),"No Irrigation Needed","Monitor"))</f>
        <v>Monitor</v>
      </c>
      <c r="O50" s="6" t="n">
        <f aca="false">IF(N50=G50,1,0)</f>
        <v>1</v>
      </c>
    </row>
    <row r="51" customFormat="false" ht="15" hidden="false" customHeight="false" outlineLevel="0" collapsed="false">
      <c r="A51" s="16" t="n">
        <v>24.63544858</v>
      </c>
      <c r="B51" s="16" t="n">
        <v>253.7202781</v>
      </c>
      <c r="C51" s="16" t="n">
        <v>14.8340000566013</v>
      </c>
      <c r="D51" s="6" t="s">
        <v>57</v>
      </c>
      <c r="E51" s="6" t="s">
        <v>24</v>
      </c>
      <c r="F51" s="6" t="s">
        <v>60</v>
      </c>
      <c r="G51" s="6" t="s">
        <v>61</v>
      </c>
      <c r="H51" s="6" t="s">
        <v>62</v>
      </c>
      <c r="I51" s="6" t="str">
        <f aca="false">IF(A51&lt;Outliers!$E$6,"Low",IF(A51&gt;Outliers!$F$6,"High",""))</f>
        <v/>
      </c>
      <c r="J51" s="6" t="str">
        <f aca="false">IF(B51&lt;Outliers!$E$7,"Low",IF(B51&gt;Outliers!$F$7,"High",""))</f>
        <v>High</v>
      </c>
      <c r="K51" s="6" t="str">
        <f aca="false">IF(C51&lt;Outliers!$E$8,"Low",IF(C51&gt;Outliers!$F$8,"High",""))</f>
        <v/>
      </c>
      <c r="L51" s="6" t="str">
        <f aca="false">A51&amp;";"&amp;B51&amp;";"&amp;C51</f>
        <v>24.63544858;253.7202781;14.8340000566013</v>
      </c>
      <c r="M51" s="6" t="n">
        <f aca="false">IF(COUNTIF($L$2:$L$2201,L51)&gt;1,1,0)</f>
        <v>0</v>
      </c>
      <c r="N51" s="6" t="str">
        <f aca="false">IF(AND(C51&lt;Assumptions!$B$9,B51&lt;Assumptions!$B$10),"Irrigate Now",IF(AND(C51&gt;=Assumptions!$B$11,B51&gt;=Assumptions!$B$12),"No Irrigation Needed","Monitor"))</f>
        <v>Monitor</v>
      </c>
      <c r="O51" s="6" t="n">
        <f aca="false">IF(N51=G51,1,0)</f>
        <v>1</v>
      </c>
    </row>
    <row r="52" customFormat="false" ht="15" hidden="false" customHeight="false" outlineLevel="0" collapsed="false">
      <c r="A52" s="16" t="n">
        <v>23.43121862</v>
      </c>
      <c r="B52" s="16" t="n">
        <v>219.9048349</v>
      </c>
      <c r="C52" s="16" t="n">
        <v>24.8121987674652</v>
      </c>
      <c r="D52" s="6" t="s">
        <v>57</v>
      </c>
      <c r="E52" s="6" t="s">
        <v>24</v>
      </c>
      <c r="F52" s="6" t="s">
        <v>23</v>
      </c>
      <c r="G52" s="6" t="s">
        <v>61</v>
      </c>
      <c r="H52" s="6" t="s">
        <v>62</v>
      </c>
      <c r="I52" s="6" t="str">
        <f aca="false">IF(A52&lt;Outliers!$E$6,"Low",IF(A52&gt;Outliers!$F$6,"High",""))</f>
        <v/>
      </c>
      <c r="J52" s="6" t="str">
        <f aca="false">IF(B52&lt;Outliers!$E$7,"Low",IF(B52&gt;Outliers!$F$7,"High",""))</f>
        <v>High</v>
      </c>
      <c r="K52" s="6" t="str">
        <f aca="false">IF(C52&lt;Outliers!$E$8,"Low",IF(C52&gt;Outliers!$F$8,"High",""))</f>
        <v/>
      </c>
      <c r="L52" s="6" t="str">
        <f aca="false">A52&amp;";"&amp;B52&amp;";"&amp;C52</f>
        <v>23.43121862;219.9048349;24.8121987674652</v>
      </c>
      <c r="M52" s="6" t="n">
        <f aca="false">IF(COUNTIF($L$2:$L$2201,L52)&gt;1,1,0)</f>
        <v>0</v>
      </c>
      <c r="N52" s="6" t="str">
        <f aca="false">IF(AND(C52&lt;Assumptions!$B$9,B52&lt;Assumptions!$B$10),"Irrigate Now",IF(AND(C52&gt;=Assumptions!$B$11,B52&gt;=Assumptions!$B$12),"No Irrigation Needed","Monitor"))</f>
        <v>Monitor</v>
      </c>
      <c r="O52" s="6" t="n">
        <f aca="false">IF(N52=G52,1,0)</f>
        <v>1</v>
      </c>
    </row>
    <row r="53" customFormat="false" ht="15" hidden="false" customHeight="false" outlineLevel="0" collapsed="false">
      <c r="A53" s="16" t="n">
        <v>20.0454142</v>
      </c>
      <c r="B53" s="16" t="n">
        <v>208.5810155</v>
      </c>
      <c r="C53" s="16" t="n">
        <v>10.9077560402946</v>
      </c>
      <c r="D53" s="6" t="s">
        <v>57</v>
      </c>
      <c r="E53" s="6" t="s">
        <v>24</v>
      </c>
      <c r="F53" s="6" t="s">
        <v>24</v>
      </c>
      <c r="G53" s="6" t="s">
        <v>61</v>
      </c>
      <c r="H53" s="6" t="s">
        <v>62</v>
      </c>
      <c r="I53" s="6" t="str">
        <f aca="false">IF(A53&lt;Outliers!$E$6,"Low",IF(A53&gt;Outliers!$F$6,"High",""))</f>
        <v/>
      </c>
      <c r="J53" s="6" t="str">
        <f aca="false">IF(B53&lt;Outliers!$E$7,"Low",IF(B53&gt;Outliers!$F$7,"High",""))</f>
        <v/>
      </c>
      <c r="K53" s="6" t="str">
        <f aca="false">IF(C53&lt;Outliers!$E$8,"Low",IF(C53&gt;Outliers!$F$8,"High",""))</f>
        <v/>
      </c>
      <c r="L53" s="6" t="str">
        <f aca="false">A53&amp;";"&amp;B53&amp;";"&amp;C53</f>
        <v>20.0454142;208.5810155;10.9077560402946</v>
      </c>
      <c r="M53" s="6" t="n">
        <f aca="false">IF(COUNTIF($L$2:$L$2201,L53)&gt;1,1,0)</f>
        <v>0</v>
      </c>
      <c r="N53" s="6" t="str">
        <f aca="false">IF(AND(C53&lt;Assumptions!$B$9,B53&lt;Assumptions!$B$10),"Irrigate Now",IF(AND(C53&gt;=Assumptions!$B$11,B53&gt;=Assumptions!$B$12),"No Irrigation Needed","Monitor"))</f>
        <v>Monitor</v>
      </c>
      <c r="O53" s="6" t="n">
        <f aca="false">IF(N53=G53,1,0)</f>
        <v>1</v>
      </c>
    </row>
    <row r="54" customFormat="false" ht="15" hidden="false" customHeight="false" outlineLevel="0" collapsed="false">
      <c r="A54" s="16" t="n">
        <v>23.85724032</v>
      </c>
      <c r="B54" s="16" t="n">
        <v>195.0948311</v>
      </c>
      <c r="C54" s="16" t="n">
        <v>29.1460411292661</v>
      </c>
      <c r="D54" s="6" t="s">
        <v>57</v>
      </c>
      <c r="E54" s="6" t="s">
        <v>24</v>
      </c>
      <c r="F54" s="6" t="s">
        <v>23</v>
      </c>
      <c r="G54" s="6" t="s">
        <v>58</v>
      </c>
      <c r="H54" s="6" t="s">
        <v>59</v>
      </c>
      <c r="I54" s="6" t="str">
        <f aca="false">IF(A54&lt;Outliers!$E$6,"Low",IF(A54&gt;Outliers!$F$6,"High",""))</f>
        <v/>
      </c>
      <c r="J54" s="6" t="str">
        <f aca="false">IF(B54&lt;Outliers!$E$7,"Low",IF(B54&gt;Outliers!$F$7,"High",""))</f>
        <v/>
      </c>
      <c r="K54" s="6" t="str">
        <f aca="false">IF(C54&lt;Outliers!$E$8,"Low",IF(C54&gt;Outliers!$F$8,"High",""))</f>
        <v/>
      </c>
      <c r="L54" s="6" t="str">
        <f aca="false">A54&amp;";"&amp;B54&amp;";"&amp;C54</f>
        <v>23.85724032;195.0948311;29.1460411292661</v>
      </c>
      <c r="M54" s="6" t="n">
        <f aca="false">IF(COUNTIF($L$2:$L$2201,L54)&gt;1,1,0)</f>
        <v>0</v>
      </c>
      <c r="N54" s="6" t="str">
        <f aca="false">IF(AND(C54&lt;Assumptions!$B$9,B54&lt;Assumptions!$B$10),"Irrigate Now",IF(AND(C54&gt;=Assumptions!$B$11,B54&gt;=Assumptions!$B$12),"No Irrigation Needed","Monitor"))</f>
        <v>No Irrigation Needed</v>
      </c>
      <c r="O54" s="6" t="n">
        <f aca="false">IF(N54=G54,1,0)</f>
        <v>1</v>
      </c>
    </row>
    <row r="55" customFormat="false" ht="15" hidden="false" customHeight="false" outlineLevel="0" collapsed="false">
      <c r="A55" s="16" t="n">
        <v>21.97199397</v>
      </c>
      <c r="B55" s="16" t="n">
        <v>227.3637009</v>
      </c>
      <c r="C55" s="16" t="n">
        <v>21.2793642235435</v>
      </c>
      <c r="D55" s="6" t="s">
        <v>57</v>
      </c>
      <c r="E55" s="6" t="s">
        <v>24</v>
      </c>
      <c r="F55" s="6" t="s">
        <v>23</v>
      </c>
      <c r="G55" s="6" t="s">
        <v>61</v>
      </c>
      <c r="H55" s="6" t="s">
        <v>62</v>
      </c>
      <c r="I55" s="6" t="str">
        <f aca="false">IF(A55&lt;Outliers!$E$6,"Low",IF(A55&gt;Outliers!$F$6,"High",""))</f>
        <v/>
      </c>
      <c r="J55" s="6" t="str">
        <f aca="false">IF(B55&lt;Outliers!$E$7,"Low",IF(B55&gt;Outliers!$F$7,"High",""))</f>
        <v>High</v>
      </c>
      <c r="K55" s="6" t="str">
        <f aca="false">IF(C55&lt;Outliers!$E$8,"Low",IF(C55&gt;Outliers!$F$8,"High",""))</f>
        <v/>
      </c>
      <c r="L55" s="6" t="str">
        <f aca="false">A55&amp;";"&amp;B55&amp;";"&amp;C55</f>
        <v>21.97199397;227.3637009;21.2793642235435</v>
      </c>
      <c r="M55" s="6" t="n">
        <f aca="false">IF(COUNTIF($L$2:$L$2201,L55)&gt;1,1,0)</f>
        <v>0</v>
      </c>
      <c r="N55" s="6" t="str">
        <f aca="false">IF(AND(C55&lt;Assumptions!$B$9,B55&lt;Assumptions!$B$10),"Irrigate Now",IF(AND(C55&gt;=Assumptions!$B$11,B55&gt;=Assumptions!$B$12),"No Irrigation Needed","Monitor"))</f>
        <v>Monitor</v>
      </c>
      <c r="O55" s="6" t="n">
        <f aca="false">IF(N55=G55,1,0)</f>
        <v>1</v>
      </c>
    </row>
    <row r="56" customFormat="false" ht="15" hidden="false" customHeight="false" outlineLevel="0" collapsed="false">
      <c r="A56" s="16" t="n">
        <v>26.22916897</v>
      </c>
      <c r="B56" s="16" t="n">
        <v>286.5083725</v>
      </c>
      <c r="C56" s="16" t="n">
        <v>16.4042679617838</v>
      </c>
      <c r="D56" s="6" t="s">
        <v>57</v>
      </c>
      <c r="E56" s="6" t="s">
        <v>24</v>
      </c>
      <c r="F56" s="6" t="s">
        <v>23</v>
      </c>
      <c r="G56" s="6" t="s">
        <v>61</v>
      </c>
      <c r="H56" s="6" t="s">
        <v>62</v>
      </c>
      <c r="I56" s="6" t="str">
        <f aca="false">IF(A56&lt;Outliers!$E$6,"Low",IF(A56&gt;Outliers!$F$6,"High",""))</f>
        <v/>
      </c>
      <c r="J56" s="6" t="str">
        <f aca="false">IF(B56&lt;Outliers!$E$7,"Low",IF(B56&gt;Outliers!$F$7,"High",""))</f>
        <v>High</v>
      </c>
      <c r="K56" s="6" t="str">
        <f aca="false">IF(C56&lt;Outliers!$E$8,"Low",IF(C56&gt;Outliers!$F$8,"High",""))</f>
        <v/>
      </c>
      <c r="L56" s="6" t="str">
        <f aca="false">A56&amp;";"&amp;B56&amp;";"&amp;C56</f>
        <v>26.22916897;286.5083725;16.4042679617838</v>
      </c>
      <c r="M56" s="6" t="n">
        <f aca="false">IF(COUNTIF($L$2:$L$2201,L56)&gt;1,1,0)</f>
        <v>0</v>
      </c>
      <c r="N56" s="6" t="str">
        <f aca="false">IF(AND(C56&lt;Assumptions!$B$9,B56&lt;Assumptions!$B$10),"Irrigate Now",IF(AND(C56&gt;=Assumptions!$B$11,B56&gt;=Assumptions!$B$12),"No Irrigation Needed","Monitor"))</f>
        <v>Monitor</v>
      </c>
      <c r="O56" s="6" t="n">
        <f aca="false">IF(N56=G56,1,0)</f>
        <v>1</v>
      </c>
    </row>
    <row r="57" customFormat="false" ht="15" hidden="false" customHeight="false" outlineLevel="0" collapsed="false">
      <c r="A57" s="16" t="n">
        <v>23.44676801</v>
      </c>
      <c r="B57" s="16" t="n">
        <v>283.9338466</v>
      </c>
      <c r="C57" s="16" t="n">
        <v>13.104904061825</v>
      </c>
      <c r="D57" s="6" t="s">
        <v>57</v>
      </c>
      <c r="E57" s="6" t="s">
        <v>24</v>
      </c>
      <c r="F57" s="6" t="s">
        <v>60</v>
      </c>
      <c r="G57" s="6" t="s">
        <v>61</v>
      </c>
      <c r="H57" s="6" t="s">
        <v>62</v>
      </c>
      <c r="I57" s="6" t="str">
        <f aca="false">IF(A57&lt;Outliers!$E$6,"Low",IF(A57&gt;Outliers!$F$6,"High",""))</f>
        <v/>
      </c>
      <c r="J57" s="6" t="str">
        <f aca="false">IF(B57&lt;Outliers!$E$7,"Low",IF(B57&gt;Outliers!$F$7,"High",""))</f>
        <v>High</v>
      </c>
      <c r="K57" s="6" t="str">
        <f aca="false">IF(C57&lt;Outliers!$E$8,"Low",IF(C57&gt;Outliers!$F$8,"High",""))</f>
        <v/>
      </c>
      <c r="L57" s="6" t="str">
        <f aca="false">A57&amp;";"&amp;B57&amp;";"&amp;C57</f>
        <v>23.44676801;283.9338466;13.104904061825</v>
      </c>
      <c r="M57" s="6" t="n">
        <f aca="false">IF(COUNTIF($L$2:$L$2201,L57)&gt;1,1,0)</f>
        <v>0</v>
      </c>
      <c r="N57" s="6" t="str">
        <f aca="false">IF(AND(C57&lt;Assumptions!$B$9,B57&lt;Assumptions!$B$10),"Irrigate Now",IF(AND(C57&gt;=Assumptions!$B$11,B57&gt;=Assumptions!$B$12),"No Irrigation Needed","Monitor"))</f>
        <v>Monitor</v>
      </c>
      <c r="O57" s="6" t="n">
        <f aca="false">IF(N57=G57,1,0)</f>
        <v>1</v>
      </c>
    </row>
    <row r="58" customFormat="false" ht="15" hidden="false" customHeight="false" outlineLevel="0" collapsed="false">
      <c r="A58" s="16" t="n">
        <v>25.65553461</v>
      </c>
      <c r="B58" s="16" t="n">
        <v>217.3788583</v>
      </c>
      <c r="C58" s="16" t="n">
        <v>21.9874315762042</v>
      </c>
      <c r="D58" s="6" t="s">
        <v>57</v>
      </c>
      <c r="E58" s="6" t="s">
        <v>24</v>
      </c>
      <c r="F58" s="6" t="s">
        <v>23</v>
      </c>
      <c r="G58" s="6" t="s">
        <v>61</v>
      </c>
      <c r="H58" s="6" t="s">
        <v>62</v>
      </c>
      <c r="I58" s="6" t="str">
        <f aca="false">IF(A58&lt;Outliers!$E$6,"Low",IF(A58&gt;Outliers!$F$6,"High",""))</f>
        <v/>
      </c>
      <c r="J58" s="6" t="str">
        <f aca="false">IF(B58&lt;Outliers!$E$7,"Low",IF(B58&gt;Outliers!$F$7,"High",""))</f>
        <v>High</v>
      </c>
      <c r="K58" s="6" t="str">
        <f aca="false">IF(C58&lt;Outliers!$E$8,"Low",IF(C58&gt;Outliers!$F$8,"High",""))</f>
        <v/>
      </c>
      <c r="L58" s="6" t="str">
        <f aca="false">A58&amp;";"&amp;B58&amp;";"&amp;C58</f>
        <v>25.65553461;217.3788583;21.9874315762042</v>
      </c>
      <c r="M58" s="6" t="n">
        <f aca="false">IF(COUNTIF($L$2:$L$2201,L58)&gt;1,1,0)</f>
        <v>0</v>
      </c>
      <c r="N58" s="6" t="str">
        <f aca="false">IF(AND(C58&lt;Assumptions!$B$9,B58&lt;Assumptions!$B$10),"Irrigate Now",IF(AND(C58&gt;=Assumptions!$B$11,B58&gt;=Assumptions!$B$12),"No Irrigation Needed","Monitor"))</f>
        <v>Monitor</v>
      </c>
      <c r="O58" s="6" t="n">
        <f aca="false">IF(N58=G58,1,0)</f>
        <v>1</v>
      </c>
    </row>
    <row r="59" customFormat="false" ht="15" hidden="false" customHeight="false" outlineLevel="0" collapsed="false">
      <c r="A59" s="16" t="n">
        <v>24.44345477</v>
      </c>
      <c r="B59" s="16" t="n">
        <v>267.9761948</v>
      </c>
      <c r="C59" s="16" t="n">
        <v>23.1620518717383</v>
      </c>
      <c r="D59" s="6" t="s">
        <v>57</v>
      </c>
      <c r="E59" s="6" t="s">
        <v>24</v>
      </c>
      <c r="F59" s="6" t="s">
        <v>23</v>
      </c>
      <c r="G59" s="6" t="s">
        <v>61</v>
      </c>
      <c r="H59" s="6" t="s">
        <v>62</v>
      </c>
      <c r="I59" s="6" t="str">
        <f aca="false">IF(A59&lt;Outliers!$E$6,"Low",IF(A59&gt;Outliers!$F$6,"High",""))</f>
        <v/>
      </c>
      <c r="J59" s="6" t="str">
        <f aca="false">IF(B59&lt;Outliers!$E$7,"Low",IF(B59&gt;Outliers!$F$7,"High",""))</f>
        <v>High</v>
      </c>
      <c r="K59" s="6" t="str">
        <f aca="false">IF(C59&lt;Outliers!$E$8,"Low",IF(C59&gt;Outliers!$F$8,"High",""))</f>
        <v/>
      </c>
      <c r="L59" s="6" t="str">
        <f aca="false">A59&amp;";"&amp;B59&amp;";"&amp;C59</f>
        <v>24.44345477;267.9761948;23.1620518717383</v>
      </c>
      <c r="M59" s="6" t="n">
        <f aca="false">IF(COUNTIF($L$2:$L$2201,L59)&gt;1,1,0)</f>
        <v>0</v>
      </c>
      <c r="N59" s="6" t="str">
        <f aca="false">IF(AND(C59&lt;Assumptions!$B$9,B59&lt;Assumptions!$B$10),"Irrigate Now",IF(AND(C59&gt;=Assumptions!$B$11,B59&gt;=Assumptions!$B$12),"No Irrigation Needed","Monitor"))</f>
        <v>Monitor</v>
      </c>
      <c r="O59" s="6" t="n">
        <f aca="false">IF(N59=G59,1,0)</f>
        <v>1</v>
      </c>
    </row>
    <row r="60" customFormat="false" ht="15" hidden="false" customHeight="false" outlineLevel="0" collapsed="false">
      <c r="A60" s="16" t="n">
        <v>20.2801937</v>
      </c>
      <c r="B60" s="16" t="n">
        <v>191.9535738</v>
      </c>
      <c r="C60" s="16" t="n">
        <v>14.510480330649</v>
      </c>
      <c r="D60" s="6" t="s">
        <v>57</v>
      </c>
      <c r="E60" s="6" t="s">
        <v>24</v>
      </c>
      <c r="F60" s="6" t="s">
        <v>60</v>
      </c>
      <c r="G60" s="6" t="s">
        <v>61</v>
      </c>
      <c r="H60" s="6" t="s">
        <v>62</v>
      </c>
      <c r="I60" s="6" t="str">
        <f aca="false">IF(A60&lt;Outliers!$E$6,"Low",IF(A60&gt;Outliers!$F$6,"High",""))</f>
        <v/>
      </c>
      <c r="J60" s="6" t="str">
        <f aca="false">IF(B60&lt;Outliers!$E$7,"Low",IF(B60&gt;Outliers!$F$7,"High",""))</f>
        <v/>
      </c>
      <c r="K60" s="6" t="str">
        <f aca="false">IF(C60&lt;Outliers!$E$8,"Low",IF(C60&gt;Outliers!$F$8,"High",""))</f>
        <v/>
      </c>
      <c r="L60" s="6" t="str">
        <f aca="false">A60&amp;";"&amp;B60&amp;";"&amp;C60</f>
        <v>20.2801937;191.9535738;14.510480330649</v>
      </c>
      <c r="M60" s="6" t="n">
        <f aca="false">IF(COUNTIF($L$2:$L$2201,L60)&gt;1,1,0)</f>
        <v>0</v>
      </c>
      <c r="N60" s="6" t="str">
        <f aca="false">IF(AND(C60&lt;Assumptions!$B$9,B60&lt;Assumptions!$B$10),"Irrigate Now",IF(AND(C60&gt;=Assumptions!$B$11,B60&gt;=Assumptions!$B$12),"No Irrigation Needed","Monitor"))</f>
        <v>Monitor</v>
      </c>
      <c r="O60" s="6" t="n">
        <f aca="false">IF(N60=G60,1,0)</f>
        <v>1</v>
      </c>
    </row>
    <row r="61" customFormat="false" ht="15" hidden="false" customHeight="false" outlineLevel="0" collapsed="false">
      <c r="A61" s="16" t="n">
        <v>21.7238313</v>
      </c>
      <c r="B61" s="16" t="n">
        <v>277.9626192</v>
      </c>
      <c r="C61" s="16" t="n">
        <v>13.538539648191</v>
      </c>
      <c r="D61" s="6" t="s">
        <v>57</v>
      </c>
      <c r="E61" s="6" t="s">
        <v>24</v>
      </c>
      <c r="F61" s="6" t="s">
        <v>60</v>
      </c>
      <c r="G61" s="6" t="s">
        <v>61</v>
      </c>
      <c r="H61" s="6" t="s">
        <v>62</v>
      </c>
      <c r="I61" s="6" t="str">
        <f aca="false">IF(A61&lt;Outliers!$E$6,"Low",IF(A61&gt;Outliers!$F$6,"High",""))</f>
        <v/>
      </c>
      <c r="J61" s="6" t="str">
        <f aca="false">IF(B61&lt;Outliers!$E$7,"Low",IF(B61&gt;Outliers!$F$7,"High",""))</f>
        <v>High</v>
      </c>
      <c r="K61" s="6" t="str">
        <f aca="false">IF(C61&lt;Outliers!$E$8,"Low",IF(C61&gt;Outliers!$F$8,"High",""))</f>
        <v/>
      </c>
      <c r="L61" s="6" t="str">
        <f aca="false">A61&amp;";"&amp;B61&amp;";"&amp;C61</f>
        <v>21.7238313;277.9626192;13.538539648191</v>
      </c>
      <c r="M61" s="6" t="n">
        <f aca="false">IF(COUNTIF($L$2:$L$2201,L61)&gt;1,1,0)</f>
        <v>0</v>
      </c>
      <c r="N61" s="6" t="str">
        <f aca="false">IF(AND(C61&lt;Assumptions!$B$9,B61&lt;Assumptions!$B$10),"Irrigate Now",IF(AND(C61&gt;=Assumptions!$B$11,B61&gt;=Assumptions!$B$12),"No Irrigation Needed","Monitor"))</f>
        <v>Monitor</v>
      </c>
      <c r="O61" s="6" t="n">
        <f aca="false">IF(N61=G61,1,0)</f>
        <v>1</v>
      </c>
    </row>
    <row r="62" customFormat="false" ht="15" hidden="false" customHeight="false" outlineLevel="0" collapsed="false">
      <c r="A62" s="16" t="n">
        <v>20.41447029</v>
      </c>
      <c r="B62" s="16" t="n">
        <v>245.1511304</v>
      </c>
      <c r="C62" s="16" t="n">
        <v>14.592365270038</v>
      </c>
      <c r="D62" s="6" t="s">
        <v>57</v>
      </c>
      <c r="E62" s="6" t="s">
        <v>24</v>
      </c>
      <c r="F62" s="6" t="s">
        <v>60</v>
      </c>
      <c r="G62" s="6" t="s">
        <v>61</v>
      </c>
      <c r="H62" s="6" t="s">
        <v>62</v>
      </c>
      <c r="I62" s="6" t="str">
        <f aca="false">IF(A62&lt;Outliers!$E$6,"Low",IF(A62&gt;Outliers!$F$6,"High",""))</f>
        <v/>
      </c>
      <c r="J62" s="6" t="str">
        <f aca="false">IF(B62&lt;Outliers!$E$7,"Low",IF(B62&gt;Outliers!$F$7,"High",""))</f>
        <v>High</v>
      </c>
      <c r="K62" s="6" t="str">
        <f aca="false">IF(C62&lt;Outliers!$E$8,"Low",IF(C62&gt;Outliers!$F$8,"High",""))</f>
        <v/>
      </c>
      <c r="L62" s="6" t="str">
        <f aca="false">A62&amp;";"&amp;B62&amp;";"&amp;C62</f>
        <v>20.41447029;245.1511304;14.592365270038</v>
      </c>
      <c r="M62" s="6" t="n">
        <f aca="false">IF(COUNTIF($L$2:$L$2201,L62)&gt;1,1,0)</f>
        <v>0</v>
      </c>
      <c r="N62" s="6" t="str">
        <f aca="false">IF(AND(C62&lt;Assumptions!$B$9,B62&lt;Assumptions!$B$10),"Irrigate Now",IF(AND(C62&gt;=Assumptions!$B$11,B62&gt;=Assumptions!$B$12),"No Irrigation Needed","Monitor"))</f>
        <v>Monitor</v>
      </c>
      <c r="O62" s="6" t="n">
        <f aca="false">IF(N62=G62,1,0)</f>
        <v>1</v>
      </c>
    </row>
    <row r="63" customFormat="false" ht="15" hidden="false" customHeight="false" outlineLevel="0" collapsed="false">
      <c r="A63" s="16" t="n">
        <v>25.75528612</v>
      </c>
      <c r="B63" s="16" t="n">
        <v>245.6626799</v>
      </c>
      <c r="C63" s="16" t="n">
        <v>14.6969735114951</v>
      </c>
      <c r="D63" s="6" t="s">
        <v>57</v>
      </c>
      <c r="E63" s="6" t="s">
        <v>24</v>
      </c>
      <c r="F63" s="6" t="s">
        <v>60</v>
      </c>
      <c r="G63" s="6" t="s">
        <v>61</v>
      </c>
      <c r="H63" s="6" t="s">
        <v>62</v>
      </c>
      <c r="I63" s="6" t="str">
        <f aca="false">IF(A63&lt;Outliers!$E$6,"Low",IF(A63&gt;Outliers!$F$6,"High",""))</f>
        <v/>
      </c>
      <c r="J63" s="6" t="str">
        <f aca="false">IF(B63&lt;Outliers!$E$7,"Low",IF(B63&gt;Outliers!$F$7,"High",""))</f>
        <v>High</v>
      </c>
      <c r="K63" s="6" t="str">
        <f aca="false">IF(C63&lt;Outliers!$E$8,"Low",IF(C63&gt;Outliers!$F$8,"High",""))</f>
        <v/>
      </c>
      <c r="L63" s="6" t="str">
        <f aca="false">A63&amp;";"&amp;B63&amp;";"&amp;C63</f>
        <v>25.75528612;245.6626799;14.6969735114951</v>
      </c>
      <c r="M63" s="6" t="n">
        <f aca="false">IF(COUNTIF($L$2:$L$2201,L63)&gt;1,1,0)</f>
        <v>0</v>
      </c>
      <c r="N63" s="6" t="str">
        <f aca="false">IF(AND(C63&lt;Assumptions!$B$9,B63&lt;Assumptions!$B$10),"Irrigate Now",IF(AND(C63&gt;=Assumptions!$B$11,B63&gt;=Assumptions!$B$12),"No Irrigation Needed","Monitor"))</f>
        <v>Monitor</v>
      </c>
      <c r="O63" s="6" t="n">
        <f aca="false">IF(N63=G63,1,0)</f>
        <v>1</v>
      </c>
    </row>
    <row r="64" customFormat="false" ht="15" hidden="false" customHeight="false" outlineLevel="0" collapsed="false">
      <c r="A64" s="16" t="n">
        <v>20.61521424</v>
      </c>
      <c r="B64" s="16" t="n">
        <v>279.5451717</v>
      </c>
      <c r="C64" s="16" t="n">
        <v>19.5691227383605</v>
      </c>
      <c r="D64" s="6" t="s">
        <v>57</v>
      </c>
      <c r="E64" s="6" t="s">
        <v>24</v>
      </c>
      <c r="F64" s="6" t="s">
        <v>23</v>
      </c>
      <c r="G64" s="6" t="s">
        <v>61</v>
      </c>
      <c r="H64" s="6" t="s">
        <v>62</v>
      </c>
      <c r="I64" s="6" t="str">
        <f aca="false">IF(A64&lt;Outliers!$E$6,"Low",IF(A64&gt;Outliers!$F$6,"High",""))</f>
        <v/>
      </c>
      <c r="J64" s="6" t="str">
        <f aca="false">IF(B64&lt;Outliers!$E$7,"Low",IF(B64&gt;Outliers!$F$7,"High",""))</f>
        <v>High</v>
      </c>
      <c r="K64" s="6" t="str">
        <f aca="false">IF(C64&lt;Outliers!$E$8,"Low",IF(C64&gt;Outliers!$F$8,"High",""))</f>
        <v/>
      </c>
      <c r="L64" s="6" t="str">
        <f aca="false">A64&amp;";"&amp;B64&amp;";"&amp;C64</f>
        <v>20.61521424;279.5451717;19.5691227383605</v>
      </c>
      <c r="M64" s="6" t="n">
        <f aca="false">IF(COUNTIF($L$2:$L$2201,L64)&gt;1,1,0)</f>
        <v>0</v>
      </c>
      <c r="N64" s="6" t="str">
        <f aca="false">IF(AND(C64&lt;Assumptions!$B$9,B64&lt;Assumptions!$B$10),"Irrigate Now",IF(AND(C64&gt;=Assumptions!$B$11,B64&gt;=Assumptions!$B$12),"No Irrigation Needed","Monitor"))</f>
        <v>Monitor</v>
      </c>
      <c r="O64" s="6" t="n">
        <f aca="false">IF(N64=G64,1,0)</f>
        <v>1</v>
      </c>
    </row>
    <row r="65" customFormat="false" ht="15" hidden="false" customHeight="false" outlineLevel="0" collapsed="false">
      <c r="A65" s="16" t="n">
        <v>21.84106875</v>
      </c>
      <c r="B65" s="16" t="n">
        <v>202.3838319</v>
      </c>
      <c r="C65" s="16" t="n">
        <v>13.8258551746889</v>
      </c>
      <c r="D65" s="6" t="s">
        <v>57</v>
      </c>
      <c r="E65" s="6" t="s">
        <v>24</v>
      </c>
      <c r="F65" s="6" t="s">
        <v>60</v>
      </c>
      <c r="G65" s="6" t="s">
        <v>61</v>
      </c>
      <c r="H65" s="6" t="s">
        <v>62</v>
      </c>
      <c r="I65" s="6" t="str">
        <f aca="false">IF(A65&lt;Outliers!$E$6,"Low",IF(A65&gt;Outliers!$F$6,"High",""))</f>
        <v/>
      </c>
      <c r="J65" s="6" t="str">
        <f aca="false">IF(B65&lt;Outliers!$E$7,"Low",IF(B65&gt;Outliers!$F$7,"High",""))</f>
        <v/>
      </c>
      <c r="K65" s="6" t="str">
        <f aca="false">IF(C65&lt;Outliers!$E$8,"Low",IF(C65&gt;Outliers!$F$8,"High",""))</f>
        <v/>
      </c>
      <c r="L65" s="6" t="str">
        <f aca="false">A65&amp;";"&amp;B65&amp;";"&amp;C65</f>
        <v>21.84106875;202.3838319;13.8258551746889</v>
      </c>
      <c r="M65" s="6" t="n">
        <f aca="false">IF(COUNTIF($L$2:$L$2201,L65)&gt;1,1,0)</f>
        <v>0</v>
      </c>
      <c r="N65" s="6" t="str">
        <f aca="false">IF(AND(C65&lt;Assumptions!$B$9,B65&lt;Assumptions!$B$10),"Irrigate Now",IF(AND(C65&gt;=Assumptions!$B$11,B65&gt;=Assumptions!$B$12),"No Irrigation Needed","Monitor"))</f>
        <v>Monitor</v>
      </c>
      <c r="O65" s="6" t="n">
        <f aca="false">IF(N65=G65,1,0)</f>
        <v>1</v>
      </c>
    </row>
    <row r="66" customFormat="false" ht="15" hidden="false" customHeight="false" outlineLevel="0" collapsed="false">
      <c r="A66" s="16" t="n">
        <v>20.08369642</v>
      </c>
      <c r="B66" s="16" t="n">
        <v>263.6372176</v>
      </c>
      <c r="C66" s="16" t="n">
        <v>12.7985512250789</v>
      </c>
      <c r="D66" s="6" t="s">
        <v>57</v>
      </c>
      <c r="E66" s="6" t="s">
        <v>24</v>
      </c>
      <c r="F66" s="6" t="s">
        <v>60</v>
      </c>
      <c r="G66" s="6" t="s">
        <v>61</v>
      </c>
      <c r="H66" s="6" t="s">
        <v>62</v>
      </c>
      <c r="I66" s="6" t="str">
        <f aca="false">IF(A66&lt;Outliers!$E$6,"Low",IF(A66&gt;Outliers!$F$6,"High",""))</f>
        <v/>
      </c>
      <c r="J66" s="6" t="str">
        <f aca="false">IF(B66&lt;Outliers!$E$7,"Low",IF(B66&gt;Outliers!$F$7,"High",""))</f>
        <v>High</v>
      </c>
      <c r="K66" s="6" t="str">
        <f aca="false">IF(C66&lt;Outliers!$E$8,"Low",IF(C66&gt;Outliers!$F$8,"High",""))</f>
        <v/>
      </c>
      <c r="L66" s="6" t="str">
        <f aca="false">A66&amp;";"&amp;B66&amp;";"&amp;C66</f>
        <v>20.08369642;263.6372176;12.7985512250789</v>
      </c>
      <c r="M66" s="6" t="n">
        <f aca="false">IF(COUNTIF($L$2:$L$2201,L66)&gt;1,1,0)</f>
        <v>0</v>
      </c>
      <c r="N66" s="6" t="str">
        <f aca="false">IF(AND(C66&lt;Assumptions!$B$9,B66&lt;Assumptions!$B$10),"Irrigate Now",IF(AND(C66&gt;=Assumptions!$B$11,B66&gt;=Assumptions!$B$12),"No Irrigation Needed","Monitor"))</f>
        <v>Monitor</v>
      </c>
      <c r="O66" s="6" t="n">
        <f aca="false">IF(N66=G66,1,0)</f>
        <v>1</v>
      </c>
    </row>
    <row r="67" customFormat="false" ht="15" hidden="false" customHeight="false" outlineLevel="0" collapsed="false">
      <c r="A67" s="16" t="n">
        <v>24.45802087</v>
      </c>
      <c r="B67" s="16" t="n">
        <v>182.5616319</v>
      </c>
      <c r="C67" s="16" t="n">
        <v>16.9523514170594</v>
      </c>
      <c r="D67" s="6" t="s">
        <v>57</v>
      </c>
      <c r="E67" s="6" t="s">
        <v>24</v>
      </c>
      <c r="F67" s="6" t="s">
        <v>60</v>
      </c>
      <c r="G67" s="6" t="s">
        <v>61</v>
      </c>
      <c r="H67" s="6" t="s">
        <v>62</v>
      </c>
      <c r="I67" s="6" t="str">
        <f aca="false">IF(A67&lt;Outliers!$E$6,"Low",IF(A67&gt;Outliers!$F$6,"High",""))</f>
        <v/>
      </c>
      <c r="J67" s="6" t="str">
        <f aca="false">IF(B67&lt;Outliers!$E$7,"Low",IF(B67&gt;Outliers!$F$7,"High",""))</f>
        <v/>
      </c>
      <c r="K67" s="6" t="str">
        <f aca="false">IF(C67&lt;Outliers!$E$8,"Low",IF(C67&gt;Outliers!$F$8,"High",""))</f>
        <v/>
      </c>
      <c r="L67" s="6" t="str">
        <f aca="false">A67&amp;";"&amp;B67&amp;";"&amp;C67</f>
        <v>24.45802087;182.5616319;16.9523514170594</v>
      </c>
      <c r="M67" s="6" t="n">
        <f aca="false">IF(COUNTIF($L$2:$L$2201,L67)&gt;1,1,0)</f>
        <v>0</v>
      </c>
      <c r="N67" s="6" t="str">
        <f aca="false">IF(AND(C67&lt;Assumptions!$B$9,B67&lt;Assumptions!$B$10),"Irrigate Now",IF(AND(C67&gt;=Assumptions!$B$11,B67&gt;=Assumptions!$B$12),"No Irrigation Needed","Monitor"))</f>
        <v>Monitor</v>
      </c>
      <c r="O67" s="6" t="n">
        <f aca="false">IF(N67=G67,1,0)</f>
        <v>1</v>
      </c>
    </row>
    <row r="68" customFormat="false" ht="15" hidden="false" customHeight="false" outlineLevel="0" collapsed="false">
      <c r="A68" s="16" t="n">
        <v>21.14347496</v>
      </c>
      <c r="B68" s="16" t="n">
        <v>198.6730942</v>
      </c>
      <c r="C68" s="16" t="n">
        <v>15.3939577840442</v>
      </c>
      <c r="D68" s="6" t="s">
        <v>57</v>
      </c>
      <c r="E68" s="6" t="s">
        <v>24</v>
      </c>
      <c r="F68" s="6" t="s">
        <v>60</v>
      </c>
      <c r="G68" s="6" t="s">
        <v>61</v>
      </c>
      <c r="H68" s="6" t="s">
        <v>62</v>
      </c>
      <c r="I68" s="6" t="str">
        <f aca="false">IF(A68&lt;Outliers!$E$6,"Low",IF(A68&gt;Outliers!$F$6,"High",""))</f>
        <v/>
      </c>
      <c r="J68" s="6" t="str">
        <f aca="false">IF(B68&lt;Outliers!$E$7,"Low",IF(B68&gt;Outliers!$F$7,"High",""))</f>
        <v/>
      </c>
      <c r="K68" s="6" t="str">
        <f aca="false">IF(C68&lt;Outliers!$E$8,"Low",IF(C68&gt;Outliers!$F$8,"High",""))</f>
        <v/>
      </c>
      <c r="L68" s="6" t="str">
        <f aca="false">A68&amp;";"&amp;B68&amp;";"&amp;C68</f>
        <v>21.14347496;198.6730942;15.3939577840442</v>
      </c>
      <c r="M68" s="6" t="n">
        <f aca="false">IF(COUNTIF($L$2:$L$2201,L68)&gt;1,1,0)</f>
        <v>0</v>
      </c>
      <c r="N68" s="6" t="str">
        <f aca="false">IF(AND(C68&lt;Assumptions!$B$9,B68&lt;Assumptions!$B$10),"Irrigate Now",IF(AND(C68&gt;=Assumptions!$B$11,B68&gt;=Assumptions!$B$12),"No Irrigation Needed","Monitor"))</f>
        <v>Monitor</v>
      </c>
      <c r="O68" s="6" t="n">
        <f aca="false">IF(N68=G68,1,0)</f>
        <v>1</v>
      </c>
    </row>
    <row r="69" customFormat="false" ht="15" hidden="false" customHeight="false" outlineLevel="0" collapsed="false">
      <c r="A69" s="16" t="n">
        <v>25.78720567</v>
      </c>
      <c r="B69" s="16" t="n">
        <v>243.5120414</v>
      </c>
      <c r="C69" s="16" t="n">
        <v>10.3086612336126</v>
      </c>
      <c r="D69" s="6" t="s">
        <v>57</v>
      </c>
      <c r="E69" s="6" t="s">
        <v>24</v>
      </c>
      <c r="F69" s="6" t="s">
        <v>60</v>
      </c>
      <c r="G69" s="6" t="s">
        <v>61</v>
      </c>
      <c r="H69" s="6" t="s">
        <v>62</v>
      </c>
      <c r="I69" s="6" t="str">
        <f aca="false">IF(A69&lt;Outliers!$E$6,"Low",IF(A69&gt;Outliers!$F$6,"High",""))</f>
        <v/>
      </c>
      <c r="J69" s="6" t="str">
        <f aca="false">IF(B69&lt;Outliers!$E$7,"Low",IF(B69&gt;Outliers!$F$7,"High",""))</f>
        <v>High</v>
      </c>
      <c r="K69" s="6" t="str">
        <f aca="false">IF(C69&lt;Outliers!$E$8,"Low",IF(C69&gt;Outliers!$F$8,"High",""))</f>
        <v/>
      </c>
      <c r="L69" s="6" t="str">
        <f aca="false">A69&amp;";"&amp;B69&amp;";"&amp;C69</f>
        <v>25.78720567;243.5120414;10.3086612336126</v>
      </c>
      <c r="M69" s="6" t="n">
        <f aca="false">IF(COUNTIF($L$2:$L$2201,L69)&gt;1,1,0)</f>
        <v>0</v>
      </c>
      <c r="N69" s="6" t="str">
        <f aca="false">IF(AND(C69&lt;Assumptions!$B$9,B69&lt;Assumptions!$B$10),"Irrigate Now",IF(AND(C69&gt;=Assumptions!$B$11,B69&gt;=Assumptions!$B$12),"No Irrigation Needed","Monitor"))</f>
        <v>Monitor</v>
      </c>
      <c r="O69" s="6" t="n">
        <f aca="false">IF(N69=G69,1,0)</f>
        <v>1</v>
      </c>
    </row>
    <row r="70" customFormat="false" ht="15" hidden="false" customHeight="false" outlineLevel="0" collapsed="false">
      <c r="A70" s="16" t="n">
        <v>23.64124821</v>
      </c>
      <c r="B70" s="16" t="n">
        <v>263.1103304</v>
      </c>
      <c r="C70" s="16" t="n">
        <v>18.8806852334187</v>
      </c>
      <c r="D70" s="6" t="s">
        <v>57</v>
      </c>
      <c r="E70" s="6" t="s">
        <v>24</v>
      </c>
      <c r="F70" s="6" t="s">
        <v>23</v>
      </c>
      <c r="G70" s="6" t="s">
        <v>61</v>
      </c>
      <c r="H70" s="6" t="s">
        <v>62</v>
      </c>
      <c r="I70" s="6" t="str">
        <f aca="false">IF(A70&lt;Outliers!$E$6,"Low",IF(A70&gt;Outliers!$F$6,"High",""))</f>
        <v/>
      </c>
      <c r="J70" s="6" t="str">
        <f aca="false">IF(B70&lt;Outliers!$E$7,"Low",IF(B70&gt;Outliers!$F$7,"High",""))</f>
        <v>High</v>
      </c>
      <c r="K70" s="6" t="str">
        <f aca="false">IF(C70&lt;Outliers!$E$8,"Low",IF(C70&gt;Outliers!$F$8,"High",""))</f>
        <v/>
      </c>
      <c r="L70" s="6" t="str">
        <f aca="false">A70&amp;";"&amp;B70&amp;";"&amp;C70</f>
        <v>23.64124821;263.1103304;18.8806852334187</v>
      </c>
      <c r="M70" s="6" t="n">
        <f aca="false">IF(COUNTIF($L$2:$L$2201,L70)&gt;1,1,0)</f>
        <v>0</v>
      </c>
      <c r="N70" s="6" t="str">
        <f aca="false">IF(AND(C70&lt;Assumptions!$B$9,B70&lt;Assumptions!$B$10),"Irrigate Now",IF(AND(C70&gt;=Assumptions!$B$11,B70&gt;=Assumptions!$B$12),"No Irrigation Needed","Monitor"))</f>
        <v>Monitor</v>
      </c>
      <c r="O70" s="6" t="n">
        <f aca="false">IF(N70=G70,1,0)</f>
        <v>1</v>
      </c>
    </row>
    <row r="71" customFormat="false" ht="15" hidden="false" customHeight="false" outlineLevel="0" collapsed="false">
      <c r="A71" s="16" t="n">
        <v>23.43191632</v>
      </c>
      <c r="B71" s="16" t="n">
        <v>269.5039162</v>
      </c>
      <c r="C71" s="16" t="n">
        <v>23.3651529966168</v>
      </c>
      <c r="D71" s="6" t="s">
        <v>57</v>
      </c>
      <c r="E71" s="6" t="s">
        <v>24</v>
      </c>
      <c r="F71" s="6" t="s">
        <v>23</v>
      </c>
      <c r="G71" s="6" t="s">
        <v>61</v>
      </c>
      <c r="H71" s="6" t="s">
        <v>62</v>
      </c>
      <c r="I71" s="6" t="str">
        <f aca="false">IF(A71&lt;Outliers!$E$6,"Low",IF(A71&gt;Outliers!$F$6,"High",""))</f>
        <v/>
      </c>
      <c r="J71" s="6" t="str">
        <f aca="false">IF(B71&lt;Outliers!$E$7,"Low",IF(B71&gt;Outliers!$F$7,"High",""))</f>
        <v>High</v>
      </c>
      <c r="K71" s="6" t="str">
        <f aca="false">IF(C71&lt;Outliers!$E$8,"Low",IF(C71&gt;Outliers!$F$8,"High",""))</f>
        <v/>
      </c>
      <c r="L71" s="6" t="str">
        <f aca="false">A71&amp;";"&amp;B71&amp;";"&amp;C71</f>
        <v>23.43191632;269.5039162;23.3651529966168</v>
      </c>
      <c r="M71" s="6" t="n">
        <f aca="false">IF(COUNTIF($L$2:$L$2201,L71)&gt;1,1,0)</f>
        <v>0</v>
      </c>
      <c r="N71" s="6" t="str">
        <f aca="false">IF(AND(C71&lt;Assumptions!$B$9,B71&lt;Assumptions!$B$10),"Irrigate Now",IF(AND(C71&gt;=Assumptions!$B$11,B71&gt;=Assumptions!$B$12),"No Irrigation Needed","Monitor"))</f>
        <v>Monitor</v>
      </c>
      <c r="O71" s="6" t="n">
        <f aca="false">IF(N71=G71,1,0)</f>
        <v>1</v>
      </c>
    </row>
    <row r="72" customFormat="false" ht="15" hidden="false" customHeight="false" outlineLevel="0" collapsed="false">
      <c r="A72" s="16" t="n">
        <v>24.97669518</v>
      </c>
      <c r="B72" s="16" t="n">
        <v>204.8001847</v>
      </c>
      <c r="C72" s="16" t="n">
        <v>18.8259459822874</v>
      </c>
      <c r="D72" s="6" t="s">
        <v>57</v>
      </c>
      <c r="E72" s="6" t="s">
        <v>24</v>
      </c>
      <c r="F72" s="6" t="s">
        <v>23</v>
      </c>
      <c r="G72" s="6" t="s">
        <v>61</v>
      </c>
      <c r="H72" s="6" t="s">
        <v>62</v>
      </c>
      <c r="I72" s="6" t="str">
        <f aca="false">IF(A72&lt;Outliers!$E$6,"Low",IF(A72&gt;Outliers!$F$6,"High",""))</f>
        <v/>
      </c>
      <c r="J72" s="6" t="str">
        <f aca="false">IF(B72&lt;Outliers!$E$7,"Low",IF(B72&gt;Outliers!$F$7,"High",""))</f>
        <v/>
      </c>
      <c r="K72" s="6" t="str">
        <f aca="false">IF(C72&lt;Outliers!$E$8,"Low",IF(C72&gt;Outliers!$F$8,"High",""))</f>
        <v/>
      </c>
      <c r="L72" s="6" t="str">
        <f aca="false">A72&amp;";"&amp;B72&amp;";"&amp;C72</f>
        <v>24.97669518;204.8001847;18.8259459822874</v>
      </c>
      <c r="M72" s="6" t="n">
        <f aca="false">IF(COUNTIF($L$2:$L$2201,L72)&gt;1,1,0)</f>
        <v>0</v>
      </c>
      <c r="N72" s="6" t="str">
        <f aca="false">IF(AND(C72&lt;Assumptions!$B$9,B72&lt;Assumptions!$B$10),"Irrigate Now",IF(AND(C72&gt;=Assumptions!$B$11,B72&gt;=Assumptions!$B$12),"No Irrigation Needed","Monitor"))</f>
        <v>Monitor</v>
      </c>
      <c r="O72" s="6" t="n">
        <f aca="false">IF(N72=G72,1,0)</f>
        <v>1</v>
      </c>
    </row>
    <row r="73" customFormat="false" ht="15" hidden="false" customHeight="false" outlineLevel="0" collapsed="false">
      <c r="A73" s="16" t="n">
        <v>22.72791041</v>
      </c>
      <c r="B73" s="16" t="n">
        <v>260.8875056</v>
      </c>
      <c r="C73" s="16" t="n">
        <v>26.4653712000973</v>
      </c>
      <c r="D73" s="6" t="s">
        <v>57</v>
      </c>
      <c r="E73" s="6" t="s">
        <v>24</v>
      </c>
      <c r="F73" s="6" t="s">
        <v>23</v>
      </c>
      <c r="G73" s="6" t="s">
        <v>58</v>
      </c>
      <c r="H73" s="6" t="s">
        <v>59</v>
      </c>
      <c r="I73" s="6" t="str">
        <f aca="false">IF(A73&lt;Outliers!$E$6,"Low",IF(A73&gt;Outliers!$F$6,"High",""))</f>
        <v/>
      </c>
      <c r="J73" s="6" t="str">
        <f aca="false">IF(B73&lt;Outliers!$E$7,"Low",IF(B73&gt;Outliers!$F$7,"High",""))</f>
        <v>High</v>
      </c>
      <c r="K73" s="6" t="str">
        <f aca="false">IF(C73&lt;Outliers!$E$8,"Low",IF(C73&gt;Outliers!$F$8,"High",""))</f>
        <v/>
      </c>
      <c r="L73" s="6" t="str">
        <f aca="false">A73&amp;";"&amp;B73&amp;";"&amp;C73</f>
        <v>22.72791041;260.8875056;26.4653712000973</v>
      </c>
      <c r="M73" s="6" t="n">
        <f aca="false">IF(COUNTIF($L$2:$L$2201,L73)&gt;1,1,0)</f>
        <v>0</v>
      </c>
      <c r="N73" s="6" t="str">
        <f aca="false">IF(AND(C73&lt;Assumptions!$B$9,B73&lt;Assumptions!$B$10),"Irrigate Now",IF(AND(C73&gt;=Assumptions!$B$11,B73&gt;=Assumptions!$B$12),"No Irrigation Needed","Monitor"))</f>
        <v>No Irrigation Needed</v>
      </c>
      <c r="O73" s="6" t="n">
        <f aca="false">IF(N73=G73,1,0)</f>
        <v>1</v>
      </c>
    </row>
    <row r="74" customFormat="false" ht="15" hidden="false" customHeight="false" outlineLevel="0" collapsed="false">
      <c r="A74" s="16" t="n">
        <v>24.87300744</v>
      </c>
      <c r="B74" s="16" t="n">
        <v>295.6094492</v>
      </c>
      <c r="C74" s="16" t="n">
        <v>28.4792087479761</v>
      </c>
      <c r="D74" s="6" t="s">
        <v>57</v>
      </c>
      <c r="E74" s="6" t="s">
        <v>24</v>
      </c>
      <c r="F74" s="6" t="s">
        <v>23</v>
      </c>
      <c r="G74" s="6" t="s">
        <v>58</v>
      </c>
      <c r="H74" s="6" t="s">
        <v>59</v>
      </c>
      <c r="I74" s="6" t="str">
        <f aca="false">IF(A74&lt;Outliers!$E$6,"Low",IF(A74&gt;Outliers!$F$6,"High",""))</f>
        <v/>
      </c>
      <c r="J74" s="6" t="str">
        <f aca="false">IF(B74&lt;Outliers!$E$7,"Low",IF(B74&gt;Outliers!$F$7,"High",""))</f>
        <v>High</v>
      </c>
      <c r="K74" s="6" t="str">
        <f aca="false">IF(C74&lt;Outliers!$E$8,"Low",IF(C74&gt;Outliers!$F$8,"High",""))</f>
        <v/>
      </c>
      <c r="L74" s="6" t="str">
        <f aca="false">A74&amp;";"&amp;B74&amp;";"&amp;C74</f>
        <v>24.87300744;295.6094492;28.4792087479761</v>
      </c>
      <c r="M74" s="6" t="n">
        <f aca="false">IF(COUNTIF($L$2:$L$2201,L74)&gt;1,1,0)</f>
        <v>0</v>
      </c>
      <c r="N74" s="6" t="str">
        <f aca="false">IF(AND(C74&lt;Assumptions!$B$9,B74&lt;Assumptions!$B$10),"Irrigate Now",IF(AND(C74&gt;=Assumptions!$B$11,B74&gt;=Assumptions!$B$12),"No Irrigation Needed","Monitor"))</f>
        <v>No Irrigation Needed</v>
      </c>
      <c r="O74" s="6" t="n">
        <f aca="false">IF(N74=G74,1,0)</f>
        <v>1</v>
      </c>
    </row>
    <row r="75" customFormat="false" ht="15" hidden="false" customHeight="false" outlineLevel="0" collapsed="false">
      <c r="A75" s="16" t="n">
        <v>21.32376327</v>
      </c>
      <c r="B75" s="16" t="n">
        <v>192.3197536</v>
      </c>
      <c r="C75" s="16" t="n">
        <v>26.9584581536433</v>
      </c>
      <c r="D75" s="6" t="s">
        <v>57</v>
      </c>
      <c r="E75" s="6" t="s">
        <v>24</v>
      </c>
      <c r="F75" s="6" t="s">
        <v>23</v>
      </c>
      <c r="G75" s="6" t="s">
        <v>58</v>
      </c>
      <c r="H75" s="6" t="s">
        <v>59</v>
      </c>
      <c r="I75" s="6" t="str">
        <f aca="false">IF(A75&lt;Outliers!$E$6,"Low",IF(A75&gt;Outliers!$F$6,"High",""))</f>
        <v/>
      </c>
      <c r="J75" s="6" t="str">
        <f aca="false">IF(B75&lt;Outliers!$E$7,"Low",IF(B75&gt;Outliers!$F$7,"High",""))</f>
        <v/>
      </c>
      <c r="K75" s="6" t="str">
        <f aca="false">IF(C75&lt;Outliers!$E$8,"Low",IF(C75&gt;Outliers!$F$8,"High",""))</f>
        <v/>
      </c>
      <c r="L75" s="6" t="str">
        <f aca="false">A75&amp;";"&amp;B75&amp;";"&amp;C75</f>
        <v>21.32376327;192.3197536;26.9584581536433</v>
      </c>
      <c r="M75" s="6" t="n">
        <f aca="false">IF(COUNTIF($L$2:$L$2201,L75)&gt;1,1,0)</f>
        <v>0</v>
      </c>
      <c r="N75" s="6" t="str">
        <f aca="false">IF(AND(C75&lt;Assumptions!$B$9,B75&lt;Assumptions!$B$10),"Irrigate Now",IF(AND(C75&gt;=Assumptions!$B$11,B75&gt;=Assumptions!$B$12),"No Irrigation Needed","Monitor"))</f>
        <v>No Irrigation Needed</v>
      </c>
      <c r="O75" s="6" t="n">
        <f aca="false">IF(N75=G75,1,0)</f>
        <v>1</v>
      </c>
    </row>
    <row r="76" customFormat="false" ht="15" hidden="false" customHeight="false" outlineLevel="0" collapsed="false">
      <c r="A76" s="16" t="n">
        <v>26.29465461</v>
      </c>
      <c r="B76" s="16" t="n">
        <v>257.4914906</v>
      </c>
      <c r="C76" s="16" t="n">
        <v>12.6924052567038</v>
      </c>
      <c r="D76" s="6" t="s">
        <v>57</v>
      </c>
      <c r="E76" s="6" t="s">
        <v>24</v>
      </c>
      <c r="F76" s="6" t="s">
        <v>60</v>
      </c>
      <c r="G76" s="6" t="s">
        <v>61</v>
      </c>
      <c r="H76" s="6" t="s">
        <v>62</v>
      </c>
      <c r="I76" s="6" t="str">
        <f aca="false">IF(A76&lt;Outliers!$E$6,"Low",IF(A76&gt;Outliers!$F$6,"High",""))</f>
        <v/>
      </c>
      <c r="J76" s="6" t="str">
        <f aca="false">IF(B76&lt;Outliers!$E$7,"Low",IF(B76&gt;Outliers!$F$7,"High",""))</f>
        <v>High</v>
      </c>
      <c r="K76" s="6" t="str">
        <f aca="false">IF(C76&lt;Outliers!$E$8,"Low",IF(C76&gt;Outliers!$F$8,"High",""))</f>
        <v/>
      </c>
      <c r="L76" s="6" t="str">
        <f aca="false">A76&amp;";"&amp;B76&amp;";"&amp;C76</f>
        <v>26.29465461;257.4914906;12.6924052567038</v>
      </c>
      <c r="M76" s="6" t="n">
        <f aca="false">IF(COUNTIF($L$2:$L$2201,L76)&gt;1,1,0)</f>
        <v>0</v>
      </c>
      <c r="N76" s="6" t="str">
        <f aca="false">IF(AND(C76&lt;Assumptions!$B$9,B76&lt;Assumptions!$B$10),"Irrigate Now",IF(AND(C76&gt;=Assumptions!$B$11,B76&gt;=Assumptions!$B$12),"No Irrigation Needed","Monitor"))</f>
        <v>Monitor</v>
      </c>
      <c r="O76" s="6" t="n">
        <f aca="false">IF(N76=G76,1,0)</f>
        <v>1</v>
      </c>
    </row>
    <row r="77" customFormat="false" ht="15" hidden="false" customHeight="false" outlineLevel="0" collapsed="false">
      <c r="A77" s="16" t="n">
        <v>22.2286982</v>
      </c>
      <c r="B77" s="16" t="n">
        <v>278.0791793</v>
      </c>
      <c r="C77" s="16" t="n">
        <v>21.7429346223225</v>
      </c>
      <c r="D77" s="6" t="s">
        <v>57</v>
      </c>
      <c r="E77" s="6" t="s">
        <v>24</v>
      </c>
      <c r="F77" s="6" t="s">
        <v>23</v>
      </c>
      <c r="G77" s="6" t="s">
        <v>61</v>
      </c>
      <c r="H77" s="6" t="s">
        <v>62</v>
      </c>
      <c r="I77" s="6" t="str">
        <f aca="false">IF(A77&lt;Outliers!$E$6,"Low",IF(A77&gt;Outliers!$F$6,"High",""))</f>
        <v/>
      </c>
      <c r="J77" s="6" t="str">
        <f aca="false">IF(B77&lt;Outliers!$E$7,"Low",IF(B77&gt;Outliers!$F$7,"High",""))</f>
        <v>High</v>
      </c>
      <c r="K77" s="6" t="str">
        <f aca="false">IF(C77&lt;Outliers!$E$8,"Low",IF(C77&gt;Outliers!$F$8,"High",""))</f>
        <v/>
      </c>
      <c r="L77" s="6" t="str">
        <f aca="false">A77&amp;";"&amp;B77&amp;";"&amp;C77</f>
        <v>22.2286982;278.0791793;21.7429346223225</v>
      </c>
      <c r="M77" s="6" t="n">
        <f aca="false">IF(COUNTIF($L$2:$L$2201,L77)&gt;1,1,0)</f>
        <v>0</v>
      </c>
      <c r="N77" s="6" t="str">
        <f aca="false">IF(AND(C77&lt;Assumptions!$B$9,B77&lt;Assumptions!$B$10),"Irrigate Now",IF(AND(C77&gt;=Assumptions!$B$11,B77&gt;=Assumptions!$B$12),"No Irrigation Needed","Monitor"))</f>
        <v>Monitor</v>
      </c>
      <c r="O77" s="6" t="n">
        <f aca="false">IF(N77=G77,1,0)</f>
        <v>1</v>
      </c>
    </row>
    <row r="78" customFormat="false" ht="15" hidden="false" customHeight="false" outlineLevel="0" collapsed="false">
      <c r="A78" s="16" t="n">
        <v>26.73072391</v>
      </c>
      <c r="B78" s="16" t="n">
        <v>280.4044392</v>
      </c>
      <c r="C78" s="16" t="n">
        <v>11.7515859326841</v>
      </c>
      <c r="D78" s="6" t="s">
        <v>57</v>
      </c>
      <c r="E78" s="6" t="s">
        <v>24</v>
      </c>
      <c r="F78" s="6" t="s">
        <v>60</v>
      </c>
      <c r="G78" s="6" t="s">
        <v>61</v>
      </c>
      <c r="H78" s="6" t="s">
        <v>62</v>
      </c>
      <c r="I78" s="6" t="str">
        <f aca="false">IF(A78&lt;Outliers!$E$6,"Low",IF(A78&gt;Outliers!$F$6,"High",""))</f>
        <v/>
      </c>
      <c r="J78" s="6" t="str">
        <f aca="false">IF(B78&lt;Outliers!$E$7,"Low",IF(B78&gt;Outliers!$F$7,"High",""))</f>
        <v>High</v>
      </c>
      <c r="K78" s="6" t="str">
        <f aca="false">IF(C78&lt;Outliers!$E$8,"Low",IF(C78&gt;Outliers!$F$8,"High",""))</f>
        <v/>
      </c>
      <c r="L78" s="6" t="str">
        <f aca="false">A78&amp;";"&amp;B78&amp;";"&amp;C78</f>
        <v>26.73072391;280.4044392;11.7515859326841</v>
      </c>
      <c r="M78" s="6" t="n">
        <f aca="false">IF(COUNTIF($L$2:$L$2201,L78)&gt;1,1,0)</f>
        <v>0</v>
      </c>
      <c r="N78" s="6" t="str">
        <f aca="false">IF(AND(C78&lt;Assumptions!$B$9,B78&lt;Assumptions!$B$10),"Irrigate Now",IF(AND(C78&gt;=Assumptions!$B$11,B78&gt;=Assumptions!$B$12),"No Irrigation Needed","Monitor"))</f>
        <v>Monitor</v>
      </c>
      <c r="O78" s="6" t="n">
        <f aca="false">IF(N78=G78,1,0)</f>
        <v>1</v>
      </c>
    </row>
    <row r="79" customFormat="false" ht="15" hidden="false" customHeight="false" outlineLevel="0" collapsed="false">
      <c r="A79" s="16" t="n">
        <v>24.88921174</v>
      </c>
      <c r="B79" s="16" t="n">
        <v>185.9461429</v>
      </c>
      <c r="C79" s="16" t="n">
        <v>16.5120101480686</v>
      </c>
      <c r="D79" s="6" t="s">
        <v>57</v>
      </c>
      <c r="E79" s="6" t="s">
        <v>24</v>
      </c>
      <c r="F79" s="6" t="s">
        <v>60</v>
      </c>
      <c r="G79" s="6" t="s">
        <v>61</v>
      </c>
      <c r="H79" s="6" t="s">
        <v>62</v>
      </c>
      <c r="I79" s="6" t="str">
        <f aca="false">IF(A79&lt;Outliers!$E$6,"Low",IF(A79&gt;Outliers!$F$6,"High",""))</f>
        <v/>
      </c>
      <c r="J79" s="6" t="str">
        <f aca="false">IF(B79&lt;Outliers!$E$7,"Low",IF(B79&gt;Outliers!$F$7,"High",""))</f>
        <v/>
      </c>
      <c r="K79" s="6" t="str">
        <f aca="false">IF(C79&lt;Outliers!$E$8,"Low",IF(C79&gt;Outliers!$F$8,"High",""))</f>
        <v/>
      </c>
      <c r="L79" s="6" t="str">
        <f aca="false">A79&amp;";"&amp;B79&amp;";"&amp;C79</f>
        <v>24.88921174;185.9461429;16.5120101480686</v>
      </c>
      <c r="M79" s="6" t="n">
        <f aca="false">IF(COUNTIF($L$2:$L$2201,L79)&gt;1,1,0)</f>
        <v>0</v>
      </c>
      <c r="N79" s="6" t="str">
        <f aca="false">IF(AND(C79&lt;Assumptions!$B$9,B79&lt;Assumptions!$B$10),"Irrigate Now",IF(AND(C79&gt;=Assumptions!$B$11,B79&gt;=Assumptions!$B$12),"No Irrigation Needed","Monitor"))</f>
        <v>Monitor</v>
      </c>
      <c r="O79" s="6" t="n">
        <f aca="false">IF(N79=G79,1,0)</f>
        <v>1</v>
      </c>
    </row>
    <row r="80" customFormat="false" ht="15" hidden="false" customHeight="false" outlineLevel="0" collapsed="false">
      <c r="A80" s="16" t="n">
        <v>26.88444878</v>
      </c>
      <c r="B80" s="16" t="n">
        <v>194.5766559</v>
      </c>
      <c r="C80" s="16" t="n">
        <v>29.6154043206519</v>
      </c>
      <c r="D80" s="6" t="s">
        <v>57</v>
      </c>
      <c r="E80" s="6" t="s">
        <v>24</v>
      </c>
      <c r="F80" s="6" t="s">
        <v>23</v>
      </c>
      <c r="G80" s="6" t="s">
        <v>58</v>
      </c>
      <c r="H80" s="6" t="s">
        <v>59</v>
      </c>
      <c r="I80" s="6" t="str">
        <f aca="false">IF(A80&lt;Outliers!$E$6,"Low",IF(A80&gt;Outliers!$F$6,"High",""))</f>
        <v/>
      </c>
      <c r="J80" s="6" t="str">
        <f aca="false">IF(B80&lt;Outliers!$E$7,"Low",IF(B80&gt;Outliers!$F$7,"High",""))</f>
        <v/>
      </c>
      <c r="K80" s="6" t="str">
        <f aca="false">IF(C80&lt;Outliers!$E$8,"Low",IF(C80&gt;Outliers!$F$8,"High",""))</f>
        <v/>
      </c>
      <c r="L80" s="6" t="str">
        <f aca="false">A80&amp;";"&amp;B80&amp;";"&amp;C80</f>
        <v>26.88444878;194.5766559;29.6154043206519</v>
      </c>
      <c r="M80" s="6" t="n">
        <f aca="false">IF(COUNTIF($L$2:$L$2201,L80)&gt;1,1,0)</f>
        <v>0</v>
      </c>
      <c r="N80" s="6" t="str">
        <f aca="false">IF(AND(C80&lt;Assumptions!$B$9,B80&lt;Assumptions!$B$10),"Irrigate Now",IF(AND(C80&gt;=Assumptions!$B$11,B80&gt;=Assumptions!$B$12),"No Irrigation Needed","Monitor"))</f>
        <v>No Irrigation Needed</v>
      </c>
      <c r="O80" s="6" t="n">
        <f aca="false">IF(N80=G80,1,0)</f>
        <v>1</v>
      </c>
    </row>
    <row r="81" customFormat="false" ht="15" hidden="false" customHeight="false" outlineLevel="0" collapsed="false">
      <c r="A81" s="16" t="n">
        <v>22.67846116</v>
      </c>
      <c r="B81" s="16" t="n">
        <v>200.9133156</v>
      </c>
      <c r="C81" s="16" t="n">
        <v>25.6190963061192</v>
      </c>
      <c r="D81" s="6" t="s">
        <v>57</v>
      </c>
      <c r="E81" s="6" t="s">
        <v>24</v>
      </c>
      <c r="F81" s="6" t="s">
        <v>23</v>
      </c>
      <c r="G81" s="6" t="s">
        <v>58</v>
      </c>
      <c r="H81" s="6" t="s">
        <v>59</v>
      </c>
      <c r="I81" s="6" t="str">
        <f aca="false">IF(A81&lt;Outliers!$E$6,"Low",IF(A81&gt;Outliers!$F$6,"High",""))</f>
        <v/>
      </c>
      <c r="J81" s="6" t="str">
        <f aca="false">IF(B81&lt;Outliers!$E$7,"Low",IF(B81&gt;Outliers!$F$7,"High",""))</f>
        <v/>
      </c>
      <c r="K81" s="6" t="str">
        <f aca="false">IF(C81&lt;Outliers!$E$8,"Low",IF(C81&gt;Outliers!$F$8,"High",""))</f>
        <v/>
      </c>
      <c r="L81" s="6" t="str">
        <f aca="false">A81&amp;";"&amp;B81&amp;";"&amp;C81</f>
        <v>22.67846116;200.9133156;25.6190963061192</v>
      </c>
      <c r="M81" s="6" t="n">
        <f aca="false">IF(COUNTIF($L$2:$L$2201,L81)&gt;1,1,0)</f>
        <v>0</v>
      </c>
      <c r="N81" s="6" t="str">
        <f aca="false">IF(AND(C81&lt;Assumptions!$B$9,B81&lt;Assumptions!$B$10),"Irrigate Now",IF(AND(C81&gt;=Assumptions!$B$11,B81&gt;=Assumptions!$B$12),"No Irrigation Needed","Monitor"))</f>
        <v>No Irrigation Needed</v>
      </c>
      <c r="O81" s="6" t="n">
        <f aca="false">IF(N81=G81,1,0)</f>
        <v>1</v>
      </c>
    </row>
    <row r="82" customFormat="false" ht="15" hidden="false" customHeight="false" outlineLevel="0" collapsed="false">
      <c r="A82" s="16" t="n">
        <v>26.08867875</v>
      </c>
      <c r="B82" s="16" t="n">
        <v>182.9043504</v>
      </c>
      <c r="C82" s="16" t="n">
        <v>19.69262826237</v>
      </c>
      <c r="D82" s="6" t="s">
        <v>57</v>
      </c>
      <c r="E82" s="6" t="s">
        <v>24</v>
      </c>
      <c r="F82" s="6" t="s">
        <v>60</v>
      </c>
      <c r="G82" s="6" t="s">
        <v>61</v>
      </c>
      <c r="H82" s="6" t="s">
        <v>62</v>
      </c>
      <c r="I82" s="6" t="str">
        <f aca="false">IF(A82&lt;Outliers!$E$6,"Low",IF(A82&gt;Outliers!$F$6,"High",""))</f>
        <v/>
      </c>
      <c r="J82" s="6" t="str">
        <f aca="false">IF(B82&lt;Outliers!$E$7,"Low",IF(B82&gt;Outliers!$F$7,"High",""))</f>
        <v/>
      </c>
      <c r="K82" s="6" t="str">
        <f aca="false">IF(C82&lt;Outliers!$E$8,"Low",IF(C82&gt;Outliers!$F$8,"High",""))</f>
        <v/>
      </c>
      <c r="L82" s="6" t="str">
        <f aca="false">A82&amp;";"&amp;B82&amp;";"&amp;C82</f>
        <v>26.08867875;182.9043504;19.69262826237</v>
      </c>
      <c r="M82" s="6" t="n">
        <f aca="false">IF(COUNTIF($L$2:$L$2201,L82)&gt;1,1,0)</f>
        <v>0</v>
      </c>
      <c r="N82" s="6" t="str">
        <f aca="false">IF(AND(C82&lt;Assumptions!$B$9,B82&lt;Assumptions!$B$10),"Irrigate Now",IF(AND(C82&gt;=Assumptions!$B$11,B82&gt;=Assumptions!$B$12),"No Irrigation Needed","Monitor"))</f>
        <v>Monitor</v>
      </c>
      <c r="O82" s="6" t="n">
        <f aca="false">IF(N82=G82,1,0)</f>
        <v>1</v>
      </c>
    </row>
    <row r="83" customFormat="false" ht="15" hidden="false" customHeight="false" outlineLevel="0" collapsed="false">
      <c r="A83" s="16" t="n">
        <v>25.42977518</v>
      </c>
      <c r="B83" s="16" t="n">
        <v>195.3574542</v>
      </c>
      <c r="C83" s="16" t="n">
        <v>11.8750269002961</v>
      </c>
      <c r="D83" s="6" t="s">
        <v>57</v>
      </c>
      <c r="E83" s="6" t="s">
        <v>24</v>
      </c>
      <c r="F83" s="6" t="s">
        <v>24</v>
      </c>
      <c r="G83" s="6" t="s">
        <v>61</v>
      </c>
      <c r="H83" s="6" t="s">
        <v>62</v>
      </c>
      <c r="I83" s="6" t="str">
        <f aca="false">IF(A83&lt;Outliers!$E$6,"Low",IF(A83&gt;Outliers!$F$6,"High",""))</f>
        <v/>
      </c>
      <c r="J83" s="6" t="str">
        <f aca="false">IF(B83&lt;Outliers!$E$7,"Low",IF(B83&gt;Outliers!$F$7,"High",""))</f>
        <v/>
      </c>
      <c r="K83" s="6" t="str">
        <f aca="false">IF(C83&lt;Outliers!$E$8,"Low",IF(C83&gt;Outliers!$F$8,"High",""))</f>
        <v/>
      </c>
      <c r="L83" s="6" t="str">
        <f aca="false">A83&amp;";"&amp;B83&amp;";"&amp;C83</f>
        <v>25.42977518;195.3574542;11.8750269002961</v>
      </c>
      <c r="M83" s="6" t="n">
        <f aca="false">IF(COUNTIF($L$2:$L$2201,L83)&gt;1,1,0)</f>
        <v>0</v>
      </c>
      <c r="N83" s="6" t="str">
        <f aca="false">IF(AND(C83&lt;Assumptions!$B$9,B83&lt;Assumptions!$B$10),"Irrigate Now",IF(AND(C83&gt;=Assumptions!$B$11,B83&gt;=Assumptions!$B$12),"No Irrigation Needed","Monitor"))</f>
        <v>Monitor</v>
      </c>
      <c r="O83" s="6" t="n">
        <f aca="false">IF(N83=G83,1,0)</f>
        <v>1</v>
      </c>
    </row>
    <row r="84" customFormat="false" ht="15" hidden="false" customHeight="false" outlineLevel="0" collapsed="false">
      <c r="A84" s="16" t="n">
        <v>26.40323239</v>
      </c>
      <c r="B84" s="16" t="n">
        <v>223.3671883</v>
      </c>
      <c r="C84" s="16" t="n">
        <v>28.7616111466852</v>
      </c>
      <c r="D84" s="6" t="s">
        <v>57</v>
      </c>
      <c r="E84" s="6" t="s">
        <v>24</v>
      </c>
      <c r="F84" s="6" t="s">
        <v>23</v>
      </c>
      <c r="G84" s="6" t="s">
        <v>58</v>
      </c>
      <c r="H84" s="6" t="s">
        <v>59</v>
      </c>
      <c r="I84" s="6" t="str">
        <f aca="false">IF(A84&lt;Outliers!$E$6,"Low",IF(A84&gt;Outliers!$F$6,"High",""))</f>
        <v/>
      </c>
      <c r="J84" s="6" t="str">
        <f aca="false">IF(B84&lt;Outliers!$E$7,"Low",IF(B84&gt;Outliers!$F$7,"High",""))</f>
        <v>High</v>
      </c>
      <c r="K84" s="6" t="str">
        <f aca="false">IF(C84&lt;Outliers!$E$8,"Low",IF(C84&gt;Outliers!$F$8,"High",""))</f>
        <v/>
      </c>
      <c r="L84" s="6" t="str">
        <f aca="false">A84&amp;";"&amp;B84&amp;";"&amp;C84</f>
        <v>26.40323239;223.3671883;28.7616111466852</v>
      </c>
      <c r="M84" s="6" t="n">
        <f aca="false">IF(COUNTIF($L$2:$L$2201,L84)&gt;1,1,0)</f>
        <v>0</v>
      </c>
      <c r="N84" s="6" t="str">
        <f aca="false">IF(AND(C84&lt;Assumptions!$B$9,B84&lt;Assumptions!$B$10),"Irrigate Now",IF(AND(C84&gt;=Assumptions!$B$11,B84&gt;=Assumptions!$B$12),"No Irrigation Needed","Monitor"))</f>
        <v>No Irrigation Needed</v>
      </c>
      <c r="O84" s="6" t="n">
        <f aca="false">IF(N84=G84,1,0)</f>
        <v>1</v>
      </c>
    </row>
    <row r="85" customFormat="false" ht="15" hidden="false" customHeight="false" outlineLevel="0" collapsed="false">
      <c r="A85" s="16" t="n">
        <v>26.04371967</v>
      </c>
      <c r="B85" s="16" t="n">
        <v>186.7536773</v>
      </c>
      <c r="C85" s="16" t="n">
        <v>16.7470551416293</v>
      </c>
      <c r="D85" s="6" t="s">
        <v>57</v>
      </c>
      <c r="E85" s="6" t="s">
        <v>24</v>
      </c>
      <c r="F85" s="6" t="s">
        <v>60</v>
      </c>
      <c r="G85" s="6" t="s">
        <v>61</v>
      </c>
      <c r="H85" s="6" t="s">
        <v>62</v>
      </c>
      <c r="I85" s="6" t="str">
        <f aca="false">IF(A85&lt;Outliers!$E$6,"Low",IF(A85&gt;Outliers!$F$6,"High",""))</f>
        <v/>
      </c>
      <c r="J85" s="6" t="str">
        <f aca="false">IF(B85&lt;Outliers!$E$7,"Low",IF(B85&gt;Outliers!$F$7,"High",""))</f>
        <v/>
      </c>
      <c r="K85" s="6" t="str">
        <f aca="false">IF(C85&lt;Outliers!$E$8,"Low",IF(C85&gt;Outliers!$F$8,"High",""))</f>
        <v/>
      </c>
      <c r="L85" s="6" t="str">
        <f aca="false">A85&amp;";"&amp;B85&amp;";"&amp;C85</f>
        <v>26.04371967;186.7536773;16.7470551416293</v>
      </c>
      <c r="M85" s="6" t="n">
        <f aca="false">IF(COUNTIF($L$2:$L$2201,L85)&gt;1,1,0)</f>
        <v>0</v>
      </c>
      <c r="N85" s="6" t="str">
        <f aca="false">IF(AND(C85&lt;Assumptions!$B$9,B85&lt;Assumptions!$B$10),"Irrigate Now",IF(AND(C85&gt;=Assumptions!$B$11,B85&gt;=Assumptions!$B$12),"No Irrigation Needed","Monitor"))</f>
        <v>Monitor</v>
      </c>
      <c r="O85" s="6" t="n">
        <f aca="false">IF(N85=G85,1,0)</f>
        <v>1</v>
      </c>
    </row>
    <row r="86" customFormat="false" ht="15" hidden="false" customHeight="false" outlineLevel="0" collapsed="false">
      <c r="A86" s="16" t="n">
        <v>25.2827223</v>
      </c>
      <c r="B86" s="16" t="n">
        <v>220.1156708</v>
      </c>
      <c r="C86" s="16" t="n">
        <v>12.6125520248008</v>
      </c>
      <c r="D86" s="6" t="s">
        <v>57</v>
      </c>
      <c r="E86" s="6" t="s">
        <v>24</v>
      </c>
      <c r="F86" s="6" t="s">
        <v>60</v>
      </c>
      <c r="G86" s="6" t="s">
        <v>61</v>
      </c>
      <c r="H86" s="6" t="s">
        <v>62</v>
      </c>
      <c r="I86" s="6" t="str">
        <f aca="false">IF(A86&lt;Outliers!$E$6,"Low",IF(A86&gt;Outliers!$F$6,"High",""))</f>
        <v/>
      </c>
      <c r="J86" s="6" t="str">
        <f aca="false">IF(B86&lt;Outliers!$E$7,"Low",IF(B86&gt;Outliers!$F$7,"High",""))</f>
        <v>High</v>
      </c>
      <c r="K86" s="6" t="str">
        <f aca="false">IF(C86&lt;Outliers!$E$8,"Low",IF(C86&gt;Outliers!$F$8,"High",""))</f>
        <v/>
      </c>
      <c r="L86" s="6" t="str">
        <f aca="false">A86&amp;";"&amp;B86&amp;";"&amp;C86</f>
        <v>25.2827223;220.1156708;12.6125520248008</v>
      </c>
      <c r="M86" s="6" t="n">
        <f aca="false">IF(COUNTIF($L$2:$L$2201,L86)&gt;1,1,0)</f>
        <v>0</v>
      </c>
      <c r="N86" s="6" t="str">
        <f aca="false">IF(AND(C86&lt;Assumptions!$B$9,B86&lt;Assumptions!$B$10),"Irrigate Now",IF(AND(C86&gt;=Assumptions!$B$11,B86&gt;=Assumptions!$B$12),"No Irrigation Needed","Monitor"))</f>
        <v>Monitor</v>
      </c>
      <c r="O86" s="6" t="n">
        <f aca="false">IF(N86=G86,1,0)</f>
        <v>1</v>
      </c>
    </row>
    <row r="87" customFormat="false" ht="15" hidden="false" customHeight="false" outlineLevel="0" collapsed="false">
      <c r="A87" s="16" t="n">
        <v>22.08576562</v>
      </c>
      <c r="B87" s="16" t="n">
        <v>231.7364957</v>
      </c>
      <c r="C87" s="16" t="n">
        <v>28.298454436135</v>
      </c>
      <c r="D87" s="6" t="s">
        <v>57</v>
      </c>
      <c r="E87" s="6" t="s">
        <v>24</v>
      </c>
      <c r="F87" s="6" t="s">
        <v>23</v>
      </c>
      <c r="G87" s="6" t="s">
        <v>58</v>
      </c>
      <c r="H87" s="6" t="s">
        <v>59</v>
      </c>
      <c r="I87" s="6" t="str">
        <f aca="false">IF(A87&lt;Outliers!$E$6,"Low",IF(A87&gt;Outliers!$F$6,"High",""))</f>
        <v/>
      </c>
      <c r="J87" s="6" t="str">
        <f aca="false">IF(B87&lt;Outliers!$E$7,"Low",IF(B87&gt;Outliers!$F$7,"High",""))</f>
        <v>High</v>
      </c>
      <c r="K87" s="6" t="str">
        <f aca="false">IF(C87&lt;Outliers!$E$8,"Low",IF(C87&gt;Outliers!$F$8,"High",""))</f>
        <v/>
      </c>
      <c r="L87" s="6" t="str">
        <f aca="false">A87&amp;";"&amp;B87&amp;";"&amp;C87</f>
        <v>22.08576562;231.7364957;28.298454436135</v>
      </c>
      <c r="M87" s="6" t="n">
        <f aca="false">IF(COUNTIF($L$2:$L$2201,L87)&gt;1,1,0)</f>
        <v>0</v>
      </c>
      <c r="N87" s="6" t="str">
        <f aca="false">IF(AND(C87&lt;Assumptions!$B$9,B87&lt;Assumptions!$B$10),"Irrigate Now",IF(AND(C87&gt;=Assumptions!$B$11,B87&gt;=Assumptions!$B$12),"No Irrigation Needed","Monitor"))</f>
        <v>No Irrigation Needed</v>
      </c>
      <c r="O87" s="6" t="n">
        <f aca="false">IF(N87=G87,1,0)</f>
        <v>1</v>
      </c>
    </row>
    <row r="88" customFormat="false" ht="15" hidden="false" customHeight="false" outlineLevel="0" collapsed="false">
      <c r="A88" s="16" t="n">
        <v>23.28617173</v>
      </c>
      <c r="B88" s="16" t="n">
        <v>242.3170629</v>
      </c>
      <c r="C88" s="16" t="n">
        <v>27.2190111807012</v>
      </c>
      <c r="D88" s="6" t="s">
        <v>57</v>
      </c>
      <c r="E88" s="6" t="s">
        <v>24</v>
      </c>
      <c r="F88" s="6" t="s">
        <v>23</v>
      </c>
      <c r="G88" s="6" t="s">
        <v>58</v>
      </c>
      <c r="H88" s="6" t="s">
        <v>59</v>
      </c>
      <c r="I88" s="6" t="str">
        <f aca="false">IF(A88&lt;Outliers!$E$6,"Low",IF(A88&gt;Outliers!$F$6,"High",""))</f>
        <v/>
      </c>
      <c r="J88" s="6" t="str">
        <f aca="false">IF(B88&lt;Outliers!$E$7,"Low",IF(B88&gt;Outliers!$F$7,"High",""))</f>
        <v>High</v>
      </c>
      <c r="K88" s="6" t="str">
        <f aca="false">IF(C88&lt;Outliers!$E$8,"Low",IF(C88&gt;Outliers!$F$8,"High",""))</f>
        <v/>
      </c>
      <c r="L88" s="6" t="str">
        <f aca="false">A88&amp;";"&amp;B88&amp;";"&amp;C88</f>
        <v>23.28617173;242.3170629;27.2190111807012</v>
      </c>
      <c r="M88" s="6" t="n">
        <f aca="false">IF(COUNTIF($L$2:$L$2201,L88)&gt;1,1,0)</f>
        <v>0</v>
      </c>
      <c r="N88" s="6" t="str">
        <f aca="false">IF(AND(C88&lt;Assumptions!$B$9,B88&lt;Assumptions!$B$10),"Irrigate Now",IF(AND(C88&gt;=Assumptions!$B$11,B88&gt;=Assumptions!$B$12),"No Irrigation Needed","Monitor"))</f>
        <v>No Irrigation Needed</v>
      </c>
      <c r="O88" s="6" t="n">
        <f aca="false">IF(N88=G88,1,0)</f>
        <v>1</v>
      </c>
    </row>
    <row r="89" customFormat="false" ht="15" hidden="false" customHeight="false" outlineLevel="0" collapsed="false">
      <c r="A89" s="16" t="n">
        <v>25.48591986</v>
      </c>
      <c r="B89" s="16" t="n">
        <v>182.6549356</v>
      </c>
      <c r="C89" s="16" t="n">
        <v>17.8886838179578</v>
      </c>
      <c r="D89" s="6" t="s">
        <v>57</v>
      </c>
      <c r="E89" s="6" t="s">
        <v>24</v>
      </c>
      <c r="F89" s="6" t="s">
        <v>60</v>
      </c>
      <c r="G89" s="6" t="s">
        <v>61</v>
      </c>
      <c r="H89" s="6" t="s">
        <v>62</v>
      </c>
      <c r="I89" s="6" t="str">
        <f aca="false">IF(A89&lt;Outliers!$E$6,"Low",IF(A89&gt;Outliers!$F$6,"High",""))</f>
        <v/>
      </c>
      <c r="J89" s="6" t="str">
        <f aca="false">IF(B89&lt;Outliers!$E$7,"Low",IF(B89&gt;Outliers!$F$7,"High",""))</f>
        <v/>
      </c>
      <c r="K89" s="6" t="str">
        <f aca="false">IF(C89&lt;Outliers!$E$8,"Low",IF(C89&gt;Outliers!$F$8,"High",""))</f>
        <v/>
      </c>
      <c r="L89" s="6" t="str">
        <f aca="false">A89&amp;";"&amp;B89&amp;";"&amp;C89</f>
        <v>25.48591986;182.6549356;17.8886838179578</v>
      </c>
      <c r="M89" s="6" t="n">
        <f aca="false">IF(COUNTIF($L$2:$L$2201,L89)&gt;1,1,0)</f>
        <v>0</v>
      </c>
      <c r="N89" s="6" t="str">
        <f aca="false">IF(AND(C89&lt;Assumptions!$B$9,B89&lt;Assumptions!$B$10),"Irrigate Now",IF(AND(C89&gt;=Assumptions!$B$11,B89&gt;=Assumptions!$B$12),"No Irrigation Needed","Monitor"))</f>
        <v>Monitor</v>
      </c>
      <c r="O89" s="6" t="n">
        <f aca="false">IF(N89=G89,1,0)</f>
        <v>1</v>
      </c>
    </row>
    <row r="90" customFormat="false" ht="15" hidden="false" customHeight="false" outlineLevel="0" collapsed="false">
      <c r="A90" s="16" t="n">
        <v>23.67575393</v>
      </c>
      <c r="B90" s="16" t="n">
        <v>233.7034975</v>
      </c>
      <c r="C90" s="16" t="n">
        <v>25.9499279405337</v>
      </c>
      <c r="D90" s="6" t="s">
        <v>57</v>
      </c>
      <c r="E90" s="6" t="s">
        <v>24</v>
      </c>
      <c r="F90" s="6" t="s">
        <v>23</v>
      </c>
      <c r="G90" s="6" t="s">
        <v>58</v>
      </c>
      <c r="H90" s="6" t="s">
        <v>59</v>
      </c>
      <c r="I90" s="6" t="str">
        <f aca="false">IF(A90&lt;Outliers!$E$6,"Low",IF(A90&gt;Outliers!$F$6,"High",""))</f>
        <v/>
      </c>
      <c r="J90" s="6" t="str">
        <f aca="false">IF(B90&lt;Outliers!$E$7,"Low",IF(B90&gt;Outliers!$F$7,"High",""))</f>
        <v>High</v>
      </c>
      <c r="K90" s="6" t="str">
        <f aca="false">IF(C90&lt;Outliers!$E$8,"Low",IF(C90&gt;Outliers!$F$8,"High",""))</f>
        <v/>
      </c>
      <c r="L90" s="6" t="str">
        <f aca="false">A90&amp;";"&amp;B90&amp;";"&amp;C90</f>
        <v>23.67575393;233.7034975;25.9499279405337</v>
      </c>
      <c r="M90" s="6" t="n">
        <f aca="false">IF(COUNTIF($L$2:$L$2201,L90)&gt;1,1,0)</f>
        <v>0</v>
      </c>
      <c r="N90" s="6" t="str">
        <f aca="false">IF(AND(C90&lt;Assumptions!$B$9,B90&lt;Assumptions!$B$10),"Irrigate Now",IF(AND(C90&gt;=Assumptions!$B$11,B90&gt;=Assumptions!$B$12),"No Irrigation Needed","Monitor"))</f>
        <v>No Irrigation Needed</v>
      </c>
      <c r="O90" s="6" t="n">
        <f aca="false">IF(N90=G90,1,0)</f>
        <v>1</v>
      </c>
    </row>
    <row r="91" customFormat="false" ht="15" hidden="false" customHeight="false" outlineLevel="0" collapsed="false">
      <c r="A91" s="16" t="n">
        <v>20.82477109</v>
      </c>
      <c r="B91" s="16" t="n">
        <v>230.2242223</v>
      </c>
      <c r="C91" s="16" t="n">
        <v>12.5065753041917</v>
      </c>
      <c r="D91" s="6" t="s">
        <v>57</v>
      </c>
      <c r="E91" s="6" t="s">
        <v>24</v>
      </c>
      <c r="F91" s="6" t="s">
        <v>60</v>
      </c>
      <c r="G91" s="6" t="s">
        <v>61</v>
      </c>
      <c r="H91" s="6" t="s">
        <v>62</v>
      </c>
      <c r="I91" s="6" t="str">
        <f aca="false">IF(A91&lt;Outliers!$E$6,"Low",IF(A91&gt;Outliers!$F$6,"High",""))</f>
        <v/>
      </c>
      <c r="J91" s="6" t="str">
        <f aca="false">IF(B91&lt;Outliers!$E$7,"Low",IF(B91&gt;Outliers!$F$7,"High",""))</f>
        <v>High</v>
      </c>
      <c r="K91" s="6" t="str">
        <f aca="false">IF(C91&lt;Outliers!$E$8,"Low",IF(C91&gt;Outliers!$F$8,"High",""))</f>
        <v/>
      </c>
      <c r="L91" s="6" t="str">
        <f aca="false">A91&amp;";"&amp;B91&amp;";"&amp;C91</f>
        <v>20.82477109;230.2242223;12.5065753041917</v>
      </c>
      <c r="M91" s="6" t="n">
        <f aca="false">IF(COUNTIF($L$2:$L$2201,L91)&gt;1,1,0)</f>
        <v>0</v>
      </c>
      <c r="N91" s="6" t="str">
        <f aca="false">IF(AND(C91&lt;Assumptions!$B$9,B91&lt;Assumptions!$B$10),"Irrigate Now",IF(AND(C91&gt;=Assumptions!$B$11,B91&gt;=Assumptions!$B$12),"No Irrigation Needed","Monitor"))</f>
        <v>Monitor</v>
      </c>
      <c r="O91" s="6" t="n">
        <f aca="false">IF(N91=G91,1,0)</f>
        <v>1</v>
      </c>
    </row>
    <row r="92" customFormat="false" ht="15" hidden="false" customHeight="false" outlineLevel="0" collapsed="false">
      <c r="A92" s="16" t="n">
        <v>26.92995077</v>
      </c>
      <c r="B92" s="16" t="n">
        <v>290.6793783</v>
      </c>
      <c r="C92" s="16" t="n">
        <v>28.2591000225043</v>
      </c>
      <c r="D92" s="6" t="s">
        <v>57</v>
      </c>
      <c r="E92" s="6" t="s">
        <v>24</v>
      </c>
      <c r="F92" s="6" t="s">
        <v>23</v>
      </c>
      <c r="G92" s="6" t="s">
        <v>58</v>
      </c>
      <c r="H92" s="6" t="s">
        <v>59</v>
      </c>
      <c r="I92" s="6" t="str">
        <f aca="false">IF(A92&lt;Outliers!$E$6,"Low",IF(A92&gt;Outliers!$F$6,"High",""))</f>
        <v/>
      </c>
      <c r="J92" s="6" t="str">
        <f aca="false">IF(B92&lt;Outliers!$E$7,"Low",IF(B92&gt;Outliers!$F$7,"High",""))</f>
        <v>High</v>
      </c>
      <c r="K92" s="6" t="str">
        <f aca="false">IF(C92&lt;Outliers!$E$8,"Low",IF(C92&gt;Outliers!$F$8,"High",""))</f>
        <v/>
      </c>
      <c r="L92" s="6" t="str">
        <f aca="false">A92&amp;";"&amp;B92&amp;";"&amp;C92</f>
        <v>26.92995077;290.6793783;28.2591000225043</v>
      </c>
      <c r="M92" s="6" t="n">
        <f aca="false">IF(COUNTIF($L$2:$L$2201,L92)&gt;1,1,0)</f>
        <v>0</v>
      </c>
      <c r="N92" s="6" t="str">
        <f aca="false">IF(AND(C92&lt;Assumptions!$B$9,B92&lt;Assumptions!$B$10),"Irrigate Now",IF(AND(C92&gt;=Assumptions!$B$11,B92&gt;=Assumptions!$B$12),"No Irrigation Needed","Monitor"))</f>
        <v>No Irrigation Needed</v>
      </c>
      <c r="O92" s="6" t="n">
        <f aca="false">IF(N92=G92,1,0)</f>
        <v>1</v>
      </c>
    </row>
    <row r="93" customFormat="false" ht="15" hidden="false" customHeight="false" outlineLevel="0" collapsed="false">
      <c r="A93" s="16" t="n">
        <v>23.83509503</v>
      </c>
      <c r="B93" s="16" t="n">
        <v>241.2013513</v>
      </c>
      <c r="C93" s="16" t="n">
        <v>13.9115757778697</v>
      </c>
      <c r="D93" s="6" t="s">
        <v>57</v>
      </c>
      <c r="E93" s="6" t="s">
        <v>24</v>
      </c>
      <c r="F93" s="6" t="s">
        <v>60</v>
      </c>
      <c r="G93" s="6" t="s">
        <v>61</v>
      </c>
      <c r="H93" s="6" t="s">
        <v>62</v>
      </c>
      <c r="I93" s="6" t="str">
        <f aca="false">IF(A93&lt;Outliers!$E$6,"Low",IF(A93&gt;Outliers!$F$6,"High",""))</f>
        <v/>
      </c>
      <c r="J93" s="6" t="str">
        <f aca="false">IF(B93&lt;Outliers!$E$7,"Low",IF(B93&gt;Outliers!$F$7,"High",""))</f>
        <v>High</v>
      </c>
      <c r="K93" s="6" t="str">
        <f aca="false">IF(C93&lt;Outliers!$E$8,"Low",IF(C93&gt;Outliers!$F$8,"High",""))</f>
        <v/>
      </c>
      <c r="L93" s="6" t="str">
        <f aca="false">A93&amp;";"&amp;B93&amp;";"&amp;C93</f>
        <v>23.83509503;241.2013513;13.9115757778697</v>
      </c>
      <c r="M93" s="6" t="n">
        <f aca="false">IF(COUNTIF($L$2:$L$2201,L93)&gt;1,1,0)</f>
        <v>0</v>
      </c>
      <c r="N93" s="6" t="str">
        <f aca="false">IF(AND(C93&lt;Assumptions!$B$9,B93&lt;Assumptions!$B$10),"Irrigate Now",IF(AND(C93&gt;=Assumptions!$B$11,B93&gt;=Assumptions!$B$12),"No Irrigation Needed","Monitor"))</f>
        <v>Monitor</v>
      </c>
      <c r="O93" s="6" t="n">
        <f aca="false">IF(N93=G93,1,0)</f>
        <v>1</v>
      </c>
    </row>
    <row r="94" customFormat="false" ht="15" hidden="false" customHeight="false" outlineLevel="0" collapsed="false">
      <c r="A94" s="16" t="n">
        <v>26.52872817</v>
      </c>
      <c r="B94" s="16" t="n">
        <v>218.9163567</v>
      </c>
      <c r="C94" s="16" t="n">
        <v>10.6645966114308</v>
      </c>
      <c r="D94" s="6" t="s">
        <v>57</v>
      </c>
      <c r="E94" s="6" t="s">
        <v>24</v>
      </c>
      <c r="F94" s="6" t="s">
        <v>24</v>
      </c>
      <c r="G94" s="6" t="s">
        <v>61</v>
      </c>
      <c r="H94" s="6" t="s">
        <v>62</v>
      </c>
      <c r="I94" s="6" t="str">
        <f aca="false">IF(A94&lt;Outliers!$E$6,"Low",IF(A94&gt;Outliers!$F$6,"High",""))</f>
        <v/>
      </c>
      <c r="J94" s="6" t="str">
        <f aca="false">IF(B94&lt;Outliers!$E$7,"Low",IF(B94&gt;Outliers!$F$7,"High",""))</f>
        <v>High</v>
      </c>
      <c r="K94" s="6" t="str">
        <f aca="false">IF(C94&lt;Outliers!$E$8,"Low",IF(C94&gt;Outliers!$F$8,"High",""))</f>
        <v/>
      </c>
      <c r="L94" s="6" t="str">
        <f aca="false">A94&amp;";"&amp;B94&amp;";"&amp;C94</f>
        <v>26.52872817;218.9163567;10.6645966114308</v>
      </c>
      <c r="M94" s="6" t="n">
        <f aca="false">IF(COUNTIF($L$2:$L$2201,L94)&gt;1,1,0)</f>
        <v>0</v>
      </c>
      <c r="N94" s="6" t="str">
        <f aca="false">IF(AND(C94&lt;Assumptions!$B$9,B94&lt;Assumptions!$B$10),"Irrigate Now",IF(AND(C94&gt;=Assumptions!$B$11,B94&gt;=Assumptions!$B$12),"No Irrigation Needed","Monitor"))</f>
        <v>Monitor</v>
      </c>
      <c r="O94" s="6" t="n">
        <f aca="false">IF(N94=G94,1,0)</f>
        <v>1</v>
      </c>
    </row>
    <row r="95" customFormat="false" ht="15" hidden="false" customHeight="false" outlineLevel="0" collapsed="false">
      <c r="A95" s="16" t="n">
        <v>26.46428311</v>
      </c>
      <c r="B95" s="16" t="n">
        <v>248.2256491</v>
      </c>
      <c r="C95" s="16" t="n">
        <v>17.122876153974</v>
      </c>
      <c r="D95" s="6" t="s">
        <v>57</v>
      </c>
      <c r="E95" s="6" t="s">
        <v>24</v>
      </c>
      <c r="F95" s="6" t="s">
        <v>23</v>
      </c>
      <c r="G95" s="6" t="s">
        <v>61</v>
      </c>
      <c r="H95" s="6" t="s">
        <v>62</v>
      </c>
      <c r="I95" s="6" t="str">
        <f aca="false">IF(A95&lt;Outliers!$E$6,"Low",IF(A95&gt;Outliers!$F$6,"High",""))</f>
        <v/>
      </c>
      <c r="J95" s="6" t="str">
        <f aca="false">IF(B95&lt;Outliers!$E$7,"Low",IF(B95&gt;Outliers!$F$7,"High",""))</f>
        <v>High</v>
      </c>
      <c r="K95" s="6" t="str">
        <f aca="false">IF(C95&lt;Outliers!$E$8,"Low",IF(C95&gt;Outliers!$F$8,"High",""))</f>
        <v/>
      </c>
      <c r="L95" s="6" t="str">
        <f aca="false">A95&amp;";"&amp;B95&amp;";"&amp;C95</f>
        <v>26.46428311;248.2256491;17.122876153974</v>
      </c>
      <c r="M95" s="6" t="n">
        <f aca="false">IF(COUNTIF($L$2:$L$2201,L95)&gt;1,1,0)</f>
        <v>0</v>
      </c>
      <c r="N95" s="6" t="str">
        <f aca="false">IF(AND(C95&lt;Assumptions!$B$9,B95&lt;Assumptions!$B$10),"Irrigate Now",IF(AND(C95&gt;=Assumptions!$B$11,B95&gt;=Assumptions!$B$12),"No Irrigation Needed","Monitor"))</f>
        <v>Monitor</v>
      </c>
      <c r="O95" s="6" t="n">
        <f aca="false">IF(N95=G95,1,0)</f>
        <v>1</v>
      </c>
    </row>
    <row r="96" customFormat="false" ht="15" hidden="false" customHeight="false" outlineLevel="0" collapsed="false">
      <c r="A96" s="16" t="n">
        <v>22.69657794</v>
      </c>
      <c r="B96" s="16" t="n">
        <v>256.9964761</v>
      </c>
      <c r="C96" s="16" t="n">
        <v>16.1944729110829</v>
      </c>
      <c r="D96" s="6" t="s">
        <v>57</v>
      </c>
      <c r="E96" s="6" t="s">
        <v>24</v>
      </c>
      <c r="F96" s="6" t="s">
        <v>23</v>
      </c>
      <c r="G96" s="6" t="s">
        <v>61</v>
      </c>
      <c r="H96" s="6" t="s">
        <v>62</v>
      </c>
      <c r="I96" s="6" t="str">
        <f aca="false">IF(A96&lt;Outliers!$E$6,"Low",IF(A96&gt;Outliers!$F$6,"High",""))</f>
        <v/>
      </c>
      <c r="J96" s="6" t="str">
        <f aca="false">IF(B96&lt;Outliers!$E$7,"Low",IF(B96&gt;Outliers!$F$7,"High",""))</f>
        <v>High</v>
      </c>
      <c r="K96" s="6" t="str">
        <f aca="false">IF(C96&lt;Outliers!$E$8,"Low",IF(C96&gt;Outliers!$F$8,"High",""))</f>
        <v/>
      </c>
      <c r="L96" s="6" t="str">
        <f aca="false">A96&amp;";"&amp;B96&amp;";"&amp;C96</f>
        <v>22.69657794;256.9964761;16.1944729110829</v>
      </c>
      <c r="M96" s="6" t="n">
        <f aca="false">IF(COUNTIF($L$2:$L$2201,L96)&gt;1,1,0)</f>
        <v>0</v>
      </c>
      <c r="N96" s="6" t="str">
        <f aca="false">IF(AND(C96&lt;Assumptions!$B$9,B96&lt;Assumptions!$B$10),"Irrigate Now",IF(AND(C96&gt;=Assumptions!$B$11,B96&gt;=Assumptions!$B$12),"No Irrigation Needed","Monitor"))</f>
        <v>Monitor</v>
      </c>
      <c r="O96" s="6" t="n">
        <f aca="false">IF(N96=G96,1,0)</f>
        <v>1</v>
      </c>
    </row>
    <row r="97" customFormat="false" ht="15" hidden="false" customHeight="false" outlineLevel="0" collapsed="false">
      <c r="A97" s="16" t="n">
        <v>22.68319059</v>
      </c>
      <c r="B97" s="16" t="n">
        <v>194.2651719</v>
      </c>
      <c r="C97" s="16" t="n">
        <v>23.816847736026</v>
      </c>
      <c r="D97" s="6" t="s">
        <v>57</v>
      </c>
      <c r="E97" s="6" t="s">
        <v>24</v>
      </c>
      <c r="F97" s="6" t="s">
        <v>23</v>
      </c>
      <c r="G97" s="6" t="s">
        <v>61</v>
      </c>
      <c r="H97" s="6" t="s">
        <v>62</v>
      </c>
      <c r="I97" s="6" t="str">
        <f aca="false">IF(A97&lt;Outliers!$E$6,"Low",IF(A97&gt;Outliers!$F$6,"High",""))</f>
        <v/>
      </c>
      <c r="J97" s="6" t="str">
        <f aca="false">IF(B97&lt;Outliers!$E$7,"Low",IF(B97&gt;Outliers!$F$7,"High",""))</f>
        <v/>
      </c>
      <c r="K97" s="6" t="str">
        <f aca="false">IF(C97&lt;Outliers!$E$8,"Low",IF(C97&gt;Outliers!$F$8,"High",""))</f>
        <v/>
      </c>
      <c r="L97" s="6" t="str">
        <f aca="false">A97&amp;";"&amp;B97&amp;";"&amp;C97</f>
        <v>22.68319059;194.2651719;23.816847736026</v>
      </c>
      <c r="M97" s="6" t="n">
        <f aca="false">IF(COUNTIF($L$2:$L$2201,L97)&gt;1,1,0)</f>
        <v>0</v>
      </c>
      <c r="N97" s="6" t="str">
        <f aca="false">IF(AND(C97&lt;Assumptions!$B$9,B97&lt;Assumptions!$B$10),"Irrigate Now",IF(AND(C97&gt;=Assumptions!$B$11,B97&gt;=Assumptions!$B$12),"No Irrigation Needed","Monitor"))</f>
        <v>Monitor</v>
      </c>
      <c r="O97" s="6" t="n">
        <f aca="false">IF(N97=G97,1,0)</f>
        <v>1</v>
      </c>
    </row>
    <row r="98" customFormat="false" ht="15" hidden="false" customHeight="false" outlineLevel="0" collapsed="false">
      <c r="A98" s="16" t="n">
        <v>21.53346343</v>
      </c>
      <c r="B98" s="16" t="n">
        <v>295.9248796</v>
      </c>
      <c r="C98" s="16" t="n">
        <v>27.7400090841788</v>
      </c>
      <c r="D98" s="6" t="s">
        <v>57</v>
      </c>
      <c r="E98" s="6" t="s">
        <v>24</v>
      </c>
      <c r="F98" s="6" t="s">
        <v>23</v>
      </c>
      <c r="G98" s="6" t="s">
        <v>58</v>
      </c>
      <c r="H98" s="6" t="s">
        <v>59</v>
      </c>
      <c r="I98" s="6" t="str">
        <f aca="false">IF(A98&lt;Outliers!$E$6,"Low",IF(A98&gt;Outliers!$F$6,"High",""))</f>
        <v/>
      </c>
      <c r="J98" s="6" t="str">
        <f aca="false">IF(B98&lt;Outliers!$E$7,"Low",IF(B98&gt;Outliers!$F$7,"High",""))</f>
        <v>High</v>
      </c>
      <c r="K98" s="6" t="str">
        <f aca="false">IF(C98&lt;Outliers!$E$8,"Low",IF(C98&gt;Outliers!$F$8,"High",""))</f>
        <v/>
      </c>
      <c r="L98" s="6" t="str">
        <f aca="false">A98&amp;";"&amp;B98&amp;";"&amp;C98</f>
        <v>21.53346343;295.9248796;27.7400090841788</v>
      </c>
      <c r="M98" s="6" t="n">
        <f aca="false">IF(COUNTIF($L$2:$L$2201,L98)&gt;1,1,0)</f>
        <v>0</v>
      </c>
      <c r="N98" s="6" t="str">
        <f aca="false">IF(AND(C98&lt;Assumptions!$B$9,B98&lt;Assumptions!$B$10),"Irrigate Now",IF(AND(C98&gt;=Assumptions!$B$11,B98&gt;=Assumptions!$B$12),"No Irrigation Needed","Monitor"))</f>
        <v>No Irrigation Needed</v>
      </c>
      <c r="O98" s="6" t="n">
        <f aca="false">IF(N98=G98,1,0)</f>
        <v>1</v>
      </c>
    </row>
    <row r="99" customFormat="false" ht="15" hidden="false" customHeight="false" outlineLevel="0" collapsed="false">
      <c r="A99" s="16" t="n">
        <v>21.40865769</v>
      </c>
      <c r="B99" s="16" t="n">
        <v>287.5766935</v>
      </c>
      <c r="C99" s="16" t="n">
        <v>11.5230655735447</v>
      </c>
      <c r="D99" s="6" t="s">
        <v>57</v>
      </c>
      <c r="E99" s="6" t="s">
        <v>24</v>
      </c>
      <c r="F99" s="6" t="s">
        <v>60</v>
      </c>
      <c r="G99" s="6" t="s">
        <v>61</v>
      </c>
      <c r="H99" s="6" t="s">
        <v>62</v>
      </c>
      <c r="I99" s="6" t="str">
        <f aca="false">IF(A99&lt;Outliers!$E$6,"Low",IF(A99&gt;Outliers!$F$6,"High",""))</f>
        <v/>
      </c>
      <c r="J99" s="6" t="str">
        <f aca="false">IF(B99&lt;Outliers!$E$7,"Low",IF(B99&gt;Outliers!$F$7,"High",""))</f>
        <v>High</v>
      </c>
      <c r="K99" s="6" t="str">
        <f aca="false">IF(C99&lt;Outliers!$E$8,"Low",IF(C99&gt;Outliers!$F$8,"High",""))</f>
        <v/>
      </c>
      <c r="L99" s="6" t="str">
        <f aca="false">A99&amp;";"&amp;B99&amp;";"&amp;C99</f>
        <v>21.40865769;287.5766935;11.5230655735447</v>
      </c>
      <c r="M99" s="6" t="n">
        <f aca="false">IF(COUNTIF($L$2:$L$2201,L99)&gt;1,1,0)</f>
        <v>0</v>
      </c>
      <c r="N99" s="6" t="str">
        <f aca="false">IF(AND(C99&lt;Assumptions!$B$9,B99&lt;Assumptions!$B$10),"Irrigate Now",IF(AND(C99&gt;=Assumptions!$B$11,B99&gt;=Assumptions!$B$12),"No Irrigation Needed","Monitor"))</f>
        <v>Monitor</v>
      </c>
      <c r="O99" s="6" t="n">
        <f aca="false">IF(N99=G99,1,0)</f>
        <v>1</v>
      </c>
    </row>
    <row r="100" customFormat="false" ht="15" hidden="false" customHeight="false" outlineLevel="0" collapsed="false">
      <c r="A100" s="16" t="n">
        <v>26.54348085</v>
      </c>
      <c r="B100" s="16" t="n">
        <v>183.6222657</v>
      </c>
      <c r="C100" s="16" t="n">
        <v>14.7774823617743</v>
      </c>
      <c r="D100" s="6" t="s">
        <v>57</v>
      </c>
      <c r="E100" s="6" t="s">
        <v>24</v>
      </c>
      <c r="F100" s="6" t="s">
        <v>60</v>
      </c>
      <c r="G100" s="6" t="s">
        <v>61</v>
      </c>
      <c r="H100" s="6" t="s">
        <v>62</v>
      </c>
      <c r="I100" s="6" t="str">
        <f aca="false">IF(A100&lt;Outliers!$E$6,"Low",IF(A100&gt;Outliers!$F$6,"High",""))</f>
        <v/>
      </c>
      <c r="J100" s="6" t="str">
        <f aca="false">IF(B100&lt;Outliers!$E$7,"Low",IF(B100&gt;Outliers!$F$7,"High",""))</f>
        <v/>
      </c>
      <c r="K100" s="6" t="str">
        <f aca="false">IF(C100&lt;Outliers!$E$8,"Low",IF(C100&gt;Outliers!$F$8,"High",""))</f>
        <v/>
      </c>
      <c r="L100" s="6" t="str">
        <f aca="false">A100&amp;";"&amp;B100&amp;";"&amp;C100</f>
        <v>26.54348085;183.6222657;14.7774823617743</v>
      </c>
      <c r="M100" s="6" t="n">
        <f aca="false">IF(COUNTIF($L$2:$L$2201,L100)&gt;1,1,0)</f>
        <v>0</v>
      </c>
      <c r="N100" s="6" t="str">
        <f aca="false">IF(AND(C100&lt;Assumptions!$B$9,B100&lt;Assumptions!$B$10),"Irrigate Now",IF(AND(C100&gt;=Assumptions!$B$11,B100&gt;=Assumptions!$B$12),"No Irrigation Needed","Monitor"))</f>
        <v>Monitor</v>
      </c>
      <c r="O100" s="6" t="n">
        <f aca="false">IF(N100=G100,1,0)</f>
        <v>1</v>
      </c>
    </row>
    <row r="101" customFormat="false" ht="15" hidden="false" customHeight="false" outlineLevel="0" collapsed="false">
      <c r="A101" s="16" t="n">
        <v>23.35905428</v>
      </c>
      <c r="B101" s="16" t="n">
        <v>188.413665</v>
      </c>
      <c r="C101" s="16" t="n">
        <v>28.9683104784478</v>
      </c>
      <c r="D101" s="6" t="s">
        <v>57</v>
      </c>
      <c r="E101" s="6" t="s">
        <v>24</v>
      </c>
      <c r="F101" s="6" t="s">
        <v>23</v>
      </c>
      <c r="G101" s="6" t="s">
        <v>58</v>
      </c>
      <c r="H101" s="6" t="s">
        <v>59</v>
      </c>
      <c r="I101" s="6" t="str">
        <f aca="false">IF(A101&lt;Outliers!$E$6,"Low",IF(A101&gt;Outliers!$F$6,"High",""))</f>
        <v/>
      </c>
      <c r="J101" s="6" t="str">
        <f aca="false">IF(B101&lt;Outliers!$E$7,"Low",IF(B101&gt;Outliers!$F$7,"High",""))</f>
        <v/>
      </c>
      <c r="K101" s="6" t="str">
        <f aca="false">IF(C101&lt;Outliers!$E$8,"Low",IF(C101&gt;Outliers!$F$8,"High",""))</f>
        <v/>
      </c>
      <c r="L101" s="6" t="str">
        <f aca="false">A101&amp;";"&amp;B101&amp;";"&amp;C101</f>
        <v>23.35905428;188.413665;28.9683104784478</v>
      </c>
      <c r="M101" s="6" t="n">
        <f aca="false">IF(COUNTIF($L$2:$L$2201,L101)&gt;1,1,0)</f>
        <v>0</v>
      </c>
      <c r="N101" s="6" t="str">
        <f aca="false">IF(AND(C101&lt;Assumptions!$B$9,B101&lt;Assumptions!$B$10),"Irrigate Now",IF(AND(C101&gt;=Assumptions!$B$11,B101&gt;=Assumptions!$B$12),"No Irrigation Needed","Monitor"))</f>
        <v>No Irrigation Needed</v>
      </c>
      <c r="O101" s="6" t="n">
        <f aca="false">IF(N101=G101,1,0)</f>
        <v>1</v>
      </c>
    </row>
    <row r="102" customFormat="false" ht="15" hidden="false" customHeight="false" outlineLevel="0" collapsed="false">
      <c r="A102" s="16" t="n">
        <v>22.61359953</v>
      </c>
      <c r="B102" s="16" t="n">
        <v>87.75953857</v>
      </c>
      <c r="C102" s="16" t="n">
        <v>28.1561142375239</v>
      </c>
      <c r="D102" s="6" t="s">
        <v>57</v>
      </c>
      <c r="E102" s="6" t="s">
        <v>57</v>
      </c>
      <c r="F102" s="6" t="s">
        <v>23</v>
      </c>
      <c r="G102" s="6" t="s">
        <v>61</v>
      </c>
      <c r="H102" s="6" t="s">
        <v>63</v>
      </c>
      <c r="I102" s="6" t="str">
        <f aca="false">IF(A102&lt;Outliers!$E$6,"Low",IF(A102&gt;Outliers!$F$6,"High",""))</f>
        <v/>
      </c>
      <c r="J102" s="6" t="str">
        <f aca="false">IF(B102&lt;Outliers!$E$7,"Low",IF(B102&gt;Outliers!$F$7,"High",""))</f>
        <v/>
      </c>
      <c r="K102" s="6" t="str">
        <f aca="false">IF(C102&lt;Outliers!$E$8,"Low",IF(C102&gt;Outliers!$F$8,"High",""))</f>
        <v/>
      </c>
      <c r="L102" s="6" t="str">
        <f aca="false">A102&amp;";"&amp;B102&amp;";"&amp;C102</f>
        <v>22.61359953;87.75953857;28.1561142375239</v>
      </c>
      <c r="M102" s="6" t="n">
        <f aca="false">IF(COUNTIF($L$2:$L$2201,L102)&gt;1,1,0)</f>
        <v>0</v>
      </c>
      <c r="N102" s="6" t="str">
        <f aca="false">IF(AND(C102&lt;Assumptions!$B$9,B102&lt;Assumptions!$B$10),"Irrigate Now",IF(AND(C102&gt;=Assumptions!$B$11,B102&gt;=Assumptions!$B$12),"No Irrigation Needed","Monitor"))</f>
        <v>Monitor</v>
      </c>
      <c r="O102" s="6" t="n">
        <f aca="false">IF(N102=G102,1,0)</f>
        <v>1</v>
      </c>
    </row>
    <row r="103" customFormat="false" ht="15" hidden="false" customHeight="false" outlineLevel="0" collapsed="false">
      <c r="A103" s="16" t="n">
        <v>26.10018422</v>
      </c>
      <c r="B103" s="16" t="n">
        <v>102.2662445</v>
      </c>
      <c r="C103" s="16" t="n">
        <v>20.0777356850139</v>
      </c>
      <c r="D103" s="6" t="s">
        <v>57</v>
      </c>
      <c r="E103" s="6" t="s">
        <v>57</v>
      </c>
      <c r="F103" s="6" t="s">
        <v>60</v>
      </c>
      <c r="G103" s="6" t="s">
        <v>61</v>
      </c>
      <c r="H103" s="6" t="s">
        <v>63</v>
      </c>
      <c r="I103" s="6" t="str">
        <f aca="false">IF(A103&lt;Outliers!$E$6,"Low",IF(A103&gt;Outliers!$F$6,"High",""))</f>
        <v/>
      </c>
      <c r="J103" s="6" t="str">
        <f aca="false">IF(B103&lt;Outliers!$E$7,"Low",IF(B103&gt;Outliers!$F$7,"High",""))</f>
        <v/>
      </c>
      <c r="K103" s="6" t="str">
        <f aca="false">IF(C103&lt;Outliers!$E$8,"Low",IF(C103&gt;Outliers!$F$8,"High",""))</f>
        <v/>
      </c>
      <c r="L103" s="6" t="str">
        <f aca="false">A103&amp;";"&amp;B103&amp;";"&amp;C103</f>
        <v>26.10018422;102.2662445;20.0777356850139</v>
      </c>
      <c r="M103" s="6" t="n">
        <f aca="false">IF(COUNTIF($L$2:$L$2201,L103)&gt;1,1,0)</f>
        <v>0</v>
      </c>
      <c r="N103" s="6" t="str">
        <f aca="false">IF(AND(C103&lt;Assumptions!$B$9,B103&lt;Assumptions!$B$10),"Irrigate Now",IF(AND(C103&gt;=Assumptions!$B$11,B103&gt;=Assumptions!$B$12),"No Irrigation Needed","Monitor"))</f>
        <v>Monitor</v>
      </c>
      <c r="O103" s="6" t="n">
        <f aca="false">IF(N103=G103,1,0)</f>
        <v>1</v>
      </c>
    </row>
    <row r="104" customFormat="false" ht="15" hidden="false" customHeight="false" outlineLevel="0" collapsed="false">
      <c r="A104" s="16" t="n">
        <v>23.55882094</v>
      </c>
      <c r="B104" s="16" t="n">
        <v>66.71995467</v>
      </c>
      <c r="C104" s="16" t="n">
        <v>15.3743484733947</v>
      </c>
      <c r="D104" s="6" t="s">
        <v>57</v>
      </c>
      <c r="E104" s="6" t="s">
        <v>57</v>
      </c>
      <c r="F104" s="6" t="s">
        <v>24</v>
      </c>
      <c r="G104" s="6" t="s">
        <v>64</v>
      </c>
      <c r="H104" s="6" t="s">
        <v>65</v>
      </c>
      <c r="I104" s="6" t="str">
        <f aca="false">IF(A104&lt;Outliers!$E$6,"Low",IF(A104&gt;Outliers!$F$6,"High",""))</f>
        <v/>
      </c>
      <c r="J104" s="6" t="str">
        <f aca="false">IF(B104&lt;Outliers!$E$7,"Low",IF(B104&gt;Outliers!$F$7,"High",""))</f>
        <v/>
      </c>
      <c r="K104" s="6" t="str">
        <f aca="false">IF(C104&lt;Outliers!$E$8,"Low",IF(C104&gt;Outliers!$F$8,"High",""))</f>
        <v/>
      </c>
      <c r="L104" s="6" t="str">
        <f aca="false">A104&amp;";"&amp;B104&amp;";"&amp;C104</f>
        <v>23.55882094;66.71995467;15.3743484733947</v>
      </c>
      <c r="M104" s="6" t="n">
        <f aca="false">IF(COUNTIF($L$2:$L$2201,L104)&gt;1,1,0)</f>
        <v>0</v>
      </c>
      <c r="N104" s="6" t="str">
        <f aca="false">IF(AND(C104&lt;Assumptions!$B$9,B104&lt;Assumptions!$B$10),"Irrigate Now",IF(AND(C104&gt;=Assumptions!$B$11,B104&gt;=Assumptions!$B$12),"No Irrigation Needed","Monitor"))</f>
        <v>Irrigate Now</v>
      </c>
      <c r="O104" s="6" t="n">
        <f aca="false">IF(N104=G104,1,0)</f>
        <v>1</v>
      </c>
    </row>
    <row r="105" customFormat="false" ht="15" hidden="false" customHeight="false" outlineLevel="0" collapsed="false">
      <c r="A105" s="16" t="n">
        <v>19.97215954</v>
      </c>
      <c r="B105" s="16" t="n">
        <v>60.65171481</v>
      </c>
      <c r="C105" s="16" t="n">
        <v>27.0306582716751</v>
      </c>
      <c r="D105" s="6" t="s">
        <v>66</v>
      </c>
      <c r="E105" s="6" t="s">
        <v>57</v>
      </c>
      <c r="F105" s="6" t="s">
        <v>23</v>
      </c>
      <c r="G105" s="6" t="s">
        <v>61</v>
      </c>
      <c r="H105" s="6" t="s">
        <v>63</v>
      </c>
      <c r="I105" s="6" t="str">
        <f aca="false">IF(A105&lt;Outliers!$E$6,"Low",IF(A105&gt;Outliers!$F$6,"High",""))</f>
        <v/>
      </c>
      <c r="J105" s="6" t="str">
        <f aca="false">IF(B105&lt;Outliers!$E$7,"Low",IF(B105&gt;Outliers!$F$7,"High",""))</f>
        <v/>
      </c>
      <c r="K105" s="6" t="str">
        <f aca="false">IF(C105&lt;Outliers!$E$8,"Low",IF(C105&gt;Outliers!$F$8,"High",""))</f>
        <v/>
      </c>
      <c r="L105" s="6" t="str">
        <f aca="false">A105&amp;";"&amp;B105&amp;";"&amp;C105</f>
        <v>19.97215954;60.65171481;27.0306582716751</v>
      </c>
      <c r="M105" s="6" t="n">
        <f aca="false">IF(COUNTIF($L$2:$L$2201,L105)&gt;1,1,0)</f>
        <v>0</v>
      </c>
      <c r="N105" s="6" t="str">
        <f aca="false">IF(AND(C105&lt;Assumptions!$B$9,B105&lt;Assumptions!$B$10),"Irrigate Now",IF(AND(C105&gt;=Assumptions!$B$11,B105&gt;=Assumptions!$B$12),"No Irrigation Needed","Monitor"))</f>
        <v>Monitor</v>
      </c>
      <c r="O105" s="6" t="n">
        <f aca="false">IF(N105=G105,1,0)</f>
        <v>1</v>
      </c>
    </row>
    <row r="106" customFormat="false" ht="15" hidden="false" customHeight="false" outlineLevel="0" collapsed="false">
      <c r="A106" s="16" t="n">
        <v>18.47891261</v>
      </c>
      <c r="B106" s="16" t="n">
        <v>65.43835393</v>
      </c>
      <c r="C106" s="16" t="n">
        <v>26.6469029712091</v>
      </c>
      <c r="D106" s="6" t="s">
        <v>66</v>
      </c>
      <c r="E106" s="6" t="s">
        <v>57</v>
      </c>
      <c r="F106" s="6" t="s">
        <v>23</v>
      </c>
      <c r="G106" s="6" t="s">
        <v>61</v>
      </c>
      <c r="H106" s="6" t="s">
        <v>63</v>
      </c>
      <c r="I106" s="6" t="str">
        <f aca="false">IF(A106&lt;Outliers!$E$6,"Low",IF(A106&gt;Outliers!$F$6,"High",""))</f>
        <v/>
      </c>
      <c r="J106" s="6" t="str">
        <f aca="false">IF(B106&lt;Outliers!$E$7,"Low",IF(B106&gt;Outliers!$F$7,"High",""))</f>
        <v/>
      </c>
      <c r="K106" s="6" t="str">
        <f aca="false">IF(C106&lt;Outliers!$E$8,"Low",IF(C106&gt;Outliers!$F$8,"High",""))</f>
        <v/>
      </c>
      <c r="L106" s="6" t="str">
        <f aca="false">A106&amp;";"&amp;B106&amp;";"&amp;C106</f>
        <v>18.47891261;65.43835393;26.6469029712091</v>
      </c>
      <c r="M106" s="6" t="n">
        <f aca="false">IF(COUNTIF($L$2:$L$2201,L106)&gt;1,1,0)</f>
        <v>0</v>
      </c>
      <c r="N106" s="6" t="str">
        <f aca="false">IF(AND(C106&lt;Assumptions!$B$9,B106&lt;Assumptions!$B$10),"Irrigate Now",IF(AND(C106&gt;=Assumptions!$B$11,B106&gt;=Assumptions!$B$12),"No Irrigation Needed","Monitor"))</f>
        <v>Monitor</v>
      </c>
      <c r="O106" s="6" t="n">
        <f aca="false">IF(N106=G106,1,0)</f>
        <v>1</v>
      </c>
    </row>
    <row r="107" customFormat="false" ht="15" hidden="false" customHeight="false" outlineLevel="0" collapsed="false">
      <c r="A107" s="16" t="n">
        <v>21.77689322</v>
      </c>
      <c r="B107" s="16" t="n">
        <v>102.0861694</v>
      </c>
      <c r="C107" s="16" t="n">
        <v>16.9161157176028</v>
      </c>
      <c r="D107" s="6" t="s">
        <v>57</v>
      </c>
      <c r="E107" s="6" t="s">
        <v>57</v>
      </c>
      <c r="F107" s="6" t="s">
        <v>60</v>
      </c>
      <c r="G107" s="6" t="s">
        <v>61</v>
      </c>
      <c r="H107" s="6" t="s">
        <v>63</v>
      </c>
      <c r="I107" s="6" t="str">
        <f aca="false">IF(A107&lt;Outliers!$E$6,"Low",IF(A107&gt;Outliers!$F$6,"High",""))</f>
        <v/>
      </c>
      <c r="J107" s="6" t="str">
        <f aca="false">IF(B107&lt;Outliers!$E$7,"Low",IF(B107&gt;Outliers!$F$7,"High",""))</f>
        <v/>
      </c>
      <c r="K107" s="6" t="str">
        <f aca="false">IF(C107&lt;Outliers!$E$8,"Low",IF(C107&gt;Outliers!$F$8,"High",""))</f>
        <v/>
      </c>
      <c r="L107" s="6" t="str">
        <f aca="false">A107&amp;";"&amp;B107&amp;";"&amp;C107</f>
        <v>21.77689322;102.0861694;16.9161157176028</v>
      </c>
      <c r="M107" s="6" t="n">
        <f aca="false">IF(COUNTIF($L$2:$L$2201,L107)&gt;1,1,0)</f>
        <v>0</v>
      </c>
      <c r="N107" s="6" t="str">
        <f aca="false">IF(AND(C107&lt;Assumptions!$B$9,B107&lt;Assumptions!$B$10),"Irrigate Now",IF(AND(C107&gt;=Assumptions!$B$11,B107&gt;=Assumptions!$B$12),"No Irrigation Needed","Monitor"))</f>
        <v>Monitor</v>
      </c>
      <c r="O107" s="6" t="n">
        <f aca="false">IF(N107=G107,1,0)</f>
        <v>1</v>
      </c>
    </row>
    <row r="108" customFormat="false" ht="15" hidden="false" customHeight="false" outlineLevel="0" collapsed="false">
      <c r="A108" s="16" t="n">
        <v>25.6217169</v>
      </c>
      <c r="B108" s="16" t="n">
        <v>105.4654703</v>
      </c>
      <c r="C108" s="16" t="n">
        <v>23.1873775783273</v>
      </c>
      <c r="D108" s="6" t="s">
        <v>57</v>
      </c>
      <c r="E108" s="6" t="s">
        <v>57</v>
      </c>
      <c r="F108" s="6" t="s">
        <v>60</v>
      </c>
      <c r="G108" s="6" t="s">
        <v>61</v>
      </c>
      <c r="H108" s="6" t="s">
        <v>63</v>
      </c>
      <c r="I108" s="6" t="str">
        <f aca="false">IF(A108&lt;Outliers!$E$6,"Low",IF(A108&gt;Outliers!$F$6,"High",""))</f>
        <v/>
      </c>
      <c r="J108" s="6" t="str">
        <f aca="false">IF(B108&lt;Outliers!$E$7,"Low",IF(B108&gt;Outliers!$F$7,"High",""))</f>
        <v/>
      </c>
      <c r="K108" s="6" t="str">
        <f aca="false">IF(C108&lt;Outliers!$E$8,"Low",IF(C108&gt;Outliers!$F$8,"High",""))</f>
        <v/>
      </c>
      <c r="L108" s="6" t="str">
        <f aca="false">A108&amp;";"&amp;B108&amp;";"&amp;C108</f>
        <v>25.6217169;105.4654703;23.1873775783273</v>
      </c>
      <c r="M108" s="6" t="n">
        <f aca="false">IF(COUNTIF($L$2:$L$2201,L108)&gt;1,1,0)</f>
        <v>0</v>
      </c>
      <c r="N108" s="6" t="str">
        <f aca="false">IF(AND(C108&lt;Assumptions!$B$9,B108&lt;Assumptions!$B$10),"Irrigate Now",IF(AND(C108&gt;=Assumptions!$B$11,B108&gt;=Assumptions!$B$12),"No Irrigation Needed","Monitor"))</f>
        <v>Monitor</v>
      </c>
      <c r="O108" s="6" t="n">
        <f aca="false">IF(N108=G108,1,0)</f>
        <v>1</v>
      </c>
    </row>
    <row r="109" customFormat="false" ht="15" hidden="false" customHeight="false" outlineLevel="0" collapsed="false">
      <c r="A109" s="16" t="n">
        <v>25.19192419</v>
      </c>
      <c r="B109" s="16" t="n">
        <v>78.06639649</v>
      </c>
      <c r="C109" s="16" t="n">
        <v>23.9619876493931</v>
      </c>
      <c r="D109" s="6" t="s">
        <v>57</v>
      </c>
      <c r="E109" s="6" t="s">
        <v>57</v>
      </c>
      <c r="F109" s="6" t="s">
        <v>60</v>
      </c>
      <c r="G109" s="6" t="s">
        <v>61</v>
      </c>
      <c r="H109" s="6" t="s">
        <v>63</v>
      </c>
      <c r="I109" s="6" t="str">
        <f aca="false">IF(A109&lt;Outliers!$E$6,"Low",IF(A109&gt;Outliers!$F$6,"High",""))</f>
        <v/>
      </c>
      <c r="J109" s="6" t="str">
        <f aca="false">IF(B109&lt;Outliers!$E$7,"Low",IF(B109&gt;Outliers!$F$7,"High",""))</f>
        <v/>
      </c>
      <c r="K109" s="6" t="str">
        <f aca="false">IF(C109&lt;Outliers!$E$8,"Low",IF(C109&gt;Outliers!$F$8,"High",""))</f>
        <v/>
      </c>
      <c r="L109" s="6" t="str">
        <f aca="false">A109&amp;";"&amp;B109&amp;";"&amp;C109</f>
        <v>25.19192419;78.06639649;23.9619876493931</v>
      </c>
      <c r="M109" s="6" t="n">
        <f aca="false">IF(COUNTIF($L$2:$L$2201,L109)&gt;1,1,0)</f>
        <v>0</v>
      </c>
      <c r="N109" s="6" t="str">
        <f aca="false">IF(AND(C109&lt;Assumptions!$B$9,B109&lt;Assumptions!$B$10),"Irrigate Now",IF(AND(C109&gt;=Assumptions!$B$11,B109&gt;=Assumptions!$B$12),"No Irrigation Needed","Monitor"))</f>
        <v>Monitor</v>
      </c>
      <c r="O109" s="6" t="n">
        <f aca="false">IF(N109=G109,1,0)</f>
        <v>1</v>
      </c>
    </row>
    <row r="110" customFormat="false" ht="15" hidden="false" customHeight="false" outlineLevel="0" collapsed="false">
      <c r="A110" s="16" t="n">
        <v>20.41683147</v>
      </c>
      <c r="B110" s="16" t="n">
        <v>65.27798457</v>
      </c>
      <c r="C110" s="16" t="n">
        <v>25.4396922150549</v>
      </c>
      <c r="D110" s="6" t="s">
        <v>57</v>
      </c>
      <c r="E110" s="6" t="s">
        <v>57</v>
      </c>
      <c r="F110" s="6" t="s">
        <v>23</v>
      </c>
      <c r="G110" s="6" t="s">
        <v>61</v>
      </c>
      <c r="H110" s="6" t="s">
        <v>63</v>
      </c>
      <c r="I110" s="6" t="str">
        <f aca="false">IF(A110&lt;Outliers!$E$6,"Low",IF(A110&gt;Outliers!$F$6,"High",""))</f>
        <v/>
      </c>
      <c r="J110" s="6" t="str">
        <f aca="false">IF(B110&lt;Outliers!$E$7,"Low",IF(B110&gt;Outliers!$F$7,"High",""))</f>
        <v/>
      </c>
      <c r="K110" s="6" t="str">
        <f aca="false">IF(C110&lt;Outliers!$E$8,"Low",IF(C110&gt;Outliers!$F$8,"High",""))</f>
        <v/>
      </c>
      <c r="L110" s="6" t="str">
        <f aca="false">A110&amp;";"&amp;B110&amp;";"&amp;C110</f>
        <v>20.41683147;65.27798457;25.4396922150549</v>
      </c>
      <c r="M110" s="6" t="n">
        <f aca="false">IF(COUNTIF($L$2:$L$2201,L110)&gt;1,1,0)</f>
        <v>0</v>
      </c>
      <c r="N110" s="6" t="str">
        <f aca="false">IF(AND(C110&lt;Assumptions!$B$9,B110&lt;Assumptions!$B$10),"Irrigate Now",IF(AND(C110&gt;=Assumptions!$B$11,B110&gt;=Assumptions!$B$12),"No Irrigation Needed","Monitor"))</f>
        <v>Monitor</v>
      </c>
      <c r="O110" s="6" t="n">
        <f aca="false">IF(N110=G110,1,0)</f>
        <v>1</v>
      </c>
    </row>
    <row r="111" customFormat="false" ht="15" hidden="false" customHeight="false" outlineLevel="0" collapsed="false">
      <c r="A111" s="16" t="n">
        <v>24.92162194</v>
      </c>
      <c r="B111" s="16" t="n">
        <v>109.2162279</v>
      </c>
      <c r="C111" s="16" t="n">
        <v>18.8108099467396</v>
      </c>
      <c r="D111" s="6" t="s">
        <v>57</v>
      </c>
      <c r="E111" s="6" t="s">
        <v>57</v>
      </c>
      <c r="F111" s="6" t="s">
        <v>60</v>
      </c>
      <c r="G111" s="6" t="s">
        <v>61</v>
      </c>
      <c r="H111" s="6" t="s">
        <v>63</v>
      </c>
      <c r="I111" s="6" t="str">
        <f aca="false">IF(A111&lt;Outliers!$E$6,"Low",IF(A111&gt;Outliers!$F$6,"High",""))</f>
        <v/>
      </c>
      <c r="J111" s="6" t="str">
        <f aca="false">IF(B111&lt;Outliers!$E$7,"Low",IF(B111&gt;Outliers!$F$7,"High",""))</f>
        <v/>
      </c>
      <c r="K111" s="6" t="str">
        <f aca="false">IF(C111&lt;Outliers!$E$8,"Low",IF(C111&gt;Outliers!$F$8,"High",""))</f>
        <v/>
      </c>
      <c r="L111" s="6" t="str">
        <f aca="false">A111&amp;";"&amp;B111&amp;";"&amp;C111</f>
        <v>24.92162194;109.2162279;18.8108099467396</v>
      </c>
      <c r="M111" s="6" t="n">
        <f aca="false">IF(COUNTIF($L$2:$L$2201,L111)&gt;1,1,0)</f>
        <v>0</v>
      </c>
      <c r="N111" s="6" t="str">
        <f aca="false">IF(AND(C111&lt;Assumptions!$B$9,B111&lt;Assumptions!$B$10),"Irrigate Now",IF(AND(C111&gt;=Assumptions!$B$11,B111&gt;=Assumptions!$B$12),"No Irrigation Needed","Monitor"))</f>
        <v>Monitor</v>
      </c>
      <c r="O111" s="6" t="n">
        <f aca="false">IF(N111=G111,1,0)</f>
        <v>1</v>
      </c>
    </row>
    <row r="112" customFormat="false" ht="15" hidden="false" customHeight="false" outlineLevel="0" collapsed="false">
      <c r="A112" s="16" t="n">
        <v>23.31689124</v>
      </c>
      <c r="B112" s="16" t="n">
        <v>94.29712821</v>
      </c>
      <c r="C112" s="16" t="n">
        <v>18.355366380923</v>
      </c>
      <c r="D112" s="6" t="s">
        <v>57</v>
      </c>
      <c r="E112" s="6" t="s">
        <v>57</v>
      </c>
      <c r="F112" s="6" t="s">
        <v>60</v>
      </c>
      <c r="G112" s="6" t="s">
        <v>61</v>
      </c>
      <c r="H112" s="6" t="s">
        <v>63</v>
      </c>
      <c r="I112" s="6" t="str">
        <f aca="false">IF(A112&lt;Outliers!$E$6,"Low",IF(A112&gt;Outliers!$F$6,"High",""))</f>
        <v/>
      </c>
      <c r="J112" s="6" t="str">
        <f aca="false">IF(B112&lt;Outliers!$E$7,"Low",IF(B112&gt;Outliers!$F$7,"High",""))</f>
        <v/>
      </c>
      <c r="K112" s="6" t="str">
        <f aca="false">IF(C112&lt;Outliers!$E$8,"Low",IF(C112&gt;Outliers!$F$8,"High",""))</f>
        <v/>
      </c>
      <c r="L112" s="6" t="str">
        <f aca="false">A112&amp;";"&amp;B112&amp;";"&amp;C112</f>
        <v>23.31689124;94.29712821;18.355366380923</v>
      </c>
      <c r="M112" s="6" t="n">
        <f aca="false">IF(COUNTIF($L$2:$L$2201,L112)&gt;1,1,0)</f>
        <v>0</v>
      </c>
      <c r="N112" s="6" t="str">
        <f aca="false">IF(AND(C112&lt;Assumptions!$B$9,B112&lt;Assumptions!$B$10),"Irrigate Now",IF(AND(C112&gt;=Assumptions!$B$11,B112&gt;=Assumptions!$B$12),"No Irrigation Needed","Monitor"))</f>
        <v>Monitor</v>
      </c>
      <c r="O112" s="6" t="n">
        <f aca="false">IF(N112=G112,1,0)</f>
        <v>1</v>
      </c>
    </row>
    <row r="113" customFormat="false" ht="15" hidden="false" customHeight="false" outlineLevel="0" collapsed="false">
      <c r="A113" s="16" t="n">
        <v>24.84016732</v>
      </c>
      <c r="B113" s="16" t="n">
        <v>74.05474936</v>
      </c>
      <c r="C113" s="16" t="n">
        <v>15.4755754110093</v>
      </c>
      <c r="D113" s="6" t="s">
        <v>57</v>
      </c>
      <c r="E113" s="6" t="s">
        <v>57</v>
      </c>
      <c r="F113" s="6" t="s">
        <v>24</v>
      </c>
      <c r="G113" s="6" t="s">
        <v>64</v>
      </c>
      <c r="H113" s="6" t="s">
        <v>65</v>
      </c>
      <c r="I113" s="6" t="str">
        <f aca="false">IF(A113&lt;Outliers!$E$6,"Low",IF(A113&gt;Outliers!$F$6,"High",""))</f>
        <v/>
      </c>
      <c r="J113" s="6" t="str">
        <f aca="false">IF(B113&lt;Outliers!$E$7,"Low",IF(B113&gt;Outliers!$F$7,"High",""))</f>
        <v/>
      </c>
      <c r="K113" s="6" t="str">
        <f aca="false">IF(C113&lt;Outliers!$E$8,"Low",IF(C113&gt;Outliers!$F$8,"High",""))</f>
        <v/>
      </c>
      <c r="L113" s="6" t="str">
        <f aca="false">A113&amp;";"&amp;B113&amp;";"&amp;C113</f>
        <v>24.84016732;74.05474936;15.4755754110093</v>
      </c>
      <c r="M113" s="6" t="n">
        <f aca="false">IF(COUNTIF($L$2:$L$2201,L113)&gt;1,1,0)</f>
        <v>0</v>
      </c>
      <c r="N113" s="6" t="str">
        <f aca="false">IF(AND(C113&lt;Assumptions!$B$9,B113&lt;Assumptions!$B$10),"Irrigate Now",IF(AND(C113&gt;=Assumptions!$B$11,B113&gt;=Assumptions!$B$12),"No Irrigation Needed","Monitor"))</f>
        <v>Irrigate Now</v>
      </c>
      <c r="O113" s="6" t="n">
        <f aca="false">IF(N113=G113,1,0)</f>
        <v>1</v>
      </c>
    </row>
    <row r="114" customFormat="false" ht="15" hidden="false" customHeight="false" outlineLevel="0" collapsed="false">
      <c r="A114" s="16" t="n">
        <v>22.27526694</v>
      </c>
      <c r="B114" s="16" t="n">
        <v>63.87020584</v>
      </c>
      <c r="C114" s="16" t="n">
        <v>28.818107434133</v>
      </c>
      <c r="D114" s="6" t="s">
        <v>57</v>
      </c>
      <c r="E114" s="6" t="s">
        <v>57</v>
      </c>
      <c r="F114" s="6" t="s">
        <v>23</v>
      </c>
      <c r="G114" s="6" t="s">
        <v>61</v>
      </c>
      <c r="H114" s="6" t="s">
        <v>63</v>
      </c>
      <c r="I114" s="6" t="str">
        <f aca="false">IF(A114&lt;Outliers!$E$6,"Low",IF(A114&gt;Outliers!$F$6,"High",""))</f>
        <v/>
      </c>
      <c r="J114" s="6" t="str">
        <f aca="false">IF(B114&lt;Outliers!$E$7,"Low",IF(B114&gt;Outliers!$F$7,"High",""))</f>
        <v/>
      </c>
      <c r="K114" s="6" t="str">
        <f aca="false">IF(C114&lt;Outliers!$E$8,"Low",IF(C114&gt;Outliers!$F$8,"High",""))</f>
        <v/>
      </c>
      <c r="L114" s="6" t="str">
        <f aca="false">A114&amp;";"&amp;B114&amp;";"&amp;C114</f>
        <v>22.27526694;63.87020584;28.818107434133</v>
      </c>
      <c r="M114" s="6" t="n">
        <f aca="false">IF(COUNTIF($L$2:$L$2201,L114)&gt;1,1,0)</f>
        <v>0</v>
      </c>
      <c r="N114" s="6" t="str">
        <f aca="false">IF(AND(C114&lt;Assumptions!$B$9,B114&lt;Assumptions!$B$10),"Irrigate Now",IF(AND(C114&gt;=Assumptions!$B$11,B114&gt;=Assumptions!$B$12),"No Irrigation Needed","Monitor"))</f>
        <v>Monitor</v>
      </c>
      <c r="O114" s="6" t="n">
        <f aca="false">IF(N114=G114,1,0)</f>
        <v>1</v>
      </c>
    </row>
    <row r="115" customFormat="false" ht="15" hidden="false" customHeight="false" outlineLevel="0" collapsed="false">
      <c r="A115" s="16" t="n">
        <v>18.87751445</v>
      </c>
      <c r="B115" s="16" t="n">
        <v>94.76189431</v>
      </c>
      <c r="C115" s="16" t="n">
        <v>16.515989342764</v>
      </c>
      <c r="D115" s="6" t="s">
        <v>66</v>
      </c>
      <c r="E115" s="6" t="s">
        <v>57</v>
      </c>
      <c r="F115" s="6" t="s">
        <v>24</v>
      </c>
      <c r="G115" s="6" t="s">
        <v>64</v>
      </c>
      <c r="H115" s="6" t="s">
        <v>65</v>
      </c>
      <c r="I115" s="6" t="str">
        <f aca="false">IF(A115&lt;Outliers!$E$6,"Low",IF(A115&gt;Outliers!$F$6,"High",""))</f>
        <v/>
      </c>
      <c r="J115" s="6" t="str">
        <f aca="false">IF(B115&lt;Outliers!$E$7,"Low",IF(B115&gt;Outliers!$F$7,"High",""))</f>
        <v/>
      </c>
      <c r="K115" s="6" t="str">
        <f aca="false">IF(C115&lt;Outliers!$E$8,"Low",IF(C115&gt;Outliers!$F$8,"High",""))</f>
        <v/>
      </c>
      <c r="L115" s="6" t="str">
        <f aca="false">A115&amp;";"&amp;B115&amp;";"&amp;C115</f>
        <v>18.87751445;94.76189431;16.515989342764</v>
      </c>
      <c r="M115" s="6" t="n">
        <f aca="false">IF(COUNTIF($L$2:$L$2201,L115)&gt;1,1,0)</f>
        <v>0</v>
      </c>
      <c r="N115" s="6" t="str">
        <f aca="false">IF(AND(C115&lt;Assumptions!$B$9,B115&lt;Assumptions!$B$10),"Irrigate Now",IF(AND(C115&gt;=Assumptions!$B$11,B115&gt;=Assumptions!$B$12),"No Irrigation Needed","Monitor"))</f>
        <v>Irrigate Now</v>
      </c>
      <c r="O115" s="6" t="n">
        <f aca="false">IF(N115=G115,1,0)</f>
        <v>1</v>
      </c>
    </row>
    <row r="116" customFormat="false" ht="15" hidden="false" customHeight="false" outlineLevel="0" collapsed="false">
      <c r="A116" s="16" t="n">
        <v>25.19008683</v>
      </c>
      <c r="B116" s="16" t="n">
        <v>72.12375573</v>
      </c>
      <c r="C116" s="16" t="n">
        <v>20.2201591649226</v>
      </c>
      <c r="D116" s="6" t="s">
        <v>57</v>
      </c>
      <c r="E116" s="6" t="s">
        <v>57</v>
      </c>
      <c r="F116" s="6" t="s">
        <v>60</v>
      </c>
      <c r="G116" s="6" t="s">
        <v>61</v>
      </c>
      <c r="H116" s="6" t="s">
        <v>63</v>
      </c>
      <c r="I116" s="6" t="str">
        <f aca="false">IF(A116&lt;Outliers!$E$6,"Low",IF(A116&gt;Outliers!$F$6,"High",""))</f>
        <v/>
      </c>
      <c r="J116" s="6" t="str">
        <f aca="false">IF(B116&lt;Outliers!$E$7,"Low",IF(B116&gt;Outliers!$F$7,"High",""))</f>
        <v/>
      </c>
      <c r="K116" s="6" t="str">
        <f aca="false">IF(C116&lt;Outliers!$E$8,"Low",IF(C116&gt;Outliers!$F$8,"High",""))</f>
        <v/>
      </c>
      <c r="L116" s="6" t="str">
        <f aca="false">A116&amp;";"&amp;B116&amp;";"&amp;C116</f>
        <v>25.19008683;72.12375573;20.2201591649226</v>
      </c>
      <c r="M116" s="6" t="n">
        <f aca="false">IF(COUNTIF($L$2:$L$2201,L116)&gt;1,1,0)</f>
        <v>0</v>
      </c>
      <c r="N116" s="6" t="str">
        <f aca="false">IF(AND(C116&lt;Assumptions!$B$9,B116&lt;Assumptions!$B$10),"Irrigate Now",IF(AND(C116&gt;=Assumptions!$B$11,B116&gt;=Assumptions!$B$12),"No Irrigation Needed","Monitor"))</f>
        <v>Monitor</v>
      </c>
      <c r="O116" s="6" t="n">
        <f aca="false">IF(N116=G116,1,0)</f>
        <v>1</v>
      </c>
    </row>
    <row r="117" customFormat="false" ht="15" hidden="false" customHeight="false" outlineLevel="0" collapsed="false">
      <c r="A117" s="16" t="n">
        <v>18.25405352</v>
      </c>
      <c r="B117" s="16" t="n">
        <v>63.72358154</v>
      </c>
      <c r="C117" s="16" t="n">
        <v>29.5644092155255</v>
      </c>
      <c r="D117" s="6" t="s">
        <v>66</v>
      </c>
      <c r="E117" s="6" t="s">
        <v>57</v>
      </c>
      <c r="F117" s="6" t="s">
        <v>23</v>
      </c>
      <c r="G117" s="6" t="s">
        <v>61</v>
      </c>
      <c r="H117" s="6" t="s">
        <v>63</v>
      </c>
      <c r="I117" s="6" t="str">
        <f aca="false">IF(A117&lt;Outliers!$E$6,"Low",IF(A117&gt;Outliers!$F$6,"High",""))</f>
        <v/>
      </c>
      <c r="J117" s="6" t="str">
        <f aca="false">IF(B117&lt;Outliers!$E$7,"Low",IF(B117&gt;Outliers!$F$7,"High",""))</f>
        <v/>
      </c>
      <c r="K117" s="6" t="str">
        <f aca="false">IF(C117&lt;Outliers!$E$8,"Low",IF(C117&gt;Outliers!$F$8,"High",""))</f>
        <v/>
      </c>
      <c r="L117" s="6" t="str">
        <f aca="false">A117&amp;";"&amp;B117&amp;";"&amp;C117</f>
        <v>18.25405352;63.72358154;29.5644092155255</v>
      </c>
      <c r="M117" s="6" t="n">
        <f aca="false">IF(COUNTIF($L$2:$L$2201,L117)&gt;1,1,0)</f>
        <v>0</v>
      </c>
      <c r="N117" s="6" t="str">
        <f aca="false">IF(AND(C117&lt;Assumptions!$B$9,B117&lt;Assumptions!$B$10),"Irrigate Now",IF(AND(C117&gt;=Assumptions!$B$11,B117&gt;=Assumptions!$B$12),"No Irrigation Needed","Monitor"))</f>
        <v>Monitor</v>
      </c>
      <c r="O117" s="6" t="n">
        <f aca="false">IF(N117=G117,1,0)</f>
        <v>1</v>
      </c>
    </row>
    <row r="118" customFormat="false" ht="15" hidden="false" customHeight="false" outlineLevel="0" collapsed="false">
      <c r="A118" s="16" t="n">
        <v>24.6129118</v>
      </c>
      <c r="B118" s="16" t="n">
        <v>104.1626147</v>
      </c>
      <c r="C118" s="16" t="n">
        <v>20.021092543208</v>
      </c>
      <c r="D118" s="6" t="s">
        <v>57</v>
      </c>
      <c r="E118" s="6" t="s">
        <v>57</v>
      </c>
      <c r="F118" s="6" t="s">
        <v>60</v>
      </c>
      <c r="G118" s="6" t="s">
        <v>61</v>
      </c>
      <c r="H118" s="6" t="s">
        <v>63</v>
      </c>
      <c r="I118" s="6" t="str">
        <f aca="false">IF(A118&lt;Outliers!$E$6,"Low",IF(A118&gt;Outliers!$F$6,"High",""))</f>
        <v/>
      </c>
      <c r="J118" s="6" t="str">
        <f aca="false">IF(B118&lt;Outliers!$E$7,"Low",IF(B118&gt;Outliers!$F$7,"High",""))</f>
        <v/>
      </c>
      <c r="K118" s="6" t="str">
        <f aca="false">IF(C118&lt;Outliers!$E$8,"Low",IF(C118&gt;Outliers!$F$8,"High",""))</f>
        <v/>
      </c>
      <c r="L118" s="6" t="str">
        <f aca="false">A118&amp;";"&amp;B118&amp;";"&amp;C118</f>
        <v>24.6129118;104.1626147;20.021092543208</v>
      </c>
      <c r="M118" s="6" t="n">
        <f aca="false">IF(COUNTIF($L$2:$L$2201,L118)&gt;1,1,0)</f>
        <v>0</v>
      </c>
      <c r="N118" s="6" t="str">
        <f aca="false">IF(AND(C118&lt;Assumptions!$B$9,B118&lt;Assumptions!$B$10),"Irrigate Now",IF(AND(C118&gt;=Assumptions!$B$11,B118&gt;=Assumptions!$B$12),"No Irrigation Needed","Monitor"))</f>
        <v>Monitor</v>
      </c>
      <c r="O118" s="6" t="n">
        <f aca="false">IF(N118=G118,1,0)</f>
        <v>1</v>
      </c>
    </row>
    <row r="119" customFormat="false" ht="15" hidden="false" customHeight="false" outlineLevel="0" collapsed="false">
      <c r="A119" s="16" t="n">
        <v>25.1420613</v>
      </c>
      <c r="B119" s="16" t="n">
        <v>76.68456006</v>
      </c>
      <c r="C119" s="16" t="n">
        <v>29.5640657810272</v>
      </c>
      <c r="D119" s="6" t="s">
        <v>57</v>
      </c>
      <c r="E119" s="6" t="s">
        <v>57</v>
      </c>
      <c r="F119" s="6" t="s">
        <v>23</v>
      </c>
      <c r="G119" s="6" t="s">
        <v>61</v>
      </c>
      <c r="H119" s="6" t="s">
        <v>63</v>
      </c>
      <c r="I119" s="6" t="str">
        <f aca="false">IF(A119&lt;Outliers!$E$6,"Low",IF(A119&gt;Outliers!$F$6,"High",""))</f>
        <v/>
      </c>
      <c r="J119" s="6" t="str">
        <f aca="false">IF(B119&lt;Outliers!$E$7,"Low",IF(B119&gt;Outliers!$F$7,"High",""))</f>
        <v/>
      </c>
      <c r="K119" s="6" t="str">
        <f aca="false">IF(C119&lt;Outliers!$E$8,"Low",IF(C119&gt;Outliers!$F$8,"High",""))</f>
        <v/>
      </c>
      <c r="L119" s="6" t="str">
        <f aca="false">A119&amp;";"&amp;B119&amp;";"&amp;C119</f>
        <v>25.1420613;76.68456006;29.5640657810272</v>
      </c>
      <c r="M119" s="6" t="n">
        <f aca="false">IF(COUNTIF($L$2:$L$2201,L119)&gt;1,1,0)</f>
        <v>0</v>
      </c>
      <c r="N119" s="6" t="str">
        <f aca="false">IF(AND(C119&lt;Assumptions!$B$9,B119&lt;Assumptions!$B$10),"Irrigate Now",IF(AND(C119&gt;=Assumptions!$B$11,B119&gt;=Assumptions!$B$12),"No Irrigation Needed","Monitor"))</f>
        <v>Monitor</v>
      </c>
      <c r="O119" s="6" t="n">
        <f aca="false">IF(N119=G119,1,0)</f>
        <v>1</v>
      </c>
    </row>
    <row r="120" customFormat="false" ht="15" hidden="false" customHeight="false" outlineLevel="0" collapsed="false">
      <c r="A120" s="16" t="n">
        <v>23.09348056</v>
      </c>
      <c r="B120" s="16" t="n">
        <v>65.49730729</v>
      </c>
      <c r="C120" s="16" t="n">
        <v>17.7773080129491</v>
      </c>
      <c r="D120" s="6" t="s">
        <v>57</v>
      </c>
      <c r="E120" s="6" t="s">
        <v>57</v>
      </c>
      <c r="F120" s="6" t="s">
        <v>24</v>
      </c>
      <c r="G120" s="6" t="s">
        <v>64</v>
      </c>
      <c r="H120" s="6" t="s">
        <v>65</v>
      </c>
      <c r="I120" s="6" t="str">
        <f aca="false">IF(A120&lt;Outliers!$E$6,"Low",IF(A120&gt;Outliers!$F$6,"High",""))</f>
        <v/>
      </c>
      <c r="J120" s="6" t="str">
        <f aca="false">IF(B120&lt;Outliers!$E$7,"Low",IF(B120&gt;Outliers!$F$7,"High",""))</f>
        <v/>
      </c>
      <c r="K120" s="6" t="str">
        <f aca="false">IF(C120&lt;Outliers!$E$8,"Low",IF(C120&gt;Outliers!$F$8,"High",""))</f>
        <v/>
      </c>
      <c r="L120" s="6" t="str">
        <f aca="false">A120&amp;";"&amp;B120&amp;";"&amp;C120</f>
        <v>23.09348056;65.49730729;17.7773080129491</v>
      </c>
      <c r="M120" s="6" t="n">
        <f aca="false">IF(COUNTIF($L$2:$L$2201,L120)&gt;1,1,0)</f>
        <v>0</v>
      </c>
      <c r="N120" s="6" t="str">
        <f aca="false">IF(AND(C120&lt;Assumptions!$B$9,B120&lt;Assumptions!$B$10),"Irrigate Now",IF(AND(C120&gt;=Assumptions!$B$11,B120&gt;=Assumptions!$B$12),"No Irrigation Needed","Monitor"))</f>
        <v>Irrigate Now</v>
      </c>
      <c r="O120" s="6" t="n">
        <f aca="false">IF(N120=G120,1,0)</f>
        <v>1</v>
      </c>
    </row>
    <row r="121" customFormat="false" ht="15" hidden="false" customHeight="false" outlineLevel="0" collapsed="false">
      <c r="A121" s="16" t="n">
        <v>18.05033737</v>
      </c>
      <c r="B121" s="16" t="n">
        <v>84.23613484</v>
      </c>
      <c r="C121" s="16" t="n">
        <v>28.3618830526793</v>
      </c>
      <c r="D121" s="6" t="s">
        <v>66</v>
      </c>
      <c r="E121" s="6" t="s">
        <v>57</v>
      </c>
      <c r="F121" s="6" t="s">
        <v>23</v>
      </c>
      <c r="G121" s="6" t="s">
        <v>61</v>
      </c>
      <c r="H121" s="6" t="s">
        <v>63</v>
      </c>
      <c r="I121" s="6" t="str">
        <f aca="false">IF(A121&lt;Outliers!$E$6,"Low",IF(A121&gt;Outliers!$F$6,"High",""))</f>
        <v/>
      </c>
      <c r="J121" s="6" t="str">
        <f aca="false">IF(B121&lt;Outliers!$E$7,"Low",IF(B121&gt;Outliers!$F$7,"High",""))</f>
        <v/>
      </c>
      <c r="K121" s="6" t="str">
        <f aca="false">IF(C121&lt;Outliers!$E$8,"Low",IF(C121&gt;Outliers!$F$8,"High",""))</f>
        <v/>
      </c>
      <c r="L121" s="6" t="str">
        <f aca="false">A121&amp;";"&amp;B121&amp;";"&amp;C121</f>
        <v>18.05033737;84.23613484;28.3618830526793</v>
      </c>
      <c r="M121" s="6" t="n">
        <f aca="false">IF(COUNTIF($L$2:$L$2201,L121)&gt;1,1,0)</f>
        <v>0</v>
      </c>
      <c r="N121" s="6" t="str">
        <f aca="false">IF(AND(C121&lt;Assumptions!$B$9,B121&lt;Assumptions!$B$10),"Irrigate Now",IF(AND(C121&gt;=Assumptions!$B$11,B121&gt;=Assumptions!$B$12),"No Irrigation Needed","Monitor"))</f>
        <v>Monitor</v>
      </c>
      <c r="O121" s="6" t="n">
        <f aca="false">IF(N121=G121,1,0)</f>
        <v>1</v>
      </c>
    </row>
    <row r="122" customFormat="false" ht="15" hidden="false" customHeight="false" outlineLevel="0" collapsed="false">
      <c r="A122" s="16" t="n">
        <v>24.9321581</v>
      </c>
      <c r="B122" s="16" t="n">
        <v>79.74078719</v>
      </c>
      <c r="C122" s="16" t="n">
        <v>25.0840662279046</v>
      </c>
      <c r="D122" s="6" t="s">
        <v>57</v>
      </c>
      <c r="E122" s="6" t="s">
        <v>57</v>
      </c>
      <c r="F122" s="6" t="s">
        <v>23</v>
      </c>
      <c r="G122" s="6" t="s">
        <v>61</v>
      </c>
      <c r="H122" s="6" t="s">
        <v>63</v>
      </c>
      <c r="I122" s="6" t="str">
        <f aca="false">IF(A122&lt;Outliers!$E$6,"Low",IF(A122&gt;Outliers!$F$6,"High",""))</f>
        <v/>
      </c>
      <c r="J122" s="6" t="str">
        <f aca="false">IF(B122&lt;Outliers!$E$7,"Low",IF(B122&gt;Outliers!$F$7,"High",""))</f>
        <v/>
      </c>
      <c r="K122" s="6" t="str">
        <f aca="false">IF(C122&lt;Outliers!$E$8,"Low",IF(C122&gt;Outliers!$F$8,"High",""))</f>
        <v/>
      </c>
      <c r="L122" s="6" t="str">
        <f aca="false">A122&amp;";"&amp;B122&amp;";"&amp;C122</f>
        <v>24.9321581;79.74078719;25.0840662279046</v>
      </c>
      <c r="M122" s="6" t="n">
        <f aca="false">IF(COUNTIF($L$2:$L$2201,L122)&gt;1,1,0)</f>
        <v>0</v>
      </c>
      <c r="N122" s="6" t="str">
        <f aca="false">IF(AND(C122&lt;Assumptions!$B$9,B122&lt;Assumptions!$B$10),"Irrigate Now",IF(AND(C122&gt;=Assumptions!$B$11,B122&gt;=Assumptions!$B$12),"No Irrigation Needed","Monitor"))</f>
        <v>Monitor</v>
      </c>
      <c r="O122" s="6" t="n">
        <f aca="false">IF(N122=G122,1,0)</f>
        <v>1</v>
      </c>
    </row>
    <row r="123" customFormat="false" ht="15" hidden="false" customHeight="false" outlineLevel="0" collapsed="false">
      <c r="A123" s="16" t="n">
        <v>18.14710054</v>
      </c>
      <c r="B123" s="16" t="n">
        <v>88.07753741</v>
      </c>
      <c r="C123" s="16" t="n">
        <v>16.4838317740643</v>
      </c>
      <c r="D123" s="6" t="s">
        <v>66</v>
      </c>
      <c r="E123" s="6" t="s">
        <v>57</v>
      </c>
      <c r="F123" s="6" t="s">
        <v>24</v>
      </c>
      <c r="G123" s="6" t="s">
        <v>64</v>
      </c>
      <c r="H123" s="6" t="s">
        <v>65</v>
      </c>
      <c r="I123" s="6" t="str">
        <f aca="false">IF(A123&lt;Outliers!$E$6,"Low",IF(A123&gt;Outliers!$F$6,"High",""))</f>
        <v/>
      </c>
      <c r="J123" s="6" t="str">
        <f aca="false">IF(B123&lt;Outliers!$E$7,"Low",IF(B123&gt;Outliers!$F$7,"High",""))</f>
        <v/>
      </c>
      <c r="K123" s="6" t="str">
        <f aca="false">IF(C123&lt;Outliers!$E$8,"Low",IF(C123&gt;Outliers!$F$8,"High",""))</f>
        <v/>
      </c>
      <c r="L123" s="6" t="str">
        <f aca="false">A123&amp;";"&amp;B123&amp;";"&amp;C123</f>
        <v>18.14710054;88.07753741;16.4838317740643</v>
      </c>
      <c r="M123" s="6" t="n">
        <f aca="false">IF(COUNTIF($L$2:$L$2201,L123)&gt;1,1,0)</f>
        <v>0</v>
      </c>
      <c r="N123" s="6" t="str">
        <f aca="false">IF(AND(C123&lt;Assumptions!$B$9,B123&lt;Assumptions!$B$10),"Irrigate Now",IF(AND(C123&gt;=Assumptions!$B$11,B123&gt;=Assumptions!$B$12),"No Irrigation Needed","Monitor"))</f>
        <v>Irrigate Now</v>
      </c>
      <c r="O123" s="6" t="n">
        <f aca="false">IF(N123=G123,1,0)</f>
        <v>1</v>
      </c>
    </row>
    <row r="124" customFormat="false" ht="15" hidden="false" customHeight="false" outlineLevel="0" collapsed="false">
      <c r="A124" s="16" t="n">
        <v>18.28362235</v>
      </c>
      <c r="B124" s="16" t="n">
        <v>80.97573281</v>
      </c>
      <c r="C124" s="16" t="n">
        <v>10.5573278919432</v>
      </c>
      <c r="D124" s="6" t="s">
        <v>66</v>
      </c>
      <c r="E124" s="6" t="s">
        <v>57</v>
      </c>
      <c r="F124" s="6" t="s">
        <v>24</v>
      </c>
      <c r="G124" s="6" t="s">
        <v>64</v>
      </c>
      <c r="H124" s="6" t="s">
        <v>65</v>
      </c>
      <c r="I124" s="6" t="str">
        <f aca="false">IF(A124&lt;Outliers!$E$6,"Low",IF(A124&gt;Outliers!$F$6,"High",""))</f>
        <v/>
      </c>
      <c r="J124" s="6" t="str">
        <f aca="false">IF(B124&lt;Outliers!$E$7,"Low",IF(B124&gt;Outliers!$F$7,"High",""))</f>
        <v/>
      </c>
      <c r="K124" s="6" t="str">
        <f aca="false">IF(C124&lt;Outliers!$E$8,"Low",IF(C124&gt;Outliers!$F$8,"High",""))</f>
        <v/>
      </c>
      <c r="L124" s="6" t="str">
        <f aca="false">A124&amp;";"&amp;B124&amp;";"&amp;C124</f>
        <v>18.28362235;80.97573281;10.5573278919432</v>
      </c>
      <c r="M124" s="6" t="n">
        <f aca="false">IF(COUNTIF($L$2:$L$2201,L124)&gt;1,1,0)</f>
        <v>0</v>
      </c>
      <c r="N124" s="6" t="str">
        <f aca="false">IF(AND(C124&lt;Assumptions!$B$9,B124&lt;Assumptions!$B$10),"Irrigate Now",IF(AND(C124&gt;=Assumptions!$B$11,B124&gt;=Assumptions!$B$12),"No Irrigation Needed","Monitor"))</f>
        <v>Irrigate Now</v>
      </c>
      <c r="O124" s="6" t="n">
        <f aca="false">IF(N124=G124,1,0)</f>
        <v>1</v>
      </c>
    </row>
    <row r="125" customFormat="false" ht="15" hidden="false" customHeight="false" outlineLevel="0" collapsed="false">
      <c r="A125" s="16" t="n">
        <v>18.83344471</v>
      </c>
      <c r="B125" s="16" t="n">
        <v>79.7532896</v>
      </c>
      <c r="C125" s="16" t="n">
        <v>20.7090976353293</v>
      </c>
      <c r="D125" s="6" t="s">
        <v>66</v>
      </c>
      <c r="E125" s="6" t="s">
        <v>57</v>
      </c>
      <c r="F125" s="6" t="s">
        <v>60</v>
      </c>
      <c r="G125" s="6" t="s">
        <v>61</v>
      </c>
      <c r="H125" s="6" t="s">
        <v>63</v>
      </c>
      <c r="I125" s="6" t="str">
        <f aca="false">IF(A125&lt;Outliers!$E$6,"Low",IF(A125&gt;Outliers!$F$6,"High",""))</f>
        <v/>
      </c>
      <c r="J125" s="6" t="str">
        <f aca="false">IF(B125&lt;Outliers!$E$7,"Low",IF(B125&gt;Outliers!$F$7,"High",""))</f>
        <v/>
      </c>
      <c r="K125" s="6" t="str">
        <f aca="false">IF(C125&lt;Outliers!$E$8,"Low",IF(C125&gt;Outliers!$F$8,"High",""))</f>
        <v/>
      </c>
      <c r="L125" s="6" t="str">
        <f aca="false">A125&amp;";"&amp;B125&amp;";"&amp;C125</f>
        <v>18.83344471;79.7532896;20.7090976353293</v>
      </c>
      <c r="M125" s="6" t="n">
        <f aca="false">IF(COUNTIF($L$2:$L$2201,L125)&gt;1,1,0)</f>
        <v>0</v>
      </c>
      <c r="N125" s="6" t="str">
        <f aca="false">IF(AND(C125&lt;Assumptions!$B$9,B125&lt;Assumptions!$B$10),"Irrigate Now",IF(AND(C125&gt;=Assumptions!$B$11,B125&gt;=Assumptions!$B$12),"No Irrigation Needed","Monitor"))</f>
        <v>Monitor</v>
      </c>
      <c r="O125" s="6" t="n">
        <f aca="false">IF(N125=G125,1,0)</f>
        <v>1</v>
      </c>
    </row>
    <row r="126" customFormat="false" ht="15" hidden="false" customHeight="false" outlineLevel="0" collapsed="false">
      <c r="A126" s="16" t="n">
        <v>25.71895816</v>
      </c>
      <c r="B126" s="16" t="n">
        <v>74.51490791</v>
      </c>
      <c r="C126" s="16" t="n">
        <v>21.2261948589001</v>
      </c>
      <c r="D126" s="6" t="s">
        <v>57</v>
      </c>
      <c r="E126" s="6" t="s">
        <v>57</v>
      </c>
      <c r="F126" s="6" t="s">
        <v>60</v>
      </c>
      <c r="G126" s="6" t="s">
        <v>61</v>
      </c>
      <c r="H126" s="6" t="s">
        <v>63</v>
      </c>
      <c r="I126" s="6" t="str">
        <f aca="false">IF(A126&lt;Outliers!$E$6,"Low",IF(A126&gt;Outliers!$F$6,"High",""))</f>
        <v/>
      </c>
      <c r="J126" s="6" t="str">
        <f aca="false">IF(B126&lt;Outliers!$E$7,"Low",IF(B126&gt;Outliers!$F$7,"High",""))</f>
        <v/>
      </c>
      <c r="K126" s="6" t="str">
        <f aca="false">IF(C126&lt;Outliers!$E$8,"Low",IF(C126&gt;Outliers!$F$8,"High",""))</f>
        <v/>
      </c>
      <c r="L126" s="6" t="str">
        <f aca="false">A126&amp;";"&amp;B126&amp;";"&amp;C126</f>
        <v>25.71895816;74.51490791;21.2261948589001</v>
      </c>
      <c r="M126" s="6" t="n">
        <f aca="false">IF(COUNTIF($L$2:$L$2201,L126)&gt;1,1,0)</f>
        <v>0</v>
      </c>
      <c r="N126" s="6" t="str">
        <f aca="false">IF(AND(C126&lt;Assumptions!$B$9,B126&lt;Assumptions!$B$10),"Irrigate Now",IF(AND(C126&gt;=Assumptions!$B$11,B126&gt;=Assumptions!$B$12),"No Irrigation Needed","Monitor"))</f>
        <v>Monitor</v>
      </c>
      <c r="O126" s="6" t="n">
        <f aca="false">IF(N126=G126,1,0)</f>
        <v>1</v>
      </c>
    </row>
    <row r="127" customFormat="false" ht="15" hidden="false" customHeight="false" outlineLevel="0" collapsed="false">
      <c r="A127" s="16" t="n">
        <v>25.33797709</v>
      </c>
      <c r="B127" s="16" t="n">
        <v>96.46380213</v>
      </c>
      <c r="C127" s="16" t="n">
        <v>26.5503008670051</v>
      </c>
      <c r="D127" s="6" t="s">
        <v>57</v>
      </c>
      <c r="E127" s="6" t="s">
        <v>57</v>
      </c>
      <c r="F127" s="6" t="s">
        <v>23</v>
      </c>
      <c r="G127" s="6" t="s">
        <v>61</v>
      </c>
      <c r="H127" s="6" t="s">
        <v>63</v>
      </c>
      <c r="I127" s="6" t="str">
        <f aca="false">IF(A127&lt;Outliers!$E$6,"Low",IF(A127&gt;Outliers!$F$6,"High",""))</f>
        <v/>
      </c>
      <c r="J127" s="6" t="str">
        <f aca="false">IF(B127&lt;Outliers!$E$7,"Low",IF(B127&gt;Outliers!$F$7,"High",""))</f>
        <v/>
      </c>
      <c r="K127" s="6" t="str">
        <f aca="false">IF(C127&lt;Outliers!$E$8,"Low",IF(C127&gt;Outliers!$F$8,"High",""))</f>
        <v/>
      </c>
      <c r="L127" s="6" t="str">
        <f aca="false">A127&amp;";"&amp;B127&amp;";"&amp;C127</f>
        <v>25.33797709;96.46380213;26.5503008670051</v>
      </c>
      <c r="M127" s="6" t="n">
        <f aca="false">IF(COUNTIF($L$2:$L$2201,L127)&gt;1,1,0)</f>
        <v>0</v>
      </c>
      <c r="N127" s="6" t="str">
        <f aca="false">IF(AND(C127&lt;Assumptions!$B$9,B127&lt;Assumptions!$B$10),"Irrigate Now",IF(AND(C127&gt;=Assumptions!$B$11,B127&gt;=Assumptions!$B$12),"No Irrigation Needed","Monitor"))</f>
        <v>Monitor</v>
      </c>
      <c r="O127" s="6" t="n">
        <f aca="false">IF(N127=G127,1,0)</f>
        <v>1</v>
      </c>
    </row>
    <row r="128" customFormat="false" ht="15" hidden="false" customHeight="false" outlineLevel="0" collapsed="false">
      <c r="A128" s="16" t="n">
        <v>23.89114571</v>
      </c>
      <c r="B128" s="16" t="n">
        <v>102.8301942</v>
      </c>
      <c r="C128" s="16" t="n">
        <v>19.7839689085235</v>
      </c>
      <c r="D128" s="6" t="s">
        <v>57</v>
      </c>
      <c r="E128" s="6" t="s">
        <v>57</v>
      </c>
      <c r="F128" s="6" t="s">
        <v>60</v>
      </c>
      <c r="G128" s="6" t="s">
        <v>61</v>
      </c>
      <c r="H128" s="6" t="s">
        <v>63</v>
      </c>
      <c r="I128" s="6" t="str">
        <f aca="false">IF(A128&lt;Outliers!$E$6,"Low",IF(A128&gt;Outliers!$F$6,"High",""))</f>
        <v/>
      </c>
      <c r="J128" s="6" t="str">
        <f aca="false">IF(B128&lt;Outliers!$E$7,"Low",IF(B128&gt;Outliers!$F$7,"High",""))</f>
        <v/>
      </c>
      <c r="K128" s="6" t="str">
        <f aca="false">IF(C128&lt;Outliers!$E$8,"Low",IF(C128&gt;Outliers!$F$8,"High",""))</f>
        <v/>
      </c>
      <c r="L128" s="6" t="str">
        <f aca="false">A128&amp;";"&amp;B128&amp;";"&amp;C128</f>
        <v>23.89114571;102.8301942;19.7839689085235</v>
      </c>
      <c r="M128" s="6" t="n">
        <f aca="false">IF(COUNTIF($L$2:$L$2201,L128)&gt;1,1,0)</f>
        <v>0</v>
      </c>
      <c r="N128" s="6" t="str">
        <f aca="false">IF(AND(C128&lt;Assumptions!$B$9,B128&lt;Assumptions!$B$10),"Irrigate Now",IF(AND(C128&gt;=Assumptions!$B$11,B128&gt;=Assumptions!$B$12),"No Irrigation Needed","Monitor"))</f>
        <v>Monitor</v>
      </c>
      <c r="O128" s="6" t="n">
        <f aca="false">IF(N128=G128,1,0)</f>
        <v>1</v>
      </c>
    </row>
    <row r="129" customFormat="false" ht="15" hidden="false" customHeight="false" outlineLevel="0" collapsed="false">
      <c r="A129" s="16" t="n">
        <v>21.53574127</v>
      </c>
      <c r="B129" s="16" t="n">
        <v>102.4852929</v>
      </c>
      <c r="C129" s="16" t="n">
        <v>13.3669985313073</v>
      </c>
      <c r="D129" s="6" t="s">
        <v>57</v>
      </c>
      <c r="E129" s="6" t="s">
        <v>57</v>
      </c>
      <c r="F129" s="6" t="s">
        <v>24</v>
      </c>
      <c r="G129" s="6" t="s">
        <v>61</v>
      </c>
      <c r="H129" s="6" t="s">
        <v>63</v>
      </c>
      <c r="I129" s="6" t="str">
        <f aca="false">IF(A129&lt;Outliers!$E$6,"Low",IF(A129&gt;Outliers!$F$6,"High",""))</f>
        <v/>
      </c>
      <c r="J129" s="6" t="str">
        <f aca="false">IF(B129&lt;Outliers!$E$7,"Low",IF(B129&gt;Outliers!$F$7,"High",""))</f>
        <v/>
      </c>
      <c r="K129" s="6" t="str">
        <f aca="false">IF(C129&lt;Outliers!$E$8,"Low",IF(C129&gt;Outliers!$F$8,"High",""))</f>
        <v/>
      </c>
      <c r="L129" s="6" t="str">
        <f aca="false">A129&amp;";"&amp;B129&amp;";"&amp;C129</f>
        <v>21.53574127;102.4852929;13.3669985313073</v>
      </c>
      <c r="M129" s="6" t="n">
        <f aca="false">IF(COUNTIF($L$2:$L$2201,L129)&gt;1,1,0)</f>
        <v>0</v>
      </c>
      <c r="N129" s="6" t="str">
        <f aca="false">IF(AND(C129&lt;Assumptions!$B$9,B129&lt;Assumptions!$B$10),"Irrigate Now",IF(AND(C129&gt;=Assumptions!$B$11,B129&gt;=Assumptions!$B$12),"No Irrigation Needed","Monitor"))</f>
        <v>Monitor</v>
      </c>
      <c r="O129" s="6" t="n">
        <f aca="false">IF(N129=G129,1,0)</f>
        <v>1</v>
      </c>
    </row>
    <row r="130" customFormat="false" ht="15" hidden="false" customHeight="false" outlineLevel="0" collapsed="false">
      <c r="A130" s="16" t="n">
        <v>23.08974909</v>
      </c>
      <c r="B130" s="16" t="n">
        <v>70.43473609</v>
      </c>
      <c r="C130" s="16" t="n">
        <v>11.766911669745</v>
      </c>
      <c r="D130" s="6" t="s">
        <v>57</v>
      </c>
      <c r="E130" s="6" t="s">
        <v>57</v>
      </c>
      <c r="F130" s="6" t="s">
        <v>24</v>
      </c>
      <c r="G130" s="6" t="s">
        <v>64</v>
      </c>
      <c r="H130" s="6" t="s">
        <v>65</v>
      </c>
      <c r="I130" s="6" t="str">
        <f aca="false">IF(A130&lt;Outliers!$E$6,"Low",IF(A130&gt;Outliers!$F$6,"High",""))</f>
        <v/>
      </c>
      <c r="J130" s="6" t="str">
        <f aca="false">IF(B130&lt;Outliers!$E$7,"Low",IF(B130&gt;Outliers!$F$7,"High",""))</f>
        <v/>
      </c>
      <c r="K130" s="6" t="str">
        <f aca="false">IF(C130&lt;Outliers!$E$8,"Low",IF(C130&gt;Outliers!$F$8,"High",""))</f>
        <v/>
      </c>
      <c r="L130" s="6" t="str">
        <f aca="false">A130&amp;";"&amp;B130&amp;";"&amp;C130</f>
        <v>23.08974909;70.43473609;11.766911669745</v>
      </c>
      <c r="M130" s="6" t="n">
        <f aca="false">IF(COUNTIF($L$2:$L$2201,L130)&gt;1,1,0)</f>
        <v>0</v>
      </c>
      <c r="N130" s="6" t="str">
        <f aca="false">IF(AND(C130&lt;Assumptions!$B$9,B130&lt;Assumptions!$B$10),"Irrigate Now",IF(AND(C130&gt;=Assumptions!$B$11,B130&gt;=Assumptions!$B$12),"No Irrigation Needed","Monitor"))</f>
        <v>Irrigate Now</v>
      </c>
      <c r="O130" s="6" t="n">
        <f aca="false">IF(N130=G130,1,0)</f>
        <v>1</v>
      </c>
    </row>
    <row r="131" customFormat="false" ht="15" hidden="false" customHeight="false" outlineLevel="0" collapsed="false">
      <c r="A131" s="16" t="n">
        <v>25.61707368</v>
      </c>
      <c r="B131" s="16" t="n">
        <v>108.8303762</v>
      </c>
      <c r="C131" s="16" t="n">
        <v>20.709039585861</v>
      </c>
      <c r="D131" s="6" t="s">
        <v>57</v>
      </c>
      <c r="E131" s="6" t="s">
        <v>57</v>
      </c>
      <c r="F131" s="6" t="s">
        <v>60</v>
      </c>
      <c r="G131" s="6" t="s">
        <v>61</v>
      </c>
      <c r="H131" s="6" t="s">
        <v>63</v>
      </c>
      <c r="I131" s="6" t="str">
        <f aca="false">IF(A131&lt;Outliers!$E$6,"Low",IF(A131&gt;Outliers!$F$6,"High",""))</f>
        <v/>
      </c>
      <c r="J131" s="6" t="str">
        <f aca="false">IF(B131&lt;Outliers!$E$7,"Low",IF(B131&gt;Outliers!$F$7,"High",""))</f>
        <v/>
      </c>
      <c r="K131" s="6" t="str">
        <f aca="false">IF(C131&lt;Outliers!$E$8,"Low",IF(C131&gt;Outliers!$F$8,"High",""))</f>
        <v/>
      </c>
      <c r="L131" s="6" t="str">
        <f aca="false">A131&amp;";"&amp;B131&amp;";"&amp;C131</f>
        <v>25.61707368;108.8303762;20.709039585861</v>
      </c>
      <c r="M131" s="6" t="n">
        <f aca="false">IF(COUNTIF($L$2:$L$2201,L131)&gt;1,1,0)</f>
        <v>0</v>
      </c>
      <c r="N131" s="6" t="str">
        <f aca="false">IF(AND(C131&lt;Assumptions!$B$9,B131&lt;Assumptions!$B$10),"Irrigate Now",IF(AND(C131&gt;=Assumptions!$B$11,B131&gt;=Assumptions!$B$12),"No Irrigation Needed","Monitor"))</f>
        <v>Monitor</v>
      </c>
      <c r="O131" s="6" t="n">
        <f aca="false">IF(N131=G131,1,0)</f>
        <v>1</v>
      </c>
    </row>
    <row r="132" customFormat="false" ht="15" hidden="false" customHeight="false" outlineLevel="0" collapsed="false">
      <c r="A132" s="16" t="n">
        <v>21.44526922</v>
      </c>
      <c r="B132" s="16" t="n">
        <v>65.88951188</v>
      </c>
      <c r="C132" s="16" t="n">
        <v>12.0243651369099</v>
      </c>
      <c r="D132" s="6" t="s">
        <v>57</v>
      </c>
      <c r="E132" s="6" t="s">
        <v>57</v>
      </c>
      <c r="F132" s="6" t="s">
        <v>24</v>
      </c>
      <c r="G132" s="6" t="s">
        <v>64</v>
      </c>
      <c r="H132" s="6" t="s">
        <v>65</v>
      </c>
      <c r="I132" s="6" t="str">
        <f aca="false">IF(A132&lt;Outliers!$E$6,"Low",IF(A132&gt;Outliers!$F$6,"High",""))</f>
        <v/>
      </c>
      <c r="J132" s="6" t="str">
        <f aca="false">IF(B132&lt;Outliers!$E$7,"Low",IF(B132&gt;Outliers!$F$7,"High",""))</f>
        <v/>
      </c>
      <c r="K132" s="6" t="str">
        <f aca="false">IF(C132&lt;Outliers!$E$8,"Low",IF(C132&gt;Outliers!$F$8,"High",""))</f>
        <v/>
      </c>
      <c r="L132" s="6" t="str">
        <f aca="false">A132&amp;";"&amp;B132&amp;";"&amp;C132</f>
        <v>21.44526922;65.88951188;12.0243651369099</v>
      </c>
      <c r="M132" s="6" t="n">
        <f aca="false">IF(COUNTIF($L$2:$L$2201,L132)&gt;1,1,0)</f>
        <v>0</v>
      </c>
      <c r="N132" s="6" t="str">
        <f aca="false">IF(AND(C132&lt;Assumptions!$B$9,B132&lt;Assumptions!$B$10),"Irrigate Now",IF(AND(C132&gt;=Assumptions!$B$11,B132&gt;=Assumptions!$B$12),"No Irrigation Needed","Monitor"))</f>
        <v>Irrigate Now</v>
      </c>
      <c r="O132" s="6" t="n">
        <f aca="false">IF(N132=G132,1,0)</f>
        <v>1</v>
      </c>
    </row>
    <row r="133" customFormat="false" ht="15" hidden="false" customHeight="false" outlineLevel="0" collapsed="false">
      <c r="A133" s="16" t="n">
        <v>18.51816776</v>
      </c>
      <c r="B133" s="16" t="n">
        <v>90.988051</v>
      </c>
      <c r="C133" s="16" t="n">
        <v>10.825667707107</v>
      </c>
      <c r="D133" s="6" t="s">
        <v>66</v>
      </c>
      <c r="E133" s="6" t="s">
        <v>57</v>
      </c>
      <c r="F133" s="6" t="s">
        <v>24</v>
      </c>
      <c r="G133" s="6" t="s">
        <v>64</v>
      </c>
      <c r="H133" s="6" t="s">
        <v>65</v>
      </c>
      <c r="I133" s="6" t="str">
        <f aca="false">IF(A133&lt;Outliers!$E$6,"Low",IF(A133&gt;Outliers!$F$6,"High",""))</f>
        <v/>
      </c>
      <c r="J133" s="6" t="str">
        <f aca="false">IF(B133&lt;Outliers!$E$7,"Low",IF(B133&gt;Outliers!$F$7,"High",""))</f>
        <v/>
      </c>
      <c r="K133" s="6" t="str">
        <f aca="false">IF(C133&lt;Outliers!$E$8,"Low",IF(C133&gt;Outliers!$F$8,"High",""))</f>
        <v/>
      </c>
      <c r="L133" s="6" t="str">
        <f aca="false">A133&amp;";"&amp;B133&amp;";"&amp;C133</f>
        <v>18.51816776;90.988051;10.825667707107</v>
      </c>
      <c r="M133" s="6" t="n">
        <f aca="false">IF(COUNTIF($L$2:$L$2201,L133)&gt;1,1,0)</f>
        <v>0</v>
      </c>
      <c r="N133" s="6" t="str">
        <f aca="false">IF(AND(C133&lt;Assumptions!$B$9,B133&lt;Assumptions!$B$10),"Irrigate Now",IF(AND(C133&gt;=Assumptions!$B$11,B133&gt;=Assumptions!$B$12),"No Irrigation Needed","Monitor"))</f>
        <v>Irrigate Now</v>
      </c>
      <c r="O133" s="6" t="n">
        <f aca="false">IF(N133=G133,1,0)</f>
        <v>1</v>
      </c>
    </row>
    <row r="134" customFormat="false" ht="15" hidden="false" customHeight="false" outlineLevel="0" collapsed="false">
      <c r="A134" s="16" t="n">
        <v>22.53510514</v>
      </c>
      <c r="B134" s="16" t="n">
        <v>64.40866039</v>
      </c>
      <c r="C134" s="16" t="n">
        <v>10.3101510842644</v>
      </c>
      <c r="D134" s="6" t="s">
        <v>57</v>
      </c>
      <c r="E134" s="6" t="s">
        <v>57</v>
      </c>
      <c r="F134" s="6" t="s">
        <v>24</v>
      </c>
      <c r="G134" s="6" t="s">
        <v>64</v>
      </c>
      <c r="H134" s="6" t="s">
        <v>65</v>
      </c>
      <c r="I134" s="6" t="str">
        <f aca="false">IF(A134&lt;Outliers!$E$6,"Low",IF(A134&gt;Outliers!$F$6,"High",""))</f>
        <v/>
      </c>
      <c r="J134" s="6" t="str">
        <f aca="false">IF(B134&lt;Outliers!$E$7,"Low",IF(B134&gt;Outliers!$F$7,"High",""))</f>
        <v/>
      </c>
      <c r="K134" s="6" t="str">
        <f aca="false">IF(C134&lt;Outliers!$E$8,"Low",IF(C134&gt;Outliers!$F$8,"High",""))</f>
        <v/>
      </c>
      <c r="L134" s="6" t="str">
        <f aca="false">A134&amp;";"&amp;B134&amp;";"&amp;C134</f>
        <v>22.53510514;64.40866039;10.3101510842644</v>
      </c>
      <c r="M134" s="6" t="n">
        <f aca="false">IF(COUNTIF($L$2:$L$2201,L134)&gt;1,1,0)</f>
        <v>0</v>
      </c>
      <c r="N134" s="6" t="str">
        <f aca="false">IF(AND(C134&lt;Assumptions!$B$9,B134&lt;Assumptions!$B$10),"Irrigate Now",IF(AND(C134&gt;=Assumptions!$B$11,B134&gt;=Assumptions!$B$12),"No Irrigation Needed","Monitor"))</f>
        <v>Irrigate Now</v>
      </c>
      <c r="O134" s="6" t="n">
        <f aca="false">IF(N134=G134,1,0)</f>
        <v>1</v>
      </c>
    </row>
    <row r="135" customFormat="false" ht="15" hidden="false" customHeight="false" outlineLevel="0" collapsed="false">
      <c r="A135" s="16" t="n">
        <v>23.02038334</v>
      </c>
      <c r="B135" s="16" t="n">
        <v>63.03843397</v>
      </c>
      <c r="C135" s="16" t="n">
        <v>25.9949388004957</v>
      </c>
      <c r="D135" s="6" t="s">
        <v>57</v>
      </c>
      <c r="E135" s="6" t="s">
        <v>57</v>
      </c>
      <c r="F135" s="6" t="s">
        <v>23</v>
      </c>
      <c r="G135" s="6" t="s">
        <v>61</v>
      </c>
      <c r="H135" s="6" t="s">
        <v>63</v>
      </c>
      <c r="I135" s="6" t="str">
        <f aca="false">IF(A135&lt;Outliers!$E$6,"Low",IF(A135&gt;Outliers!$F$6,"High",""))</f>
        <v/>
      </c>
      <c r="J135" s="6" t="str">
        <f aca="false">IF(B135&lt;Outliers!$E$7,"Low",IF(B135&gt;Outliers!$F$7,"High",""))</f>
        <v/>
      </c>
      <c r="K135" s="6" t="str">
        <f aca="false">IF(C135&lt;Outliers!$E$8,"Low",IF(C135&gt;Outliers!$F$8,"High",""))</f>
        <v/>
      </c>
      <c r="L135" s="6" t="str">
        <f aca="false">A135&amp;";"&amp;B135&amp;";"&amp;C135</f>
        <v>23.02038334;63.03843397;25.9949388004957</v>
      </c>
      <c r="M135" s="6" t="n">
        <f aca="false">IF(COUNTIF($L$2:$L$2201,L135)&gt;1,1,0)</f>
        <v>0</v>
      </c>
      <c r="N135" s="6" t="str">
        <f aca="false">IF(AND(C135&lt;Assumptions!$B$9,B135&lt;Assumptions!$B$10),"Irrigate Now",IF(AND(C135&gt;=Assumptions!$B$11,B135&gt;=Assumptions!$B$12),"No Irrigation Needed","Monitor"))</f>
        <v>Monitor</v>
      </c>
      <c r="O135" s="6" t="n">
        <f aca="false">IF(N135=G135,1,0)</f>
        <v>1</v>
      </c>
    </row>
    <row r="136" customFormat="false" ht="15" hidden="false" customHeight="false" outlineLevel="0" collapsed="false">
      <c r="A136" s="16" t="n">
        <v>24.89364635</v>
      </c>
      <c r="B136" s="16" t="n">
        <v>87.9298085</v>
      </c>
      <c r="C136" s="16" t="n">
        <v>16.1186023300044</v>
      </c>
      <c r="D136" s="6" t="s">
        <v>57</v>
      </c>
      <c r="E136" s="6" t="s">
        <v>57</v>
      </c>
      <c r="F136" s="6" t="s">
        <v>24</v>
      </c>
      <c r="G136" s="6" t="s">
        <v>64</v>
      </c>
      <c r="H136" s="6" t="s">
        <v>65</v>
      </c>
      <c r="I136" s="6" t="str">
        <f aca="false">IF(A136&lt;Outliers!$E$6,"Low",IF(A136&gt;Outliers!$F$6,"High",""))</f>
        <v/>
      </c>
      <c r="J136" s="6" t="str">
        <f aca="false">IF(B136&lt;Outliers!$E$7,"Low",IF(B136&gt;Outliers!$F$7,"High",""))</f>
        <v/>
      </c>
      <c r="K136" s="6" t="str">
        <f aca="false">IF(C136&lt;Outliers!$E$8,"Low",IF(C136&gt;Outliers!$F$8,"High",""))</f>
        <v/>
      </c>
      <c r="L136" s="6" t="str">
        <f aca="false">A136&amp;";"&amp;B136&amp;";"&amp;C136</f>
        <v>24.89364635;87.9298085;16.1186023300044</v>
      </c>
      <c r="M136" s="6" t="n">
        <f aca="false">IF(COUNTIF($L$2:$L$2201,L136)&gt;1,1,0)</f>
        <v>0</v>
      </c>
      <c r="N136" s="6" t="str">
        <f aca="false">IF(AND(C136&lt;Assumptions!$B$9,B136&lt;Assumptions!$B$10),"Irrigate Now",IF(AND(C136&gt;=Assumptions!$B$11,B136&gt;=Assumptions!$B$12),"No Irrigation Needed","Monitor"))</f>
        <v>Irrigate Now</v>
      </c>
      <c r="O136" s="6" t="n">
        <f aca="false">IF(N136=G136,1,0)</f>
        <v>1</v>
      </c>
    </row>
    <row r="137" customFormat="false" ht="15" hidden="false" customHeight="false" outlineLevel="0" collapsed="false">
      <c r="A137" s="16" t="n">
        <v>25.77175115</v>
      </c>
      <c r="B137" s="16" t="n">
        <v>107.4931917</v>
      </c>
      <c r="C137" s="16" t="n">
        <v>16.1814755965853</v>
      </c>
      <c r="D137" s="6" t="s">
        <v>57</v>
      </c>
      <c r="E137" s="6" t="s">
        <v>57</v>
      </c>
      <c r="F137" s="6" t="s">
        <v>24</v>
      </c>
      <c r="G137" s="6" t="s">
        <v>61</v>
      </c>
      <c r="H137" s="6" t="s">
        <v>63</v>
      </c>
      <c r="I137" s="6" t="str">
        <f aca="false">IF(A137&lt;Outliers!$E$6,"Low",IF(A137&gt;Outliers!$F$6,"High",""))</f>
        <v/>
      </c>
      <c r="J137" s="6" t="str">
        <f aca="false">IF(B137&lt;Outliers!$E$7,"Low",IF(B137&gt;Outliers!$F$7,"High",""))</f>
        <v/>
      </c>
      <c r="K137" s="6" t="str">
        <f aca="false">IF(C137&lt;Outliers!$E$8,"Low",IF(C137&gt;Outliers!$F$8,"High",""))</f>
        <v/>
      </c>
      <c r="L137" s="6" t="str">
        <f aca="false">A137&amp;";"&amp;B137&amp;";"&amp;C137</f>
        <v>25.77175115;107.4931917;16.1814755965853</v>
      </c>
      <c r="M137" s="6" t="n">
        <f aca="false">IF(COUNTIF($L$2:$L$2201,L137)&gt;1,1,0)</f>
        <v>0</v>
      </c>
      <c r="N137" s="6" t="str">
        <f aca="false">IF(AND(C137&lt;Assumptions!$B$9,B137&lt;Assumptions!$B$10),"Irrigate Now",IF(AND(C137&gt;=Assumptions!$B$11,B137&gt;=Assumptions!$B$12),"No Irrigation Needed","Monitor"))</f>
        <v>Monitor</v>
      </c>
      <c r="O137" s="6" t="n">
        <f aca="false">IF(N137=G137,1,0)</f>
        <v>1</v>
      </c>
    </row>
    <row r="138" customFormat="false" ht="15" hidden="false" customHeight="false" outlineLevel="0" collapsed="false">
      <c r="A138" s="16" t="n">
        <v>19.39851734</v>
      </c>
      <c r="B138" s="16" t="n">
        <v>60.95197486</v>
      </c>
      <c r="C138" s="16" t="n">
        <v>15.5097196119876</v>
      </c>
      <c r="D138" s="6" t="s">
        <v>66</v>
      </c>
      <c r="E138" s="6" t="s">
        <v>57</v>
      </c>
      <c r="F138" s="6" t="s">
        <v>24</v>
      </c>
      <c r="G138" s="6" t="s">
        <v>64</v>
      </c>
      <c r="H138" s="6" t="s">
        <v>65</v>
      </c>
      <c r="I138" s="6" t="str">
        <f aca="false">IF(A138&lt;Outliers!$E$6,"Low",IF(A138&gt;Outliers!$F$6,"High",""))</f>
        <v/>
      </c>
      <c r="J138" s="6" t="str">
        <f aca="false">IF(B138&lt;Outliers!$E$7,"Low",IF(B138&gt;Outliers!$F$7,"High",""))</f>
        <v/>
      </c>
      <c r="K138" s="6" t="str">
        <f aca="false">IF(C138&lt;Outliers!$E$8,"Low",IF(C138&gt;Outliers!$F$8,"High",""))</f>
        <v/>
      </c>
      <c r="L138" s="6" t="str">
        <f aca="false">A138&amp;";"&amp;B138&amp;";"&amp;C138</f>
        <v>19.39851734;60.95197486;15.5097196119876</v>
      </c>
      <c r="M138" s="6" t="n">
        <f aca="false">IF(COUNTIF($L$2:$L$2201,L138)&gt;1,1,0)</f>
        <v>0</v>
      </c>
      <c r="N138" s="6" t="str">
        <f aca="false">IF(AND(C138&lt;Assumptions!$B$9,B138&lt;Assumptions!$B$10),"Irrigate Now",IF(AND(C138&gt;=Assumptions!$B$11,B138&gt;=Assumptions!$B$12),"No Irrigation Needed","Monitor"))</f>
        <v>Irrigate Now</v>
      </c>
      <c r="O138" s="6" t="n">
        <f aca="false">IF(N138=G138,1,0)</f>
        <v>1</v>
      </c>
    </row>
    <row r="139" customFormat="false" ht="15" hidden="false" customHeight="false" outlineLevel="0" collapsed="false">
      <c r="A139" s="16" t="n">
        <v>21.54156232</v>
      </c>
      <c r="B139" s="16" t="n">
        <v>109.7515385</v>
      </c>
      <c r="C139" s="16" t="n">
        <v>25.4064823112474</v>
      </c>
      <c r="D139" s="6" t="s">
        <v>57</v>
      </c>
      <c r="E139" s="6" t="s">
        <v>57</v>
      </c>
      <c r="F139" s="6" t="s">
        <v>23</v>
      </c>
      <c r="G139" s="6" t="s">
        <v>58</v>
      </c>
      <c r="H139" s="6" t="s">
        <v>59</v>
      </c>
      <c r="I139" s="6" t="str">
        <f aca="false">IF(A139&lt;Outliers!$E$6,"Low",IF(A139&gt;Outliers!$F$6,"High",""))</f>
        <v/>
      </c>
      <c r="J139" s="6" t="str">
        <f aca="false">IF(B139&lt;Outliers!$E$7,"Low",IF(B139&gt;Outliers!$F$7,"High",""))</f>
        <v/>
      </c>
      <c r="K139" s="6" t="str">
        <f aca="false">IF(C139&lt;Outliers!$E$8,"Low",IF(C139&gt;Outliers!$F$8,"High",""))</f>
        <v/>
      </c>
      <c r="L139" s="6" t="str">
        <f aca="false">A139&amp;";"&amp;B139&amp;";"&amp;C139</f>
        <v>21.54156232;109.7515385;25.4064823112474</v>
      </c>
      <c r="M139" s="6" t="n">
        <f aca="false">IF(COUNTIF($L$2:$L$2201,L139)&gt;1,1,0)</f>
        <v>0</v>
      </c>
      <c r="N139" s="6" t="str">
        <f aca="false">IF(AND(C139&lt;Assumptions!$B$9,B139&lt;Assumptions!$B$10),"Irrigate Now",IF(AND(C139&gt;=Assumptions!$B$11,B139&gt;=Assumptions!$B$12),"No Irrigation Needed","Monitor"))</f>
        <v>No Irrigation Needed</v>
      </c>
      <c r="O139" s="6" t="n">
        <f aca="false">IF(N139=G139,1,0)</f>
        <v>1</v>
      </c>
    </row>
    <row r="140" customFormat="false" ht="15" hidden="false" customHeight="false" outlineLevel="0" collapsed="false">
      <c r="A140" s="16" t="n">
        <v>23.79746068</v>
      </c>
      <c r="B140" s="16" t="n">
        <v>91.76337172</v>
      </c>
      <c r="C140" s="16" t="n">
        <v>22.6919053080773</v>
      </c>
      <c r="D140" s="6" t="s">
        <v>57</v>
      </c>
      <c r="E140" s="6" t="s">
        <v>57</v>
      </c>
      <c r="F140" s="6" t="s">
        <v>60</v>
      </c>
      <c r="G140" s="6" t="s">
        <v>61</v>
      </c>
      <c r="H140" s="6" t="s">
        <v>63</v>
      </c>
      <c r="I140" s="6" t="str">
        <f aca="false">IF(A140&lt;Outliers!$E$6,"Low",IF(A140&gt;Outliers!$F$6,"High",""))</f>
        <v/>
      </c>
      <c r="J140" s="6" t="str">
        <f aca="false">IF(B140&lt;Outliers!$E$7,"Low",IF(B140&gt;Outliers!$F$7,"High",""))</f>
        <v/>
      </c>
      <c r="K140" s="6" t="str">
        <f aca="false">IF(C140&lt;Outliers!$E$8,"Low",IF(C140&gt;Outliers!$F$8,"High",""))</f>
        <v/>
      </c>
      <c r="L140" s="6" t="str">
        <f aca="false">A140&amp;";"&amp;B140&amp;";"&amp;C140</f>
        <v>23.79746068;91.76337172;22.6919053080773</v>
      </c>
      <c r="M140" s="6" t="n">
        <f aca="false">IF(COUNTIF($L$2:$L$2201,L140)&gt;1,1,0)</f>
        <v>0</v>
      </c>
      <c r="N140" s="6" t="str">
        <f aca="false">IF(AND(C140&lt;Assumptions!$B$9,B140&lt;Assumptions!$B$10),"Irrigate Now",IF(AND(C140&gt;=Assumptions!$B$11,B140&gt;=Assumptions!$B$12),"No Irrigation Needed","Monitor"))</f>
        <v>Monitor</v>
      </c>
      <c r="O140" s="6" t="n">
        <f aca="false">IF(N140=G140,1,0)</f>
        <v>1</v>
      </c>
    </row>
    <row r="141" customFormat="false" ht="15" hidden="false" customHeight="false" outlineLevel="0" collapsed="false">
      <c r="A141" s="16" t="n">
        <v>18.9802729</v>
      </c>
      <c r="B141" s="16" t="n">
        <v>94.26249353</v>
      </c>
      <c r="C141" s="16" t="n">
        <v>28.7845920063946</v>
      </c>
      <c r="D141" s="6" t="s">
        <v>66</v>
      </c>
      <c r="E141" s="6" t="s">
        <v>57</v>
      </c>
      <c r="F141" s="6" t="s">
        <v>23</v>
      </c>
      <c r="G141" s="6" t="s">
        <v>61</v>
      </c>
      <c r="H141" s="6" t="s">
        <v>63</v>
      </c>
      <c r="I141" s="6" t="str">
        <f aca="false">IF(A141&lt;Outliers!$E$6,"Low",IF(A141&gt;Outliers!$F$6,"High",""))</f>
        <v/>
      </c>
      <c r="J141" s="6" t="str">
        <f aca="false">IF(B141&lt;Outliers!$E$7,"Low",IF(B141&gt;Outliers!$F$7,"High",""))</f>
        <v/>
      </c>
      <c r="K141" s="6" t="str">
        <f aca="false">IF(C141&lt;Outliers!$E$8,"Low",IF(C141&gt;Outliers!$F$8,"High",""))</f>
        <v/>
      </c>
      <c r="L141" s="6" t="str">
        <f aca="false">A141&amp;";"&amp;B141&amp;";"&amp;C141</f>
        <v>18.9802729;94.26249353;28.7845920063946</v>
      </c>
      <c r="M141" s="6" t="n">
        <f aca="false">IF(COUNTIF($L$2:$L$2201,L141)&gt;1,1,0)</f>
        <v>0</v>
      </c>
      <c r="N141" s="6" t="str">
        <f aca="false">IF(AND(C141&lt;Assumptions!$B$9,B141&lt;Assumptions!$B$10),"Irrigate Now",IF(AND(C141&gt;=Assumptions!$B$11,B141&gt;=Assumptions!$B$12),"No Irrigation Needed","Monitor"))</f>
        <v>Monitor</v>
      </c>
      <c r="O141" s="6" t="n">
        <f aca="false">IF(N141=G141,1,0)</f>
        <v>1</v>
      </c>
    </row>
    <row r="142" customFormat="false" ht="15" hidden="false" customHeight="false" outlineLevel="0" collapsed="false">
      <c r="A142" s="16" t="n">
        <v>24.10859207</v>
      </c>
      <c r="B142" s="16" t="n">
        <v>71.07562236</v>
      </c>
      <c r="C142" s="16" t="n">
        <v>14.6950449601984</v>
      </c>
      <c r="D142" s="6" t="s">
        <v>57</v>
      </c>
      <c r="E142" s="6" t="s">
        <v>57</v>
      </c>
      <c r="F142" s="6" t="s">
        <v>24</v>
      </c>
      <c r="G142" s="6" t="s">
        <v>64</v>
      </c>
      <c r="H142" s="6" t="s">
        <v>65</v>
      </c>
      <c r="I142" s="6" t="str">
        <f aca="false">IF(A142&lt;Outliers!$E$6,"Low",IF(A142&gt;Outliers!$F$6,"High",""))</f>
        <v/>
      </c>
      <c r="J142" s="6" t="str">
        <f aca="false">IF(B142&lt;Outliers!$E$7,"Low",IF(B142&gt;Outliers!$F$7,"High",""))</f>
        <v/>
      </c>
      <c r="K142" s="6" t="str">
        <f aca="false">IF(C142&lt;Outliers!$E$8,"Low",IF(C142&gt;Outliers!$F$8,"High",""))</f>
        <v/>
      </c>
      <c r="L142" s="6" t="str">
        <f aca="false">A142&amp;";"&amp;B142&amp;";"&amp;C142</f>
        <v>24.10859207;71.07562236;14.6950449601984</v>
      </c>
      <c r="M142" s="6" t="n">
        <f aca="false">IF(COUNTIF($L$2:$L$2201,L142)&gt;1,1,0)</f>
        <v>0</v>
      </c>
      <c r="N142" s="6" t="str">
        <f aca="false">IF(AND(C142&lt;Assumptions!$B$9,B142&lt;Assumptions!$B$10),"Irrigate Now",IF(AND(C142&gt;=Assumptions!$B$11,B142&gt;=Assumptions!$B$12),"No Irrigation Needed","Monitor"))</f>
        <v>Irrigate Now</v>
      </c>
      <c r="O142" s="6" t="n">
        <f aca="false">IF(N142=G142,1,0)</f>
        <v>1</v>
      </c>
    </row>
    <row r="143" customFormat="false" ht="15" hidden="false" customHeight="false" outlineLevel="0" collapsed="false">
      <c r="A143" s="16" t="n">
        <v>24.7947077</v>
      </c>
      <c r="B143" s="16" t="n">
        <v>76.72860067</v>
      </c>
      <c r="C143" s="16" t="n">
        <v>17.6264287044201</v>
      </c>
      <c r="D143" s="6" t="s">
        <v>57</v>
      </c>
      <c r="E143" s="6" t="s">
        <v>57</v>
      </c>
      <c r="F143" s="6" t="s">
        <v>24</v>
      </c>
      <c r="G143" s="6" t="s">
        <v>64</v>
      </c>
      <c r="H143" s="6" t="s">
        <v>65</v>
      </c>
      <c r="I143" s="6" t="str">
        <f aca="false">IF(A143&lt;Outliers!$E$6,"Low",IF(A143&gt;Outliers!$F$6,"High",""))</f>
        <v/>
      </c>
      <c r="J143" s="6" t="str">
        <f aca="false">IF(B143&lt;Outliers!$E$7,"Low",IF(B143&gt;Outliers!$F$7,"High",""))</f>
        <v/>
      </c>
      <c r="K143" s="6" t="str">
        <f aca="false">IF(C143&lt;Outliers!$E$8,"Low",IF(C143&gt;Outliers!$F$8,"High",""))</f>
        <v/>
      </c>
      <c r="L143" s="6" t="str">
        <f aca="false">A143&amp;";"&amp;B143&amp;";"&amp;C143</f>
        <v>24.7947077;76.72860067;17.6264287044201</v>
      </c>
      <c r="M143" s="6" t="n">
        <f aca="false">IF(COUNTIF($L$2:$L$2201,L143)&gt;1,1,0)</f>
        <v>0</v>
      </c>
      <c r="N143" s="6" t="str">
        <f aca="false">IF(AND(C143&lt;Assumptions!$B$9,B143&lt;Assumptions!$B$10),"Irrigate Now",IF(AND(C143&gt;=Assumptions!$B$11,B143&gt;=Assumptions!$B$12),"No Irrigation Needed","Monitor"))</f>
        <v>Irrigate Now</v>
      </c>
      <c r="O143" s="6" t="n">
        <f aca="false">IF(N143=G143,1,0)</f>
        <v>1</v>
      </c>
    </row>
    <row r="144" customFormat="false" ht="15" hidden="false" customHeight="false" outlineLevel="0" collapsed="false">
      <c r="A144" s="16" t="n">
        <v>21.63162756</v>
      </c>
      <c r="B144" s="16" t="n">
        <v>69.21803098</v>
      </c>
      <c r="C144" s="16" t="n">
        <v>25.5840560724788</v>
      </c>
      <c r="D144" s="6" t="s">
        <v>57</v>
      </c>
      <c r="E144" s="6" t="s">
        <v>57</v>
      </c>
      <c r="F144" s="6" t="s">
        <v>23</v>
      </c>
      <c r="G144" s="6" t="s">
        <v>61</v>
      </c>
      <c r="H144" s="6" t="s">
        <v>63</v>
      </c>
      <c r="I144" s="6" t="str">
        <f aca="false">IF(A144&lt;Outliers!$E$6,"Low",IF(A144&gt;Outliers!$F$6,"High",""))</f>
        <v/>
      </c>
      <c r="J144" s="6" t="str">
        <f aca="false">IF(B144&lt;Outliers!$E$7,"Low",IF(B144&gt;Outliers!$F$7,"High",""))</f>
        <v/>
      </c>
      <c r="K144" s="6" t="str">
        <f aca="false">IF(C144&lt;Outliers!$E$8,"Low",IF(C144&gt;Outliers!$F$8,"High",""))</f>
        <v/>
      </c>
      <c r="L144" s="6" t="str">
        <f aca="false">A144&amp;";"&amp;B144&amp;";"&amp;C144</f>
        <v>21.63162756;69.21803098;25.5840560724788</v>
      </c>
      <c r="M144" s="6" t="n">
        <f aca="false">IF(COUNTIF($L$2:$L$2201,L144)&gt;1,1,0)</f>
        <v>0</v>
      </c>
      <c r="N144" s="6" t="str">
        <f aca="false">IF(AND(C144&lt;Assumptions!$B$9,B144&lt;Assumptions!$B$10),"Irrigate Now",IF(AND(C144&gt;=Assumptions!$B$11,B144&gt;=Assumptions!$B$12),"No Irrigation Needed","Monitor"))</f>
        <v>Monitor</v>
      </c>
      <c r="O144" s="6" t="n">
        <f aca="false">IF(N144=G144,1,0)</f>
        <v>1</v>
      </c>
    </row>
    <row r="145" customFormat="false" ht="15" hidden="false" customHeight="false" outlineLevel="0" collapsed="false">
      <c r="A145" s="16" t="n">
        <v>25.37548751</v>
      </c>
      <c r="B145" s="16" t="n">
        <v>101.7004306</v>
      </c>
      <c r="C145" s="16" t="n">
        <v>24.3952801312897</v>
      </c>
      <c r="D145" s="6" t="s">
        <v>57</v>
      </c>
      <c r="E145" s="6" t="s">
        <v>57</v>
      </c>
      <c r="F145" s="6" t="s">
        <v>23</v>
      </c>
      <c r="G145" s="6" t="s">
        <v>61</v>
      </c>
      <c r="H145" s="6" t="s">
        <v>63</v>
      </c>
      <c r="I145" s="6" t="str">
        <f aca="false">IF(A145&lt;Outliers!$E$6,"Low",IF(A145&gt;Outliers!$F$6,"High",""))</f>
        <v/>
      </c>
      <c r="J145" s="6" t="str">
        <f aca="false">IF(B145&lt;Outliers!$E$7,"Low",IF(B145&gt;Outliers!$F$7,"High",""))</f>
        <v/>
      </c>
      <c r="K145" s="6" t="str">
        <f aca="false">IF(C145&lt;Outliers!$E$8,"Low",IF(C145&gt;Outliers!$F$8,"High",""))</f>
        <v/>
      </c>
      <c r="L145" s="6" t="str">
        <f aca="false">A145&amp;";"&amp;B145&amp;";"&amp;C145</f>
        <v>25.37548751;101.7004306;24.3952801312897</v>
      </c>
      <c r="M145" s="6" t="n">
        <f aca="false">IF(COUNTIF($L$2:$L$2201,L145)&gt;1,1,0)</f>
        <v>0</v>
      </c>
      <c r="N145" s="6" t="str">
        <f aca="false">IF(AND(C145&lt;Assumptions!$B$9,B145&lt;Assumptions!$B$10),"Irrigate Now",IF(AND(C145&gt;=Assumptions!$B$11,B145&gt;=Assumptions!$B$12),"No Irrigation Needed","Monitor"))</f>
        <v>Monitor</v>
      </c>
      <c r="O145" s="6" t="n">
        <f aca="false">IF(N145=G145,1,0)</f>
        <v>1</v>
      </c>
    </row>
    <row r="146" customFormat="false" ht="15" hidden="false" customHeight="false" outlineLevel="0" collapsed="false">
      <c r="A146" s="16" t="n">
        <v>22.21738222</v>
      </c>
      <c r="B146" s="16" t="n">
        <v>106.6213157</v>
      </c>
      <c r="C146" s="16" t="n">
        <v>22.4233864164778</v>
      </c>
      <c r="D146" s="6" t="s">
        <v>57</v>
      </c>
      <c r="E146" s="6" t="s">
        <v>57</v>
      </c>
      <c r="F146" s="6" t="s">
        <v>60</v>
      </c>
      <c r="G146" s="6" t="s">
        <v>61</v>
      </c>
      <c r="H146" s="6" t="s">
        <v>63</v>
      </c>
      <c r="I146" s="6" t="str">
        <f aca="false">IF(A146&lt;Outliers!$E$6,"Low",IF(A146&gt;Outliers!$F$6,"High",""))</f>
        <v/>
      </c>
      <c r="J146" s="6" t="str">
        <f aca="false">IF(B146&lt;Outliers!$E$7,"Low",IF(B146&gt;Outliers!$F$7,"High",""))</f>
        <v/>
      </c>
      <c r="K146" s="6" t="str">
        <f aca="false">IF(C146&lt;Outliers!$E$8,"Low",IF(C146&gt;Outliers!$F$8,"High",""))</f>
        <v/>
      </c>
      <c r="L146" s="6" t="str">
        <f aca="false">A146&amp;";"&amp;B146&amp;";"&amp;C146</f>
        <v>22.21738222;106.6213157;22.4233864164778</v>
      </c>
      <c r="M146" s="6" t="n">
        <f aca="false">IF(COUNTIF($L$2:$L$2201,L146)&gt;1,1,0)</f>
        <v>0</v>
      </c>
      <c r="N146" s="6" t="str">
        <f aca="false">IF(AND(C146&lt;Assumptions!$B$9,B146&lt;Assumptions!$B$10),"Irrigate Now",IF(AND(C146&gt;=Assumptions!$B$11,B146&gt;=Assumptions!$B$12),"No Irrigation Needed","Monitor"))</f>
        <v>Monitor</v>
      </c>
      <c r="O146" s="6" t="n">
        <f aca="false">IF(N146=G146,1,0)</f>
        <v>1</v>
      </c>
    </row>
    <row r="147" customFormat="false" ht="15" hidden="false" customHeight="false" outlineLevel="0" collapsed="false">
      <c r="A147" s="16" t="n">
        <v>20.58314011</v>
      </c>
      <c r="B147" s="16" t="n">
        <v>66.29390357</v>
      </c>
      <c r="C147" s="16" t="n">
        <v>14.4896652624893</v>
      </c>
      <c r="D147" s="6" t="s">
        <v>57</v>
      </c>
      <c r="E147" s="6" t="s">
        <v>57</v>
      </c>
      <c r="F147" s="6" t="s">
        <v>24</v>
      </c>
      <c r="G147" s="6" t="s">
        <v>64</v>
      </c>
      <c r="H147" s="6" t="s">
        <v>65</v>
      </c>
      <c r="I147" s="6" t="str">
        <f aca="false">IF(A147&lt;Outliers!$E$6,"Low",IF(A147&gt;Outliers!$F$6,"High",""))</f>
        <v/>
      </c>
      <c r="J147" s="6" t="str">
        <f aca="false">IF(B147&lt;Outliers!$E$7,"Low",IF(B147&gt;Outliers!$F$7,"High",""))</f>
        <v/>
      </c>
      <c r="K147" s="6" t="str">
        <f aca="false">IF(C147&lt;Outliers!$E$8,"Low",IF(C147&gt;Outliers!$F$8,"High",""))</f>
        <v/>
      </c>
      <c r="L147" s="6" t="str">
        <f aca="false">A147&amp;";"&amp;B147&amp;";"&amp;C147</f>
        <v>20.58314011;66.29390357;14.4896652624893</v>
      </c>
      <c r="M147" s="6" t="n">
        <f aca="false">IF(COUNTIF($L$2:$L$2201,L147)&gt;1,1,0)</f>
        <v>0</v>
      </c>
      <c r="N147" s="6" t="str">
        <f aca="false">IF(AND(C147&lt;Assumptions!$B$9,B147&lt;Assumptions!$B$10),"Irrigate Now",IF(AND(C147&gt;=Assumptions!$B$11,B147&gt;=Assumptions!$B$12),"No Irrigation Needed","Monitor"))</f>
        <v>Irrigate Now</v>
      </c>
      <c r="O147" s="6" t="n">
        <f aca="false">IF(N147=G147,1,0)</f>
        <v>1</v>
      </c>
    </row>
    <row r="148" customFormat="false" ht="15" hidden="false" customHeight="false" outlineLevel="0" collapsed="false">
      <c r="A148" s="16" t="n">
        <v>24.87502824</v>
      </c>
      <c r="B148" s="16" t="n">
        <v>91.26056654</v>
      </c>
      <c r="C148" s="16" t="n">
        <v>21.2604144984678</v>
      </c>
      <c r="D148" s="6" t="s">
        <v>57</v>
      </c>
      <c r="E148" s="6" t="s">
        <v>57</v>
      </c>
      <c r="F148" s="6" t="s">
        <v>60</v>
      </c>
      <c r="G148" s="6" t="s">
        <v>61</v>
      </c>
      <c r="H148" s="6" t="s">
        <v>63</v>
      </c>
      <c r="I148" s="6" t="str">
        <f aca="false">IF(A148&lt;Outliers!$E$6,"Low",IF(A148&gt;Outliers!$F$6,"High",""))</f>
        <v/>
      </c>
      <c r="J148" s="6" t="str">
        <f aca="false">IF(B148&lt;Outliers!$E$7,"Low",IF(B148&gt;Outliers!$F$7,"High",""))</f>
        <v/>
      </c>
      <c r="K148" s="6" t="str">
        <f aca="false">IF(C148&lt;Outliers!$E$8,"Low",IF(C148&gt;Outliers!$F$8,"High",""))</f>
        <v/>
      </c>
      <c r="L148" s="6" t="str">
        <f aca="false">A148&amp;";"&amp;B148&amp;";"&amp;C148</f>
        <v>24.87502824;91.26056654;21.2604144984678</v>
      </c>
      <c r="M148" s="6" t="n">
        <f aca="false">IF(COUNTIF($L$2:$L$2201,L148)&gt;1,1,0)</f>
        <v>0</v>
      </c>
      <c r="N148" s="6" t="str">
        <f aca="false">IF(AND(C148&lt;Assumptions!$B$9,B148&lt;Assumptions!$B$10),"Irrigate Now",IF(AND(C148&gt;=Assumptions!$B$11,B148&gt;=Assumptions!$B$12),"No Irrigation Needed","Monitor"))</f>
        <v>Monitor</v>
      </c>
      <c r="O148" s="6" t="n">
        <f aca="false">IF(N148=G148,1,0)</f>
        <v>1</v>
      </c>
    </row>
    <row r="149" customFormat="false" ht="15" hidden="false" customHeight="false" outlineLevel="0" collapsed="false">
      <c r="A149" s="16" t="n">
        <v>20.03728219</v>
      </c>
      <c r="B149" s="16" t="n">
        <v>109.024141</v>
      </c>
      <c r="C149" s="16" t="n">
        <v>25.0086102795361</v>
      </c>
      <c r="D149" s="6" t="s">
        <v>57</v>
      </c>
      <c r="E149" s="6" t="s">
        <v>57</v>
      </c>
      <c r="F149" s="6" t="s">
        <v>23</v>
      </c>
      <c r="G149" s="6" t="s">
        <v>58</v>
      </c>
      <c r="H149" s="6" t="s">
        <v>59</v>
      </c>
      <c r="I149" s="6" t="str">
        <f aca="false">IF(A149&lt;Outliers!$E$6,"Low",IF(A149&gt;Outliers!$F$6,"High",""))</f>
        <v/>
      </c>
      <c r="J149" s="6" t="str">
        <f aca="false">IF(B149&lt;Outliers!$E$7,"Low",IF(B149&gt;Outliers!$F$7,"High",""))</f>
        <v/>
      </c>
      <c r="K149" s="6" t="str">
        <f aca="false">IF(C149&lt;Outliers!$E$8,"Low",IF(C149&gt;Outliers!$F$8,"High",""))</f>
        <v/>
      </c>
      <c r="L149" s="6" t="str">
        <f aca="false">A149&amp;";"&amp;B149&amp;";"&amp;C149</f>
        <v>20.03728219;109.024141;25.0086102795361</v>
      </c>
      <c r="M149" s="6" t="n">
        <f aca="false">IF(COUNTIF($L$2:$L$2201,L149)&gt;1,1,0)</f>
        <v>0</v>
      </c>
      <c r="N149" s="6" t="str">
        <f aca="false">IF(AND(C149&lt;Assumptions!$B$9,B149&lt;Assumptions!$B$10),"Irrigate Now",IF(AND(C149&gt;=Assumptions!$B$11,B149&gt;=Assumptions!$B$12),"No Irrigation Needed","Monitor"))</f>
        <v>No Irrigation Needed</v>
      </c>
      <c r="O149" s="6" t="n">
        <f aca="false">IF(N149=G149,1,0)</f>
        <v>1</v>
      </c>
    </row>
    <row r="150" customFormat="false" ht="15" hidden="false" customHeight="false" outlineLevel="0" collapsed="false">
      <c r="A150" s="16" t="n">
        <v>25.95263264</v>
      </c>
      <c r="B150" s="16" t="n">
        <v>99.57981207</v>
      </c>
      <c r="C150" s="16" t="n">
        <v>27.4596273756948</v>
      </c>
      <c r="D150" s="6" t="s">
        <v>57</v>
      </c>
      <c r="E150" s="6" t="s">
        <v>57</v>
      </c>
      <c r="F150" s="6" t="s">
        <v>23</v>
      </c>
      <c r="G150" s="6" t="s">
        <v>61</v>
      </c>
      <c r="H150" s="6" t="s">
        <v>63</v>
      </c>
      <c r="I150" s="6" t="str">
        <f aca="false">IF(A150&lt;Outliers!$E$6,"Low",IF(A150&gt;Outliers!$F$6,"High",""))</f>
        <v/>
      </c>
      <c r="J150" s="6" t="str">
        <f aca="false">IF(B150&lt;Outliers!$E$7,"Low",IF(B150&gt;Outliers!$F$7,"High",""))</f>
        <v/>
      </c>
      <c r="K150" s="6" t="str">
        <f aca="false">IF(C150&lt;Outliers!$E$8,"Low",IF(C150&gt;Outliers!$F$8,"High",""))</f>
        <v/>
      </c>
      <c r="L150" s="6" t="str">
        <f aca="false">A150&amp;";"&amp;B150&amp;";"&amp;C150</f>
        <v>25.95263264;99.57981207;27.4596273756948</v>
      </c>
      <c r="M150" s="6" t="n">
        <f aca="false">IF(COUNTIF($L$2:$L$2201,L150)&gt;1,1,0)</f>
        <v>0</v>
      </c>
      <c r="N150" s="6" t="str">
        <f aca="false">IF(AND(C150&lt;Assumptions!$B$9,B150&lt;Assumptions!$B$10),"Irrigate Now",IF(AND(C150&gt;=Assumptions!$B$11,B150&gt;=Assumptions!$B$12),"No Irrigation Needed","Monitor"))</f>
        <v>Monitor</v>
      </c>
      <c r="O150" s="6" t="n">
        <f aca="false">IF(N150=G150,1,0)</f>
        <v>1</v>
      </c>
    </row>
    <row r="151" customFormat="false" ht="15" hidden="false" customHeight="false" outlineLevel="0" collapsed="false">
      <c r="A151" s="16" t="n">
        <v>19.28889933</v>
      </c>
      <c r="B151" s="16" t="n">
        <v>71.3195307</v>
      </c>
      <c r="C151" s="16" t="n">
        <v>28.4358906701495</v>
      </c>
      <c r="D151" s="6" t="s">
        <v>66</v>
      </c>
      <c r="E151" s="6" t="s">
        <v>57</v>
      </c>
      <c r="F151" s="6" t="s">
        <v>23</v>
      </c>
      <c r="G151" s="6" t="s">
        <v>61</v>
      </c>
      <c r="H151" s="6" t="s">
        <v>63</v>
      </c>
      <c r="I151" s="6" t="str">
        <f aca="false">IF(A151&lt;Outliers!$E$6,"Low",IF(A151&gt;Outliers!$F$6,"High",""))</f>
        <v/>
      </c>
      <c r="J151" s="6" t="str">
        <f aca="false">IF(B151&lt;Outliers!$E$7,"Low",IF(B151&gt;Outliers!$F$7,"High",""))</f>
        <v/>
      </c>
      <c r="K151" s="6" t="str">
        <f aca="false">IF(C151&lt;Outliers!$E$8,"Low",IF(C151&gt;Outliers!$F$8,"High",""))</f>
        <v/>
      </c>
      <c r="L151" s="6" t="str">
        <f aca="false">A151&amp;";"&amp;B151&amp;";"&amp;C151</f>
        <v>19.28889933;71.3195307;28.4358906701495</v>
      </c>
      <c r="M151" s="6" t="n">
        <f aca="false">IF(COUNTIF($L$2:$L$2201,L151)&gt;1,1,0)</f>
        <v>0</v>
      </c>
      <c r="N151" s="6" t="str">
        <f aca="false">IF(AND(C151&lt;Assumptions!$B$9,B151&lt;Assumptions!$B$10),"Irrigate Now",IF(AND(C151&gt;=Assumptions!$B$11,B151&gt;=Assumptions!$B$12),"No Irrigation Needed","Monitor"))</f>
        <v>Monitor</v>
      </c>
      <c r="O151" s="6" t="n">
        <f aca="false">IF(N151=G151,1,0)</f>
        <v>1</v>
      </c>
    </row>
    <row r="152" customFormat="false" ht="15" hidden="false" customHeight="false" outlineLevel="0" collapsed="false">
      <c r="A152" s="16" t="n">
        <v>20.57981887</v>
      </c>
      <c r="B152" s="16" t="n">
        <v>78.34604471</v>
      </c>
      <c r="C152" s="16" t="n">
        <v>25.4055613799337</v>
      </c>
      <c r="D152" s="6" t="s">
        <v>57</v>
      </c>
      <c r="E152" s="6" t="s">
        <v>57</v>
      </c>
      <c r="F152" s="6" t="s">
        <v>23</v>
      </c>
      <c r="G152" s="6" t="s">
        <v>61</v>
      </c>
      <c r="H152" s="6" t="s">
        <v>63</v>
      </c>
      <c r="I152" s="6" t="str">
        <f aca="false">IF(A152&lt;Outliers!$E$6,"Low",IF(A152&gt;Outliers!$F$6,"High",""))</f>
        <v/>
      </c>
      <c r="J152" s="6" t="str">
        <f aca="false">IF(B152&lt;Outliers!$E$7,"Low",IF(B152&gt;Outliers!$F$7,"High",""))</f>
        <v/>
      </c>
      <c r="K152" s="6" t="str">
        <f aca="false">IF(C152&lt;Outliers!$E$8,"Low",IF(C152&gt;Outliers!$F$8,"High",""))</f>
        <v/>
      </c>
      <c r="L152" s="6" t="str">
        <f aca="false">A152&amp;";"&amp;B152&amp;";"&amp;C152</f>
        <v>20.57981887;78.34604471;25.4055613799337</v>
      </c>
      <c r="M152" s="6" t="n">
        <f aca="false">IF(COUNTIF($L$2:$L$2201,L152)&gt;1,1,0)</f>
        <v>0</v>
      </c>
      <c r="N152" s="6" t="str">
        <f aca="false">IF(AND(C152&lt;Assumptions!$B$9,B152&lt;Assumptions!$B$10),"Irrigate Now",IF(AND(C152&gt;=Assumptions!$B$11,B152&gt;=Assumptions!$B$12),"No Irrigation Needed","Monitor"))</f>
        <v>Monitor</v>
      </c>
      <c r="O152" s="6" t="n">
        <f aca="false">IF(N152=G152,1,0)</f>
        <v>1</v>
      </c>
    </row>
    <row r="153" customFormat="false" ht="15" hidden="false" customHeight="false" outlineLevel="0" collapsed="false">
      <c r="A153" s="16" t="n">
        <v>24.71417533</v>
      </c>
      <c r="B153" s="16" t="n">
        <v>88.45361858</v>
      </c>
      <c r="C153" s="16" t="n">
        <v>28.4437699197694</v>
      </c>
      <c r="D153" s="6" t="s">
        <v>57</v>
      </c>
      <c r="E153" s="6" t="s">
        <v>57</v>
      </c>
      <c r="F153" s="6" t="s">
        <v>23</v>
      </c>
      <c r="G153" s="6" t="s">
        <v>61</v>
      </c>
      <c r="H153" s="6" t="s">
        <v>63</v>
      </c>
      <c r="I153" s="6" t="str">
        <f aca="false">IF(A153&lt;Outliers!$E$6,"Low",IF(A153&gt;Outliers!$F$6,"High",""))</f>
        <v/>
      </c>
      <c r="J153" s="6" t="str">
        <f aca="false">IF(B153&lt;Outliers!$E$7,"Low",IF(B153&gt;Outliers!$F$7,"High",""))</f>
        <v/>
      </c>
      <c r="K153" s="6" t="str">
        <f aca="false">IF(C153&lt;Outliers!$E$8,"Low",IF(C153&gt;Outliers!$F$8,"High",""))</f>
        <v/>
      </c>
      <c r="L153" s="6" t="str">
        <f aca="false">A153&amp;";"&amp;B153&amp;";"&amp;C153</f>
        <v>24.71417533;88.45361858;28.4437699197694</v>
      </c>
      <c r="M153" s="6" t="n">
        <f aca="false">IF(COUNTIF($L$2:$L$2201,L153)&gt;1,1,0)</f>
        <v>0</v>
      </c>
      <c r="N153" s="6" t="str">
        <f aca="false">IF(AND(C153&lt;Assumptions!$B$9,B153&lt;Assumptions!$B$10),"Irrigate Now",IF(AND(C153&gt;=Assumptions!$B$11,B153&gt;=Assumptions!$B$12),"No Irrigation Needed","Monitor"))</f>
        <v>Monitor</v>
      </c>
      <c r="O153" s="6" t="n">
        <f aca="false">IF(N153=G153,1,0)</f>
        <v>1</v>
      </c>
    </row>
    <row r="154" customFormat="false" ht="15" hidden="false" customHeight="false" outlineLevel="0" collapsed="false">
      <c r="A154" s="16" t="n">
        <v>20.27317074</v>
      </c>
      <c r="B154" s="16" t="n">
        <v>62.50351892</v>
      </c>
      <c r="C154" s="16" t="n">
        <v>17.1770878055457</v>
      </c>
      <c r="D154" s="6" t="s">
        <v>57</v>
      </c>
      <c r="E154" s="6" t="s">
        <v>57</v>
      </c>
      <c r="F154" s="6" t="s">
        <v>24</v>
      </c>
      <c r="G154" s="6" t="s">
        <v>64</v>
      </c>
      <c r="H154" s="6" t="s">
        <v>65</v>
      </c>
      <c r="I154" s="6" t="str">
        <f aca="false">IF(A154&lt;Outliers!$E$6,"Low",IF(A154&gt;Outliers!$F$6,"High",""))</f>
        <v/>
      </c>
      <c r="J154" s="6" t="str">
        <f aca="false">IF(B154&lt;Outliers!$E$7,"Low",IF(B154&gt;Outliers!$F$7,"High",""))</f>
        <v/>
      </c>
      <c r="K154" s="6" t="str">
        <f aca="false">IF(C154&lt;Outliers!$E$8,"Low",IF(C154&gt;Outliers!$F$8,"High",""))</f>
        <v/>
      </c>
      <c r="L154" s="6" t="str">
        <f aca="false">A154&amp;";"&amp;B154&amp;";"&amp;C154</f>
        <v>20.27317074;62.50351892;17.1770878055457</v>
      </c>
      <c r="M154" s="6" t="n">
        <f aca="false">IF(COUNTIF($L$2:$L$2201,L154)&gt;1,1,0)</f>
        <v>0</v>
      </c>
      <c r="N154" s="6" t="str">
        <f aca="false">IF(AND(C154&lt;Assumptions!$B$9,B154&lt;Assumptions!$B$10),"Irrigate Now",IF(AND(C154&gt;=Assumptions!$B$11,B154&gt;=Assumptions!$B$12),"No Irrigation Needed","Monitor"))</f>
        <v>Irrigate Now</v>
      </c>
      <c r="O154" s="6" t="n">
        <f aca="false">IF(N154=G154,1,0)</f>
        <v>1</v>
      </c>
    </row>
    <row r="155" customFormat="false" ht="15" hidden="false" customHeight="false" outlineLevel="0" collapsed="false">
      <c r="A155" s="16" t="n">
        <v>18.41932981</v>
      </c>
      <c r="B155" s="16" t="n">
        <v>76.41312437</v>
      </c>
      <c r="C155" s="16" t="n">
        <v>20.8600394094411</v>
      </c>
      <c r="D155" s="6" t="s">
        <v>66</v>
      </c>
      <c r="E155" s="6" t="s">
        <v>57</v>
      </c>
      <c r="F155" s="6" t="s">
        <v>60</v>
      </c>
      <c r="G155" s="6" t="s">
        <v>61</v>
      </c>
      <c r="H155" s="6" t="s">
        <v>63</v>
      </c>
      <c r="I155" s="6" t="str">
        <f aca="false">IF(A155&lt;Outliers!$E$6,"Low",IF(A155&gt;Outliers!$F$6,"High",""))</f>
        <v/>
      </c>
      <c r="J155" s="6" t="str">
        <f aca="false">IF(B155&lt;Outliers!$E$7,"Low",IF(B155&gt;Outliers!$F$7,"High",""))</f>
        <v/>
      </c>
      <c r="K155" s="6" t="str">
        <f aca="false">IF(C155&lt;Outliers!$E$8,"Low",IF(C155&gt;Outliers!$F$8,"High",""))</f>
        <v/>
      </c>
      <c r="L155" s="6" t="str">
        <f aca="false">A155&amp;";"&amp;B155&amp;";"&amp;C155</f>
        <v>18.41932981;76.41312437;20.8600394094411</v>
      </c>
      <c r="M155" s="6" t="n">
        <f aca="false">IF(COUNTIF($L$2:$L$2201,L155)&gt;1,1,0)</f>
        <v>0</v>
      </c>
      <c r="N155" s="6" t="str">
        <f aca="false">IF(AND(C155&lt;Assumptions!$B$9,B155&lt;Assumptions!$B$10),"Irrigate Now",IF(AND(C155&gt;=Assumptions!$B$11,B155&gt;=Assumptions!$B$12),"No Irrigation Needed","Monitor"))</f>
        <v>Monitor</v>
      </c>
      <c r="O155" s="6" t="n">
        <f aca="false">IF(N155=G155,1,0)</f>
        <v>1</v>
      </c>
    </row>
    <row r="156" customFormat="false" ht="15" hidden="false" customHeight="false" outlineLevel="0" collapsed="false">
      <c r="A156" s="16" t="n">
        <v>23.39128187</v>
      </c>
      <c r="B156" s="16" t="n">
        <v>107.3198135</v>
      </c>
      <c r="C156" s="16" t="n">
        <v>20.1730294540661</v>
      </c>
      <c r="D156" s="6" t="s">
        <v>57</v>
      </c>
      <c r="E156" s="6" t="s">
        <v>57</v>
      </c>
      <c r="F156" s="6" t="s">
        <v>60</v>
      </c>
      <c r="G156" s="6" t="s">
        <v>61</v>
      </c>
      <c r="H156" s="6" t="s">
        <v>63</v>
      </c>
      <c r="I156" s="6" t="str">
        <f aca="false">IF(A156&lt;Outliers!$E$6,"Low",IF(A156&gt;Outliers!$F$6,"High",""))</f>
        <v/>
      </c>
      <c r="J156" s="6" t="str">
        <f aca="false">IF(B156&lt;Outliers!$E$7,"Low",IF(B156&gt;Outliers!$F$7,"High",""))</f>
        <v/>
      </c>
      <c r="K156" s="6" t="str">
        <f aca="false">IF(C156&lt;Outliers!$E$8,"Low",IF(C156&gt;Outliers!$F$8,"High",""))</f>
        <v/>
      </c>
      <c r="L156" s="6" t="str">
        <f aca="false">A156&amp;";"&amp;B156&amp;";"&amp;C156</f>
        <v>23.39128187;107.3198135;20.1730294540661</v>
      </c>
      <c r="M156" s="6" t="n">
        <f aca="false">IF(COUNTIF($L$2:$L$2201,L156)&gt;1,1,0)</f>
        <v>0</v>
      </c>
      <c r="N156" s="6" t="str">
        <f aca="false">IF(AND(C156&lt;Assumptions!$B$9,B156&lt;Assumptions!$B$10),"Irrigate Now",IF(AND(C156&gt;=Assumptions!$B$11,B156&gt;=Assumptions!$B$12),"No Irrigation Needed","Monitor"))</f>
        <v>Monitor</v>
      </c>
      <c r="O156" s="6" t="n">
        <f aca="false">IF(N156=G156,1,0)</f>
        <v>1</v>
      </c>
    </row>
    <row r="157" customFormat="false" ht="15" hidden="false" customHeight="false" outlineLevel="0" collapsed="false">
      <c r="A157" s="16" t="n">
        <v>19.84939404</v>
      </c>
      <c r="B157" s="16" t="n">
        <v>100.7689246</v>
      </c>
      <c r="C157" s="16" t="n">
        <v>27.2405714915922</v>
      </c>
      <c r="D157" s="6" t="s">
        <v>66</v>
      </c>
      <c r="E157" s="6" t="s">
        <v>57</v>
      </c>
      <c r="F157" s="6" t="s">
        <v>23</v>
      </c>
      <c r="G157" s="6" t="s">
        <v>58</v>
      </c>
      <c r="H157" s="6" t="s">
        <v>59</v>
      </c>
      <c r="I157" s="6" t="str">
        <f aca="false">IF(A157&lt;Outliers!$E$6,"Low",IF(A157&gt;Outliers!$F$6,"High",""))</f>
        <v/>
      </c>
      <c r="J157" s="6" t="str">
        <f aca="false">IF(B157&lt;Outliers!$E$7,"Low",IF(B157&gt;Outliers!$F$7,"High",""))</f>
        <v/>
      </c>
      <c r="K157" s="6" t="str">
        <f aca="false">IF(C157&lt;Outliers!$E$8,"Low",IF(C157&gt;Outliers!$F$8,"High",""))</f>
        <v/>
      </c>
      <c r="L157" s="6" t="str">
        <f aca="false">A157&amp;";"&amp;B157&amp;";"&amp;C157</f>
        <v>19.84939404;100.7689246;27.2405714915922</v>
      </c>
      <c r="M157" s="6" t="n">
        <f aca="false">IF(COUNTIF($L$2:$L$2201,L157)&gt;1,1,0)</f>
        <v>0</v>
      </c>
      <c r="N157" s="6" t="str">
        <f aca="false">IF(AND(C157&lt;Assumptions!$B$9,B157&lt;Assumptions!$B$10),"Irrigate Now",IF(AND(C157&gt;=Assumptions!$B$11,B157&gt;=Assumptions!$B$12),"No Irrigation Needed","Monitor"))</f>
        <v>No Irrigation Needed</v>
      </c>
      <c r="O157" s="6" t="n">
        <f aca="false">IF(N157=G157,1,0)</f>
        <v>1</v>
      </c>
    </row>
    <row r="158" customFormat="false" ht="15" hidden="false" customHeight="false" outlineLevel="0" collapsed="false">
      <c r="A158" s="16" t="n">
        <v>21.869274</v>
      </c>
      <c r="B158" s="16" t="n">
        <v>107.2681929</v>
      </c>
      <c r="C158" s="16" t="n">
        <v>25.751890062553</v>
      </c>
      <c r="D158" s="6" t="s">
        <v>57</v>
      </c>
      <c r="E158" s="6" t="s">
        <v>57</v>
      </c>
      <c r="F158" s="6" t="s">
        <v>23</v>
      </c>
      <c r="G158" s="6" t="s">
        <v>58</v>
      </c>
      <c r="H158" s="6" t="s">
        <v>59</v>
      </c>
      <c r="I158" s="6" t="str">
        <f aca="false">IF(A158&lt;Outliers!$E$6,"Low",IF(A158&gt;Outliers!$F$6,"High",""))</f>
        <v/>
      </c>
      <c r="J158" s="6" t="str">
        <f aca="false">IF(B158&lt;Outliers!$E$7,"Low",IF(B158&gt;Outliers!$F$7,"High",""))</f>
        <v/>
      </c>
      <c r="K158" s="6" t="str">
        <f aca="false">IF(C158&lt;Outliers!$E$8,"Low",IF(C158&gt;Outliers!$F$8,"High",""))</f>
        <v/>
      </c>
      <c r="L158" s="6" t="str">
        <f aca="false">A158&amp;";"&amp;B158&amp;";"&amp;C158</f>
        <v>21.869274;107.2681929;25.751890062553</v>
      </c>
      <c r="M158" s="6" t="n">
        <f aca="false">IF(COUNTIF($L$2:$L$2201,L158)&gt;1,1,0)</f>
        <v>0</v>
      </c>
      <c r="N158" s="6" t="str">
        <f aca="false">IF(AND(C158&lt;Assumptions!$B$9,B158&lt;Assumptions!$B$10),"Irrigate Now",IF(AND(C158&gt;=Assumptions!$B$11,B158&gt;=Assumptions!$B$12),"No Irrigation Needed","Monitor"))</f>
        <v>No Irrigation Needed</v>
      </c>
      <c r="O158" s="6" t="n">
        <f aca="false">IF(N158=G158,1,0)</f>
        <v>1</v>
      </c>
    </row>
    <row r="159" customFormat="false" ht="15" hidden="false" customHeight="false" outlineLevel="0" collapsed="false">
      <c r="A159" s="16" t="n">
        <v>22.8056033</v>
      </c>
      <c r="B159" s="16" t="n">
        <v>101.5952794</v>
      </c>
      <c r="C159" s="16" t="n">
        <v>14.6338058743568</v>
      </c>
      <c r="D159" s="6" t="s">
        <v>57</v>
      </c>
      <c r="E159" s="6" t="s">
        <v>57</v>
      </c>
      <c r="F159" s="6" t="s">
        <v>24</v>
      </c>
      <c r="G159" s="6" t="s">
        <v>61</v>
      </c>
      <c r="H159" s="6" t="s">
        <v>63</v>
      </c>
      <c r="I159" s="6" t="str">
        <f aca="false">IF(A159&lt;Outliers!$E$6,"Low",IF(A159&gt;Outliers!$F$6,"High",""))</f>
        <v/>
      </c>
      <c r="J159" s="6" t="str">
        <f aca="false">IF(B159&lt;Outliers!$E$7,"Low",IF(B159&gt;Outliers!$F$7,"High",""))</f>
        <v/>
      </c>
      <c r="K159" s="6" t="str">
        <f aca="false">IF(C159&lt;Outliers!$E$8,"Low",IF(C159&gt;Outliers!$F$8,"High",""))</f>
        <v/>
      </c>
      <c r="L159" s="6" t="str">
        <f aca="false">A159&amp;";"&amp;B159&amp;";"&amp;C159</f>
        <v>22.8056033;101.5952794;14.6338058743568</v>
      </c>
      <c r="M159" s="6" t="n">
        <f aca="false">IF(COUNTIF($L$2:$L$2201,L159)&gt;1,1,0)</f>
        <v>0</v>
      </c>
      <c r="N159" s="6" t="str">
        <f aca="false">IF(AND(C159&lt;Assumptions!$B$9,B159&lt;Assumptions!$B$10),"Irrigate Now",IF(AND(C159&gt;=Assumptions!$B$11,B159&gt;=Assumptions!$B$12),"No Irrigation Needed","Monitor"))</f>
        <v>Monitor</v>
      </c>
      <c r="O159" s="6" t="n">
        <f aca="false">IF(N159=G159,1,0)</f>
        <v>1</v>
      </c>
    </row>
    <row r="160" customFormat="false" ht="15" hidden="false" customHeight="false" outlineLevel="0" collapsed="false">
      <c r="A160" s="16" t="n">
        <v>19.0781471</v>
      </c>
      <c r="B160" s="16" t="n">
        <v>80.72515943</v>
      </c>
      <c r="C160" s="16" t="n">
        <v>18.4198035515097</v>
      </c>
      <c r="D160" s="6" t="s">
        <v>66</v>
      </c>
      <c r="E160" s="6" t="s">
        <v>57</v>
      </c>
      <c r="F160" s="6" t="s">
        <v>60</v>
      </c>
      <c r="G160" s="6" t="s">
        <v>61</v>
      </c>
      <c r="H160" s="6" t="s">
        <v>63</v>
      </c>
      <c r="I160" s="6" t="str">
        <f aca="false">IF(A160&lt;Outliers!$E$6,"Low",IF(A160&gt;Outliers!$F$6,"High",""))</f>
        <v/>
      </c>
      <c r="J160" s="6" t="str">
        <f aca="false">IF(B160&lt;Outliers!$E$7,"Low",IF(B160&gt;Outliers!$F$7,"High",""))</f>
        <v/>
      </c>
      <c r="K160" s="6" t="str">
        <f aca="false">IF(C160&lt;Outliers!$E$8,"Low",IF(C160&gt;Outliers!$F$8,"High",""))</f>
        <v/>
      </c>
      <c r="L160" s="6" t="str">
        <f aca="false">A160&amp;";"&amp;B160&amp;";"&amp;C160</f>
        <v>19.0781471;80.72515943;18.4198035515097</v>
      </c>
      <c r="M160" s="6" t="n">
        <f aca="false">IF(COUNTIF($L$2:$L$2201,L160)&gt;1,1,0)</f>
        <v>0</v>
      </c>
      <c r="N160" s="6" t="str">
        <f aca="false">IF(AND(C160&lt;Assumptions!$B$9,B160&lt;Assumptions!$B$10),"Irrigate Now",IF(AND(C160&gt;=Assumptions!$B$11,B160&gt;=Assumptions!$B$12),"No Irrigation Needed","Monitor"))</f>
        <v>Monitor</v>
      </c>
      <c r="O160" s="6" t="n">
        <f aca="false">IF(N160=G160,1,0)</f>
        <v>1</v>
      </c>
    </row>
    <row r="161" customFormat="false" ht="15" hidden="false" customHeight="false" outlineLevel="0" collapsed="false">
      <c r="A161" s="16" t="n">
        <v>22.02720976</v>
      </c>
      <c r="B161" s="16" t="n">
        <v>83.73280082</v>
      </c>
      <c r="C161" s="16" t="n">
        <v>11.8130939866064</v>
      </c>
      <c r="D161" s="6" t="s">
        <v>57</v>
      </c>
      <c r="E161" s="6" t="s">
        <v>57</v>
      </c>
      <c r="F161" s="6" t="s">
        <v>24</v>
      </c>
      <c r="G161" s="6" t="s">
        <v>64</v>
      </c>
      <c r="H161" s="6" t="s">
        <v>65</v>
      </c>
      <c r="I161" s="6" t="str">
        <f aca="false">IF(A161&lt;Outliers!$E$6,"Low",IF(A161&gt;Outliers!$F$6,"High",""))</f>
        <v/>
      </c>
      <c r="J161" s="6" t="str">
        <f aca="false">IF(B161&lt;Outliers!$E$7,"Low",IF(B161&gt;Outliers!$F$7,"High",""))</f>
        <v/>
      </c>
      <c r="K161" s="6" t="str">
        <f aca="false">IF(C161&lt;Outliers!$E$8,"Low",IF(C161&gt;Outliers!$F$8,"High",""))</f>
        <v/>
      </c>
      <c r="L161" s="6" t="str">
        <f aca="false">A161&amp;";"&amp;B161&amp;";"&amp;C161</f>
        <v>22.02720976;83.73280082;11.8130939866064</v>
      </c>
      <c r="M161" s="6" t="n">
        <f aca="false">IF(COUNTIF($L$2:$L$2201,L161)&gt;1,1,0)</f>
        <v>0</v>
      </c>
      <c r="N161" s="6" t="str">
        <f aca="false">IF(AND(C161&lt;Assumptions!$B$9,B161&lt;Assumptions!$B$10),"Irrigate Now",IF(AND(C161&gt;=Assumptions!$B$11,B161&gt;=Assumptions!$B$12),"No Irrigation Needed","Monitor"))</f>
        <v>Irrigate Now</v>
      </c>
      <c r="O161" s="6" t="n">
        <f aca="false">IF(N161=G161,1,0)</f>
        <v>1</v>
      </c>
    </row>
    <row r="162" customFormat="false" ht="15" hidden="false" customHeight="false" outlineLevel="0" collapsed="false">
      <c r="A162" s="16" t="n">
        <v>23.80546189</v>
      </c>
      <c r="B162" s="16" t="n">
        <v>89.9622014</v>
      </c>
      <c r="C162" s="16" t="n">
        <v>20.040852237918</v>
      </c>
      <c r="D162" s="6" t="s">
        <v>57</v>
      </c>
      <c r="E162" s="6" t="s">
        <v>57</v>
      </c>
      <c r="F162" s="6" t="s">
        <v>60</v>
      </c>
      <c r="G162" s="6" t="s">
        <v>61</v>
      </c>
      <c r="H162" s="6" t="s">
        <v>63</v>
      </c>
      <c r="I162" s="6" t="str">
        <f aca="false">IF(A162&lt;Outliers!$E$6,"Low",IF(A162&gt;Outliers!$F$6,"High",""))</f>
        <v/>
      </c>
      <c r="J162" s="6" t="str">
        <f aca="false">IF(B162&lt;Outliers!$E$7,"Low",IF(B162&gt;Outliers!$F$7,"High",""))</f>
        <v/>
      </c>
      <c r="K162" s="6" t="str">
        <f aca="false">IF(C162&lt;Outliers!$E$8,"Low",IF(C162&gt;Outliers!$F$8,"High",""))</f>
        <v/>
      </c>
      <c r="L162" s="6" t="str">
        <f aca="false">A162&amp;";"&amp;B162&amp;";"&amp;C162</f>
        <v>23.80546189;89.9622014;20.040852237918</v>
      </c>
      <c r="M162" s="6" t="n">
        <f aca="false">IF(COUNTIF($L$2:$L$2201,L162)&gt;1,1,0)</f>
        <v>0</v>
      </c>
      <c r="N162" s="6" t="str">
        <f aca="false">IF(AND(C162&lt;Assumptions!$B$9,B162&lt;Assumptions!$B$10),"Irrigate Now",IF(AND(C162&gt;=Assumptions!$B$11,B162&gt;=Assumptions!$B$12),"No Irrigation Needed","Monitor"))</f>
        <v>Monitor</v>
      </c>
      <c r="O162" s="6" t="n">
        <f aca="false">IF(N162=G162,1,0)</f>
        <v>1</v>
      </c>
    </row>
    <row r="163" customFormat="false" ht="15" hidden="false" customHeight="false" outlineLevel="0" collapsed="false">
      <c r="A163" s="16" t="n">
        <v>18.52510753</v>
      </c>
      <c r="B163" s="16" t="n">
        <v>88.10234397</v>
      </c>
      <c r="C163" s="16" t="n">
        <v>18.1049021502794</v>
      </c>
      <c r="D163" s="6" t="s">
        <v>66</v>
      </c>
      <c r="E163" s="6" t="s">
        <v>57</v>
      </c>
      <c r="F163" s="6" t="s">
        <v>60</v>
      </c>
      <c r="G163" s="6" t="s">
        <v>61</v>
      </c>
      <c r="H163" s="6" t="s">
        <v>63</v>
      </c>
      <c r="I163" s="6" t="str">
        <f aca="false">IF(A163&lt;Outliers!$E$6,"Low",IF(A163&gt;Outliers!$F$6,"High",""))</f>
        <v/>
      </c>
      <c r="J163" s="6" t="str">
        <f aca="false">IF(B163&lt;Outliers!$E$7,"Low",IF(B163&gt;Outliers!$F$7,"High",""))</f>
        <v/>
      </c>
      <c r="K163" s="6" t="str">
        <f aca="false">IF(C163&lt;Outliers!$E$8,"Low",IF(C163&gt;Outliers!$F$8,"High",""))</f>
        <v/>
      </c>
      <c r="L163" s="6" t="str">
        <f aca="false">A163&amp;";"&amp;B163&amp;";"&amp;C163</f>
        <v>18.52510753;88.10234397;18.1049021502794</v>
      </c>
      <c r="M163" s="6" t="n">
        <f aca="false">IF(COUNTIF($L$2:$L$2201,L163)&gt;1,1,0)</f>
        <v>0</v>
      </c>
      <c r="N163" s="6" t="str">
        <f aca="false">IF(AND(C163&lt;Assumptions!$B$9,B163&lt;Assumptions!$B$10),"Irrigate Now",IF(AND(C163&gt;=Assumptions!$B$11,B163&gt;=Assumptions!$B$12),"No Irrigation Needed","Monitor"))</f>
        <v>Monitor</v>
      </c>
      <c r="O163" s="6" t="n">
        <f aca="false">IF(N163=G163,1,0)</f>
        <v>1</v>
      </c>
    </row>
    <row r="164" customFormat="false" ht="15" hidden="false" customHeight="false" outlineLevel="0" collapsed="false">
      <c r="A164" s="16" t="n">
        <v>23.50297882</v>
      </c>
      <c r="B164" s="16" t="n">
        <v>64.77791424</v>
      </c>
      <c r="C164" s="16" t="n">
        <v>29.2646735198615</v>
      </c>
      <c r="D164" s="6" t="s">
        <v>57</v>
      </c>
      <c r="E164" s="6" t="s">
        <v>57</v>
      </c>
      <c r="F164" s="6" t="s">
        <v>23</v>
      </c>
      <c r="G164" s="6" t="s">
        <v>61</v>
      </c>
      <c r="H164" s="6" t="s">
        <v>63</v>
      </c>
      <c r="I164" s="6" t="str">
        <f aca="false">IF(A164&lt;Outliers!$E$6,"Low",IF(A164&gt;Outliers!$F$6,"High",""))</f>
        <v/>
      </c>
      <c r="J164" s="6" t="str">
        <f aca="false">IF(B164&lt;Outliers!$E$7,"Low",IF(B164&gt;Outliers!$F$7,"High",""))</f>
        <v/>
      </c>
      <c r="K164" s="6" t="str">
        <f aca="false">IF(C164&lt;Outliers!$E$8,"Low",IF(C164&gt;Outliers!$F$8,"High",""))</f>
        <v/>
      </c>
      <c r="L164" s="6" t="str">
        <f aca="false">A164&amp;";"&amp;B164&amp;";"&amp;C164</f>
        <v>23.50297882;64.77791424;29.2646735198615</v>
      </c>
      <c r="M164" s="6" t="n">
        <f aca="false">IF(COUNTIF($L$2:$L$2201,L164)&gt;1,1,0)</f>
        <v>0</v>
      </c>
      <c r="N164" s="6" t="str">
        <f aca="false">IF(AND(C164&lt;Assumptions!$B$9,B164&lt;Assumptions!$B$10),"Irrigate Now",IF(AND(C164&gt;=Assumptions!$B$11,B164&gt;=Assumptions!$B$12),"No Irrigation Needed","Monitor"))</f>
        <v>Monitor</v>
      </c>
      <c r="O164" s="6" t="n">
        <f aca="false">IF(N164=G164,1,0)</f>
        <v>1</v>
      </c>
    </row>
    <row r="165" customFormat="false" ht="15" hidden="false" customHeight="false" outlineLevel="0" collapsed="false">
      <c r="A165" s="16" t="n">
        <v>26.54986394</v>
      </c>
      <c r="B165" s="16" t="n">
        <v>73.33636055</v>
      </c>
      <c r="C165" s="16" t="n">
        <v>19.331725558633</v>
      </c>
      <c r="D165" s="6" t="s">
        <v>57</v>
      </c>
      <c r="E165" s="6" t="s">
        <v>57</v>
      </c>
      <c r="F165" s="6" t="s">
        <v>60</v>
      </c>
      <c r="G165" s="6" t="s">
        <v>61</v>
      </c>
      <c r="H165" s="6" t="s">
        <v>63</v>
      </c>
      <c r="I165" s="6" t="str">
        <f aca="false">IF(A165&lt;Outliers!$E$6,"Low",IF(A165&gt;Outliers!$F$6,"High",""))</f>
        <v/>
      </c>
      <c r="J165" s="6" t="str">
        <f aca="false">IF(B165&lt;Outliers!$E$7,"Low",IF(B165&gt;Outliers!$F$7,"High",""))</f>
        <v/>
      </c>
      <c r="K165" s="6" t="str">
        <f aca="false">IF(C165&lt;Outliers!$E$8,"Low",IF(C165&gt;Outliers!$F$8,"High",""))</f>
        <v/>
      </c>
      <c r="L165" s="6" t="str">
        <f aca="false">A165&amp;";"&amp;B165&amp;";"&amp;C165</f>
        <v>26.54986394;73.33636055;19.331725558633</v>
      </c>
      <c r="M165" s="6" t="n">
        <f aca="false">IF(COUNTIF($L$2:$L$2201,L165)&gt;1,1,0)</f>
        <v>0</v>
      </c>
      <c r="N165" s="6" t="str">
        <f aca="false">IF(AND(C165&lt;Assumptions!$B$9,B165&lt;Assumptions!$B$10),"Irrigate Now",IF(AND(C165&gt;=Assumptions!$B$11,B165&gt;=Assumptions!$B$12),"No Irrigation Needed","Monitor"))</f>
        <v>Monitor</v>
      </c>
      <c r="O165" s="6" t="n">
        <f aca="false">IF(N165=G165,1,0)</f>
        <v>1</v>
      </c>
    </row>
    <row r="166" customFormat="false" ht="15" hidden="false" customHeight="false" outlineLevel="0" collapsed="false">
      <c r="A166" s="16" t="n">
        <v>19.29563411</v>
      </c>
      <c r="B166" s="16" t="n">
        <v>83.21030571</v>
      </c>
      <c r="C166" s="16" t="n">
        <v>16.3011147010441</v>
      </c>
      <c r="D166" s="6" t="s">
        <v>66</v>
      </c>
      <c r="E166" s="6" t="s">
        <v>57</v>
      </c>
      <c r="F166" s="6" t="s">
        <v>24</v>
      </c>
      <c r="G166" s="6" t="s">
        <v>64</v>
      </c>
      <c r="H166" s="6" t="s">
        <v>65</v>
      </c>
      <c r="I166" s="6" t="str">
        <f aca="false">IF(A166&lt;Outliers!$E$6,"Low",IF(A166&gt;Outliers!$F$6,"High",""))</f>
        <v/>
      </c>
      <c r="J166" s="6" t="str">
        <f aca="false">IF(B166&lt;Outliers!$E$7,"Low",IF(B166&gt;Outliers!$F$7,"High",""))</f>
        <v/>
      </c>
      <c r="K166" s="6" t="str">
        <f aca="false">IF(C166&lt;Outliers!$E$8,"Low",IF(C166&gt;Outliers!$F$8,"High",""))</f>
        <v/>
      </c>
      <c r="L166" s="6" t="str">
        <f aca="false">A166&amp;";"&amp;B166&amp;";"&amp;C166</f>
        <v>19.29563411;83.21030571;16.3011147010441</v>
      </c>
      <c r="M166" s="6" t="n">
        <f aca="false">IF(COUNTIF($L$2:$L$2201,L166)&gt;1,1,0)</f>
        <v>0</v>
      </c>
      <c r="N166" s="6" t="str">
        <f aca="false">IF(AND(C166&lt;Assumptions!$B$9,B166&lt;Assumptions!$B$10),"Irrigate Now",IF(AND(C166&gt;=Assumptions!$B$11,B166&gt;=Assumptions!$B$12),"No Irrigation Needed","Monitor"))</f>
        <v>Irrigate Now</v>
      </c>
      <c r="O166" s="6" t="n">
        <f aca="false">IF(N166=G166,1,0)</f>
        <v>1</v>
      </c>
    </row>
    <row r="167" customFormat="false" ht="15" hidden="false" customHeight="false" outlineLevel="0" collapsed="false">
      <c r="A167" s="16" t="n">
        <v>20.68899915</v>
      </c>
      <c r="B167" s="16" t="n">
        <v>103.651438</v>
      </c>
      <c r="C167" s="16" t="n">
        <v>15.4811960216265</v>
      </c>
      <c r="D167" s="6" t="s">
        <v>57</v>
      </c>
      <c r="E167" s="6" t="s">
        <v>57</v>
      </c>
      <c r="F167" s="6" t="s">
        <v>24</v>
      </c>
      <c r="G167" s="6" t="s">
        <v>61</v>
      </c>
      <c r="H167" s="6" t="s">
        <v>63</v>
      </c>
      <c r="I167" s="6" t="str">
        <f aca="false">IF(A167&lt;Outliers!$E$6,"Low",IF(A167&gt;Outliers!$F$6,"High",""))</f>
        <v/>
      </c>
      <c r="J167" s="6" t="str">
        <f aca="false">IF(B167&lt;Outliers!$E$7,"Low",IF(B167&gt;Outliers!$F$7,"High",""))</f>
        <v/>
      </c>
      <c r="K167" s="6" t="str">
        <f aca="false">IF(C167&lt;Outliers!$E$8,"Low",IF(C167&gt;Outliers!$F$8,"High",""))</f>
        <v/>
      </c>
      <c r="L167" s="6" t="str">
        <f aca="false">A167&amp;";"&amp;B167&amp;";"&amp;C167</f>
        <v>20.68899915;103.651438;15.4811960216265</v>
      </c>
      <c r="M167" s="6" t="n">
        <f aca="false">IF(COUNTIF($L$2:$L$2201,L167)&gt;1,1,0)</f>
        <v>0</v>
      </c>
      <c r="N167" s="6" t="str">
        <f aca="false">IF(AND(C167&lt;Assumptions!$B$9,B167&lt;Assumptions!$B$10),"Irrigate Now",IF(AND(C167&gt;=Assumptions!$B$11,B167&gt;=Assumptions!$B$12),"No Irrigation Needed","Monitor"))</f>
        <v>Monitor</v>
      </c>
      <c r="O167" s="6" t="n">
        <f aca="false">IF(N167=G167,1,0)</f>
        <v>1</v>
      </c>
    </row>
    <row r="168" customFormat="false" ht="15" hidden="false" customHeight="false" outlineLevel="0" collapsed="false">
      <c r="A168" s="16" t="n">
        <v>19.32666088</v>
      </c>
      <c r="B168" s="16" t="n">
        <v>84.22969177</v>
      </c>
      <c r="C168" s="16" t="n">
        <v>26.5709135097307</v>
      </c>
      <c r="D168" s="6" t="s">
        <v>66</v>
      </c>
      <c r="E168" s="6" t="s">
        <v>57</v>
      </c>
      <c r="F168" s="6" t="s">
        <v>23</v>
      </c>
      <c r="G168" s="6" t="s">
        <v>61</v>
      </c>
      <c r="H168" s="6" t="s">
        <v>63</v>
      </c>
      <c r="I168" s="6" t="str">
        <f aca="false">IF(A168&lt;Outliers!$E$6,"Low",IF(A168&gt;Outliers!$F$6,"High",""))</f>
        <v/>
      </c>
      <c r="J168" s="6" t="str">
        <f aca="false">IF(B168&lt;Outliers!$E$7,"Low",IF(B168&gt;Outliers!$F$7,"High",""))</f>
        <v/>
      </c>
      <c r="K168" s="6" t="str">
        <f aca="false">IF(C168&lt;Outliers!$E$8,"Low",IF(C168&gt;Outliers!$F$8,"High",""))</f>
        <v/>
      </c>
      <c r="L168" s="6" t="str">
        <f aca="false">A168&amp;";"&amp;B168&amp;";"&amp;C168</f>
        <v>19.32666088;84.22969177;26.5709135097307</v>
      </c>
      <c r="M168" s="6" t="n">
        <f aca="false">IF(COUNTIF($L$2:$L$2201,L168)&gt;1,1,0)</f>
        <v>0</v>
      </c>
      <c r="N168" s="6" t="str">
        <f aca="false">IF(AND(C168&lt;Assumptions!$B$9,B168&lt;Assumptions!$B$10),"Irrigate Now",IF(AND(C168&gt;=Assumptions!$B$11,B168&gt;=Assumptions!$B$12),"No Irrigation Needed","Monitor"))</f>
        <v>Monitor</v>
      </c>
      <c r="O168" s="6" t="n">
        <f aca="false">IF(N168=G168,1,0)</f>
        <v>1</v>
      </c>
    </row>
    <row r="169" customFormat="false" ht="15" hidden="false" customHeight="false" outlineLevel="0" collapsed="false">
      <c r="A169" s="16" t="n">
        <v>24.60532218</v>
      </c>
      <c r="B169" s="16" t="n">
        <v>96.59195302</v>
      </c>
      <c r="C169" s="16" t="n">
        <v>15.5544125824826</v>
      </c>
      <c r="D169" s="6" t="s">
        <v>57</v>
      </c>
      <c r="E169" s="6" t="s">
        <v>57</v>
      </c>
      <c r="F169" s="6" t="s">
        <v>24</v>
      </c>
      <c r="G169" s="6" t="s">
        <v>64</v>
      </c>
      <c r="H169" s="6" t="s">
        <v>65</v>
      </c>
      <c r="I169" s="6" t="str">
        <f aca="false">IF(A169&lt;Outliers!$E$6,"Low",IF(A169&gt;Outliers!$F$6,"High",""))</f>
        <v/>
      </c>
      <c r="J169" s="6" t="str">
        <f aca="false">IF(B169&lt;Outliers!$E$7,"Low",IF(B169&gt;Outliers!$F$7,"High",""))</f>
        <v/>
      </c>
      <c r="K169" s="6" t="str">
        <f aca="false">IF(C169&lt;Outliers!$E$8,"Low",IF(C169&gt;Outliers!$F$8,"High",""))</f>
        <v/>
      </c>
      <c r="L169" s="6" t="str">
        <f aca="false">A169&amp;";"&amp;B169&amp;";"&amp;C169</f>
        <v>24.60532218;96.59195302;15.5544125824826</v>
      </c>
      <c r="M169" s="6" t="n">
        <f aca="false">IF(COUNTIF($L$2:$L$2201,L169)&gt;1,1,0)</f>
        <v>0</v>
      </c>
      <c r="N169" s="6" t="str">
        <f aca="false">IF(AND(C169&lt;Assumptions!$B$9,B169&lt;Assumptions!$B$10),"Irrigate Now",IF(AND(C169&gt;=Assumptions!$B$11,B169&gt;=Assumptions!$B$12),"No Irrigation Needed","Monitor"))</f>
        <v>Irrigate Now</v>
      </c>
      <c r="O169" s="6" t="n">
        <f aca="false">IF(N169=G169,1,0)</f>
        <v>1</v>
      </c>
    </row>
    <row r="170" customFormat="false" ht="15" hidden="false" customHeight="false" outlineLevel="0" collapsed="false">
      <c r="A170" s="16" t="n">
        <v>22.27373646</v>
      </c>
      <c r="B170" s="16" t="n">
        <v>67.96704792</v>
      </c>
      <c r="C170" s="16" t="n">
        <v>15.7457039388694</v>
      </c>
      <c r="D170" s="6" t="s">
        <v>57</v>
      </c>
      <c r="E170" s="6" t="s">
        <v>57</v>
      </c>
      <c r="F170" s="6" t="s">
        <v>24</v>
      </c>
      <c r="G170" s="6" t="s">
        <v>64</v>
      </c>
      <c r="H170" s="6" t="s">
        <v>65</v>
      </c>
      <c r="I170" s="6" t="str">
        <f aca="false">IF(A170&lt;Outliers!$E$6,"Low",IF(A170&gt;Outliers!$F$6,"High",""))</f>
        <v/>
      </c>
      <c r="J170" s="6" t="str">
        <f aca="false">IF(B170&lt;Outliers!$E$7,"Low",IF(B170&gt;Outliers!$F$7,"High",""))</f>
        <v/>
      </c>
      <c r="K170" s="6" t="str">
        <f aca="false">IF(C170&lt;Outliers!$E$8,"Low",IF(C170&gt;Outliers!$F$8,"High",""))</f>
        <v/>
      </c>
      <c r="L170" s="6" t="str">
        <f aca="false">A170&amp;";"&amp;B170&amp;";"&amp;C170</f>
        <v>22.27373646;67.96704792;15.7457039388694</v>
      </c>
      <c r="M170" s="6" t="n">
        <f aca="false">IF(COUNTIF($L$2:$L$2201,L170)&gt;1,1,0)</f>
        <v>0</v>
      </c>
      <c r="N170" s="6" t="str">
        <f aca="false">IF(AND(C170&lt;Assumptions!$B$9,B170&lt;Assumptions!$B$10),"Irrigate Now",IF(AND(C170&gt;=Assumptions!$B$11,B170&gt;=Assumptions!$B$12),"No Irrigation Needed","Monitor"))</f>
        <v>Irrigate Now</v>
      </c>
      <c r="O170" s="6" t="n">
        <f aca="false">IF(N170=G170,1,0)</f>
        <v>1</v>
      </c>
    </row>
    <row r="171" customFormat="false" ht="15" hidden="false" customHeight="false" outlineLevel="0" collapsed="false">
      <c r="A171" s="16" t="n">
        <v>25.70196694</v>
      </c>
      <c r="B171" s="16" t="n">
        <v>83.20711308</v>
      </c>
      <c r="C171" s="16" t="n">
        <v>17.3639711844141</v>
      </c>
      <c r="D171" s="6" t="s">
        <v>57</v>
      </c>
      <c r="E171" s="6" t="s">
        <v>57</v>
      </c>
      <c r="F171" s="6" t="s">
        <v>24</v>
      </c>
      <c r="G171" s="6" t="s">
        <v>64</v>
      </c>
      <c r="H171" s="6" t="s">
        <v>65</v>
      </c>
      <c r="I171" s="6" t="str">
        <f aca="false">IF(A171&lt;Outliers!$E$6,"Low",IF(A171&gt;Outliers!$F$6,"High",""))</f>
        <v/>
      </c>
      <c r="J171" s="6" t="str">
        <f aca="false">IF(B171&lt;Outliers!$E$7,"Low",IF(B171&gt;Outliers!$F$7,"High",""))</f>
        <v/>
      </c>
      <c r="K171" s="6" t="str">
        <f aca="false">IF(C171&lt;Outliers!$E$8,"Low",IF(C171&gt;Outliers!$F$8,"High",""))</f>
        <v/>
      </c>
      <c r="L171" s="6" t="str">
        <f aca="false">A171&amp;";"&amp;B171&amp;";"&amp;C171</f>
        <v>25.70196694;83.20711308;17.3639711844141</v>
      </c>
      <c r="M171" s="6" t="n">
        <f aca="false">IF(COUNTIF($L$2:$L$2201,L171)&gt;1,1,0)</f>
        <v>0</v>
      </c>
      <c r="N171" s="6" t="str">
        <f aca="false">IF(AND(C171&lt;Assumptions!$B$9,B171&lt;Assumptions!$B$10),"Irrigate Now",IF(AND(C171&gt;=Assumptions!$B$11,B171&gt;=Assumptions!$B$12),"No Irrigation Needed","Monitor"))</f>
        <v>Irrigate Now</v>
      </c>
      <c r="O171" s="6" t="n">
        <f aca="false">IF(N171=G171,1,0)</f>
        <v>1</v>
      </c>
    </row>
    <row r="172" customFormat="false" ht="15" hidden="false" customHeight="false" outlineLevel="0" collapsed="false">
      <c r="A172" s="16" t="n">
        <v>19.20129357</v>
      </c>
      <c r="B172" s="16" t="n">
        <v>87.85092352</v>
      </c>
      <c r="C172" s="16" t="n">
        <v>16.2472155581535</v>
      </c>
      <c r="D172" s="6" t="s">
        <v>66</v>
      </c>
      <c r="E172" s="6" t="s">
        <v>57</v>
      </c>
      <c r="F172" s="6" t="s">
        <v>24</v>
      </c>
      <c r="G172" s="6" t="s">
        <v>64</v>
      </c>
      <c r="H172" s="6" t="s">
        <v>65</v>
      </c>
      <c r="I172" s="6" t="str">
        <f aca="false">IF(A172&lt;Outliers!$E$6,"Low",IF(A172&gt;Outliers!$F$6,"High",""))</f>
        <v/>
      </c>
      <c r="J172" s="6" t="str">
        <f aca="false">IF(B172&lt;Outliers!$E$7,"Low",IF(B172&gt;Outliers!$F$7,"High",""))</f>
        <v/>
      </c>
      <c r="K172" s="6" t="str">
        <f aca="false">IF(C172&lt;Outliers!$E$8,"Low",IF(C172&gt;Outliers!$F$8,"High",""))</f>
        <v/>
      </c>
      <c r="L172" s="6" t="str">
        <f aca="false">A172&amp;";"&amp;B172&amp;";"&amp;C172</f>
        <v>19.20129357;87.85092352;16.2472155581535</v>
      </c>
      <c r="M172" s="6" t="n">
        <f aca="false">IF(COUNTIF($L$2:$L$2201,L172)&gt;1,1,0)</f>
        <v>0</v>
      </c>
      <c r="N172" s="6" t="str">
        <f aca="false">IF(AND(C172&lt;Assumptions!$B$9,B172&lt;Assumptions!$B$10),"Irrigate Now",IF(AND(C172&gt;=Assumptions!$B$11,B172&gt;=Assumptions!$B$12),"No Irrigation Needed","Monitor"))</f>
        <v>Irrigate Now</v>
      </c>
      <c r="O172" s="6" t="n">
        <f aca="false">IF(N172=G172,1,0)</f>
        <v>1</v>
      </c>
    </row>
    <row r="173" customFormat="false" ht="15" hidden="false" customHeight="false" outlineLevel="0" collapsed="false">
      <c r="A173" s="16" t="n">
        <v>21.70181447</v>
      </c>
      <c r="B173" s="16" t="n">
        <v>95.71388473</v>
      </c>
      <c r="C173" s="16" t="n">
        <v>18.8732305939474</v>
      </c>
      <c r="D173" s="6" t="s">
        <v>57</v>
      </c>
      <c r="E173" s="6" t="s">
        <v>57</v>
      </c>
      <c r="F173" s="6" t="s">
        <v>60</v>
      </c>
      <c r="G173" s="6" t="s">
        <v>61</v>
      </c>
      <c r="H173" s="6" t="s">
        <v>63</v>
      </c>
      <c r="I173" s="6" t="str">
        <f aca="false">IF(A173&lt;Outliers!$E$6,"Low",IF(A173&gt;Outliers!$F$6,"High",""))</f>
        <v/>
      </c>
      <c r="J173" s="6" t="str">
        <f aca="false">IF(B173&lt;Outliers!$E$7,"Low",IF(B173&gt;Outliers!$F$7,"High",""))</f>
        <v/>
      </c>
      <c r="K173" s="6" t="str">
        <f aca="false">IF(C173&lt;Outliers!$E$8,"Low",IF(C173&gt;Outliers!$F$8,"High",""))</f>
        <v/>
      </c>
      <c r="L173" s="6" t="str">
        <f aca="false">A173&amp;";"&amp;B173&amp;";"&amp;C173</f>
        <v>21.70181447;95.71388473;18.8732305939474</v>
      </c>
      <c r="M173" s="6" t="n">
        <f aca="false">IF(COUNTIF($L$2:$L$2201,L173)&gt;1,1,0)</f>
        <v>0</v>
      </c>
      <c r="N173" s="6" t="str">
        <f aca="false">IF(AND(C173&lt;Assumptions!$B$9,B173&lt;Assumptions!$B$10),"Irrigate Now",IF(AND(C173&gt;=Assumptions!$B$11,B173&gt;=Assumptions!$B$12),"No Irrigation Needed","Monitor"))</f>
        <v>Monitor</v>
      </c>
      <c r="O173" s="6" t="n">
        <f aca="false">IF(N173=G173,1,0)</f>
        <v>1</v>
      </c>
    </row>
    <row r="174" customFormat="false" ht="15" hidden="false" customHeight="false" outlineLevel="0" collapsed="false">
      <c r="A174" s="16" t="n">
        <v>20.51716779</v>
      </c>
      <c r="B174" s="16" t="n">
        <v>67.61013737</v>
      </c>
      <c r="C174" s="16" t="n">
        <v>24.7797315979439</v>
      </c>
      <c r="D174" s="6" t="s">
        <v>57</v>
      </c>
      <c r="E174" s="6" t="s">
        <v>57</v>
      </c>
      <c r="F174" s="6" t="s">
        <v>60</v>
      </c>
      <c r="G174" s="6" t="s">
        <v>61</v>
      </c>
      <c r="H174" s="6" t="s">
        <v>63</v>
      </c>
      <c r="I174" s="6" t="str">
        <f aca="false">IF(A174&lt;Outliers!$E$6,"Low",IF(A174&gt;Outliers!$F$6,"High",""))</f>
        <v/>
      </c>
      <c r="J174" s="6" t="str">
        <f aca="false">IF(B174&lt;Outliers!$E$7,"Low",IF(B174&gt;Outliers!$F$7,"High",""))</f>
        <v/>
      </c>
      <c r="K174" s="6" t="str">
        <f aca="false">IF(C174&lt;Outliers!$E$8,"Low",IF(C174&gt;Outliers!$F$8,"High",""))</f>
        <v/>
      </c>
      <c r="L174" s="6" t="str">
        <f aca="false">A174&amp;";"&amp;B174&amp;";"&amp;C174</f>
        <v>20.51716779;67.61013737;24.7797315979439</v>
      </c>
      <c r="M174" s="6" t="n">
        <f aca="false">IF(COUNTIF($L$2:$L$2201,L174)&gt;1,1,0)</f>
        <v>0</v>
      </c>
      <c r="N174" s="6" t="str">
        <f aca="false">IF(AND(C174&lt;Assumptions!$B$9,B174&lt;Assumptions!$B$10),"Irrigate Now",IF(AND(C174&gt;=Assumptions!$B$11,B174&gt;=Assumptions!$B$12),"No Irrigation Needed","Monitor"))</f>
        <v>Monitor</v>
      </c>
      <c r="O174" s="6" t="n">
        <f aca="false">IF(N174=G174,1,0)</f>
        <v>1</v>
      </c>
    </row>
    <row r="175" customFormat="false" ht="15" hidden="false" customHeight="false" outlineLevel="0" collapsed="false">
      <c r="A175" s="16" t="n">
        <v>23.30355338</v>
      </c>
      <c r="B175" s="16" t="n">
        <v>97.59081274</v>
      </c>
      <c r="C175" s="16" t="n">
        <v>15.7941685795783</v>
      </c>
      <c r="D175" s="6" t="s">
        <v>57</v>
      </c>
      <c r="E175" s="6" t="s">
        <v>57</v>
      </c>
      <c r="F175" s="6" t="s">
        <v>24</v>
      </c>
      <c r="G175" s="6" t="s">
        <v>64</v>
      </c>
      <c r="H175" s="6" t="s">
        <v>65</v>
      </c>
      <c r="I175" s="6" t="str">
        <f aca="false">IF(A175&lt;Outliers!$E$6,"Low",IF(A175&gt;Outliers!$F$6,"High",""))</f>
        <v/>
      </c>
      <c r="J175" s="6" t="str">
        <f aca="false">IF(B175&lt;Outliers!$E$7,"Low",IF(B175&gt;Outliers!$F$7,"High",""))</f>
        <v/>
      </c>
      <c r="K175" s="6" t="str">
        <f aca="false">IF(C175&lt;Outliers!$E$8,"Low",IF(C175&gt;Outliers!$F$8,"High",""))</f>
        <v/>
      </c>
      <c r="L175" s="6" t="str">
        <f aca="false">A175&amp;";"&amp;B175&amp;";"&amp;C175</f>
        <v>23.30355338;97.59081274;15.7941685795783</v>
      </c>
      <c r="M175" s="6" t="n">
        <f aca="false">IF(COUNTIF($L$2:$L$2201,L175)&gt;1,1,0)</f>
        <v>0</v>
      </c>
      <c r="N175" s="6" t="str">
        <f aca="false">IF(AND(C175&lt;Assumptions!$B$9,B175&lt;Assumptions!$B$10),"Irrigate Now",IF(AND(C175&gt;=Assumptions!$B$11,B175&gt;=Assumptions!$B$12),"No Irrigation Needed","Monitor"))</f>
        <v>Irrigate Now</v>
      </c>
      <c r="O175" s="6" t="n">
        <f aca="false">IF(N175=G175,1,0)</f>
        <v>1</v>
      </c>
    </row>
    <row r="176" customFormat="false" ht="15" hidden="false" customHeight="false" outlineLevel="0" collapsed="false">
      <c r="A176" s="16" t="n">
        <v>24.2547451</v>
      </c>
      <c r="B176" s="16" t="n">
        <v>64.23845455</v>
      </c>
      <c r="C176" s="16" t="n">
        <v>15.1195462825434</v>
      </c>
      <c r="D176" s="6" t="s">
        <v>57</v>
      </c>
      <c r="E176" s="6" t="s">
        <v>57</v>
      </c>
      <c r="F176" s="6" t="s">
        <v>24</v>
      </c>
      <c r="G176" s="6" t="s">
        <v>64</v>
      </c>
      <c r="H176" s="6" t="s">
        <v>65</v>
      </c>
      <c r="I176" s="6" t="str">
        <f aca="false">IF(A176&lt;Outliers!$E$6,"Low",IF(A176&gt;Outliers!$F$6,"High",""))</f>
        <v/>
      </c>
      <c r="J176" s="6" t="str">
        <f aca="false">IF(B176&lt;Outliers!$E$7,"Low",IF(B176&gt;Outliers!$F$7,"High",""))</f>
        <v/>
      </c>
      <c r="K176" s="6" t="str">
        <f aca="false">IF(C176&lt;Outliers!$E$8,"Low",IF(C176&gt;Outliers!$F$8,"High",""))</f>
        <v/>
      </c>
      <c r="L176" s="6" t="str">
        <f aca="false">A176&amp;";"&amp;B176&amp;";"&amp;C176</f>
        <v>24.2547451;64.23845455;15.1195462825434</v>
      </c>
      <c r="M176" s="6" t="n">
        <f aca="false">IF(COUNTIF($L$2:$L$2201,L176)&gt;1,1,0)</f>
        <v>0</v>
      </c>
      <c r="N176" s="6" t="str">
        <f aca="false">IF(AND(C176&lt;Assumptions!$B$9,B176&lt;Assumptions!$B$10),"Irrigate Now",IF(AND(C176&gt;=Assumptions!$B$11,B176&gt;=Assumptions!$B$12),"No Irrigation Needed","Monitor"))</f>
        <v>Irrigate Now</v>
      </c>
      <c r="O176" s="6" t="n">
        <f aca="false">IF(N176=G176,1,0)</f>
        <v>1</v>
      </c>
    </row>
    <row r="177" customFormat="false" ht="15" hidden="false" customHeight="false" outlineLevel="0" collapsed="false">
      <c r="A177" s="16" t="n">
        <v>24.86374934</v>
      </c>
      <c r="B177" s="16" t="n">
        <v>75.82270467</v>
      </c>
      <c r="C177" s="16" t="n">
        <v>11.7872299257748</v>
      </c>
      <c r="D177" s="6" t="s">
        <v>57</v>
      </c>
      <c r="E177" s="6" t="s">
        <v>57</v>
      </c>
      <c r="F177" s="6" t="s">
        <v>24</v>
      </c>
      <c r="G177" s="6" t="s">
        <v>64</v>
      </c>
      <c r="H177" s="6" t="s">
        <v>65</v>
      </c>
      <c r="I177" s="6" t="str">
        <f aca="false">IF(A177&lt;Outliers!$E$6,"Low",IF(A177&gt;Outliers!$F$6,"High",""))</f>
        <v/>
      </c>
      <c r="J177" s="6" t="str">
        <f aca="false">IF(B177&lt;Outliers!$E$7,"Low",IF(B177&gt;Outliers!$F$7,"High",""))</f>
        <v/>
      </c>
      <c r="K177" s="6" t="str">
        <f aca="false">IF(C177&lt;Outliers!$E$8,"Low",IF(C177&gt;Outliers!$F$8,"High",""))</f>
        <v/>
      </c>
      <c r="L177" s="6" t="str">
        <f aca="false">A177&amp;";"&amp;B177&amp;";"&amp;C177</f>
        <v>24.86374934;75.82270467;11.7872299257748</v>
      </c>
      <c r="M177" s="6" t="n">
        <f aca="false">IF(COUNTIF($L$2:$L$2201,L177)&gt;1,1,0)</f>
        <v>0</v>
      </c>
      <c r="N177" s="6" t="str">
        <f aca="false">IF(AND(C177&lt;Assumptions!$B$9,B177&lt;Assumptions!$B$10),"Irrigate Now",IF(AND(C177&gt;=Assumptions!$B$11,B177&gt;=Assumptions!$B$12),"No Irrigation Needed","Monitor"))</f>
        <v>Irrigate Now</v>
      </c>
      <c r="O177" s="6" t="n">
        <f aca="false">IF(N177=G177,1,0)</f>
        <v>1</v>
      </c>
    </row>
    <row r="178" customFormat="false" ht="15" hidden="false" customHeight="false" outlineLevel="0" collapsed="false">
      <c r="A178" s="16" t="n">
        <v>22.6265115</v>
      </c>
      <c r="B178" s="16" t="n">
        <v>88.17251033</v>
      </c>
      <c r="C178" s="16" t="n">
        <v>27.3219965330368</v>
      </c>
      <c r="D178" s="6" t="s">
        <v>57</v>
      </c>
      <c r="E178" s="6" t="s">
        <v>57</v>
      </c>
      <c r="F178" s="6" t="s">
        <v>23</v>
      </c>
      <c r="G178" s="6" t="s">
        <v>61</v>
      </c>
      <c r="H178" s="6" t="s">
        <v>63</v>
      </c>
      <c r="I178" s="6" t="str">
        <f aca="false">IF(A178&lt;Outliers!$E$6,"Low",IF(A178&gt;Outliers!$F$6,"High",""))</f>
        <v/>
      </c>
      <c r="J178" s="6" t="str">
        <f aca="false">IF(B178&lt;Outliers!$E$7,"Low",IF(B178&gt;Outliers!$F$7,"High",""))</f>
        <v/>
      </c>
      <c r="K178" s="6" t="str">
        <f aca="false">IF(C178&lt;Outliers!$E$8,"Low",IF(C178&gt;Outliers!$F$8,"High",""))</f>
        <v/>
      </c>
      <c r="L178" s="6" t="str">
        <f aca="false">A178&amp;";"&amp;B178&amp;";"&amp;C178</f>
        <v>22.6265115;88.17251033;27.3219965330368</v>
      </c>
      <c r="M178" s="6" t="n">
        <f aca="false">IF(COUNTIF($L$2:$L$2201,L178)&gt;1,1,0)</f>
        <v>0</v>
      </c>
      <c r="N178" s="6" t="str">
        <f aca="false">IF(AND(C178&lt;Assumptions!$B$9,B178&lt;Assumptions!$B$10),"Irrigate Now",IF(AND(C178&gt;=Assumptions!$B$11,B178&gt;=Assumptions!$B$12),"No Irrigation Needed","Monitor"))</f>
        <v>Monitor</v>
      </c>
      <c r="O178" s="6" t="n">
        <f aca="false">IF(N178=G178,1,0)</f>
        <v>1</v>
      </c>
    </row>
    <row r="179" customFormat="false" ht="15" hidden="false" customHeight="false" outlineLevel="0" collapsed="false">
      <c r="A179" s="16" t="n">
        <v>18.04185513</v>
      </c>
      <c r="B179" s="16" t="n">
        <v>104.2321615</v>
      </c>
      <c r="C179" s="16" t="n">
        <v>13.1402687669964</v>
      </c>
      <c r="D179" s="6" t="s">
        <v>66</v>
      </c>
      <c r="E179" s="6" t="s">
        <v>57</v>
      </c>
      <c r="F179" s="6" t="s">
        <v>24</v>
      </c>
      <c r="G179" s="6" t="s">
        <v>61</v>
      </c>
      <c r="H179" s="6" t="s">
        <v>63</v>
      </c>
      <c r="I179" s="6" t="str">
        <f aca="false">IF(A179&lt;Outliers!$E$6,"Low",IF(A179&gt;Outliers!$F$6,"High",""))</f>
        <v/>
      </c>
      <c r="J179" s="6" t="str">
        <f aca="false">IF(B179&lt;Outliers!$E$7,"Low",IF(B179&gt;Outliers!$F$7,"High",""))</f>
        <v/>
      </c>
      <c r="K179" s="6" t="str">
        <f aca="false">IF(C179&lt;Outliers!$E$8,"Low",IF(C179&gt;Outliers!$F$8,"High",""))</f>
        <v/>
      </c>
      <c r="L179" s="6" t="str">
        <f aca="false">A179&amp;";"&amp;B179&amp;";"&amp;C179</f>
        <v>18.04185513;104.2321615;13.1402687669964</v>
      </c>
      <c r="M179" s="6" t="n">
        <f aca="false">IF(COUNTIF($L$2:$L$2201,L179)&gt;1,1,0)</f>
        <v>0</v>
      </c>
      <c r="N179" s="6" t="str">
        <f aca="false">IF(AND(C179&lt;Assumptions!$B$9,B179&lt;Assumptions!$B$10),"Irrigate Now",IF(AND(C179&gt;=Assumptions!$B$11,B179&gt;=Assumptions!$B$12),"No Irrigation Needed","Monitor"))</f>
        <v>Monitor</v>
      </c>
      <c r="O179" s="6" t="n">
        <f aca="false">IF(N179=G179,1,0)</f>
        <v>1</v>
      </c>
    </row>
    <row r="180" customFormat="false" ht="15" hidden="false" customHeight="false" outlineLevel="0" collapsed="false">
      <c r="A180" s="16" t="n">
        <v>23.26237612</v>
      </c>
      <c r="B180" s="16" t="n">
        <v>67.10225139</v>
      </c>
      <c r="C180" s="16" t="n">
        <v>17.3152356176112</v>
      </c>
      <c r="D180" s="6" t="s">
        <v>57</v>
      </c>
      <c r="E180" s="6" t="s">
        <v>57</v>
      </c>
      <c r="F180" s="6" t="s">
        <v>24</v>
      </c>
      <c r="G180" s="6" t="s">
        <v>64</v>
      </c>
      <c r="H180" s="6" t="s">
        <v>65</v>
      </c>
      <c r="I180" s="6" t="str">
        <f aca="false">IF(A180&lt;Outliers!$E$6,"Low",IF(A180&gt;Outliers!$F$6,"High",""))</f>
        <v/>
      </c>
      <c r="J180" s="6" t="str">
        <f aca="false">IF(B180&lt;Outliers!$E$7,"Low",IF(B180&gt;Outliers!$F$7,"High",""))</f>
        <v/>
      </c>
      <c r="K180" s="6" t="str">
        <f aca="false">IF(C180&lt;Outliers!$E$8,"Low",IF(C180&gt;Outliers!$F$8,"High",""))</f>
        <v/>
      </c>
      <c r="L180" s="6" t="str">
        <f aca="false">A180&amp;";"&amp;B180&amp;";"&amp;C180</f>
        <v>23.26237612;67.10225139;17.3152356176112</v>
      </c>
      <c r="M180" s="6" t="n">
        <f aca="false">IF(COUNTIF($L$2:$L$2201,L180)&gt;1,1,0)</f>
        <v>0</v>
      </c>
      <c r="N180" s="6" t="str">
        <f aca="false">IF(AND(C180&lt;Assumptions!$B$9,B180&lt;Assumptions!$B$10),"Irrigate Now",IF(AND(C180&gt;=Assumptions!$B$11,B180&gt;=Assumptions!$B$12),"No Irrigation Needed","Monitor"))</f>
        <v>Irrigate Now</v>
      </c>
      <c r="O180" s="6" t="n">
        <f aca="false">IF(N180=G180,1,0)</f>
        <v>1</v>
      </c>
    </row>
    <row r="181" customFormat="false" ht="15" hidden="false" customHeight="false" outlineLevel="0" collapsed="false">
      <c r="A181" s="16" t="n">
        <v>22.88330922</v>
      </c>
      <c r="B181" s="16" t="n">
        <v>67.72777298</v>
      </c>
      <c r="C181" s="16" t="n">
        <v>25.1527519937328</v>
      </c>
      <c r="D181" s="6" t="s">
        <v>57</v>
      </c>
      <c r="E181" s="6" t="s">
        <v>57</v>
      </c>
      <c r="F181" s="6" t="s">
        <v>60</v>
      </c>
      <c r="G181" s="6" t="s">
        <v>61</v>
      </c>
      <c r="H181" s="6" t="s">
        <v>63</v>
      </c>
      <c r="I181" s="6" t="str">
        <f aca="false">IF(A181&lt;Outliers!$E$6,"Low",IF(A181&gt;Outliers!$F$6,"High",""))</f>
        <v/>
      </c>
      <c r="J181" s="6" t="str">
        <f aca="false">IF(B181&lt;Outliers!$E$7,"Low",IF(B181&gt;Outliers!$F$7,"High",""))</f>
        <v/>
      </c>
      <c r="K181" s="6" t="str">
        <f aca="false">IF(C181&lt;Outliers!$E$8,"Low",IF(C181&gt;Outliers!$F$8,"High",""))</f>
        <v/>
      </c>
      <c r="L181" s="6" t="str">
        <f aca="false">A181&amp;";"&amp;B181&amp;";"&amp;C181</f>
        <v>22.88330922;67.72777298;25.1527519937328</v>
      </c>
      <c r="M181" s="6" t="n">
        <f aca="false">IF(COUNTIF($L$2:$L$2201,L181)&gt;1,1,0)</f>
        <v>0</v>
      </c>
      <c r="N181" s="6" t="str">
        <f aca="false">IF(AND(C181&lt;Assumptions!$B$9,B181&lt;Assumptions!$B$10),"Irrigate Now",IF(AND(C181&gt;=Assumptions!$B$11,B181&gt;=Assumptions!$B$12),"No Irrigation Needed","Monitor"))</f>
        <v>Monitor</v>
      </c>
      <c r="O181" s="6" t="n">
        <f aca="false">IF(N181=G181,1,0)</f>
        <v>1</v>
      </c>
    </row>
    <row r="182" customFormat="false" ht="15" hidden="false" customHeight="false" outlineLevel="0" collapsed="false">
      <c r="A182" s="16" t="n">
        <v>25.97482359</v>
      </c>
      <c r="B182" s="16" t="n">
        <v>103.2234212</v>
      </c>
      <c r="C182" s="16" t="n">
        <v>21.9896400686007</v>
      </c>
      <c r="D182" s="6" t="s">
        <v>57</v>
      </c>
      <c r="E182" s="6" t="s">
        <v>57</v>
      </c>
      <c r="F182" s="6" t="s">
        <v>60</v>
      </c>
      <c r="G182" s="6" t="s">
        <v>61</v>
      </c>
      <c r="H182" s="6" t="s">
        <v>63</v>
      </c>
      <c r="I182" s="6" t="str">
        <f aca="false">IF(A182&lt;Outliers!$E$6,"Low",IF(A182&gt;Outliers!$F$6,"High",""))</f>
        <v/>
      </c>
      <c r="J182" s="6" t="str">
        <f aca="false">IF(B182&lt;Outliers!$E$7,"Low",IF(B182&gt;Outliers!$F$7,"High",""))</f>
        <v/>
      </c>
      <c r="K182" s="6" t="str">
        <f aca="false">IF(C182&lt;Outliers!$E$8,"Low",IF(C182&gt;Outliers!$F$8,"High",""))</f>
        <v/>
      </c>
      <c r="L182" s="6" t="str">
        <f aca="false">A182&amp;";"&amp;B182&amp;";"&amp;C182</f>
        <v>25.97482359;103.2234212;21.9896400686007</v>
      </c>
      <c r="M182" s="6" t="n">
        <f aca="false">IF(COUNTIF($L$2:$L$2201,L182)&gt;1,1,0)</f>
        <v>0</v>
      </c>
      <c r="N182" s="6" t="str">
        <f aca="false">IF(AND(C182&lt;Assumptions!$B$9,B182&lt;Assumptions!$B$10),"Irrigate Now",IF(AND(C182&gt;=Assumptions!$B$11,B182&gt;=Assumptions!$B$12),"No Irrigation Needed","Monitor"))</f>
        <v>Monitor</v>
      </c>
      <c r="O182" s="6" t="n">
        <f aca="false">IF(N182=G182,1,0)</f>
        <v>1</v>
      </c>
    </row>
    <row r="183" customFormat="false" ht="15" hidden="false" customHeight="false" outlineLevel="0" collapsed="false">
      <c r="A183" s="16" t="n">
        <v>26.14384005</v>
      </c>
      <c r="B183" s="16" t="n">
        <v>107.2361366</v>
      </c>
      <c r="C183" s="16" t="n">
        <v>24.6107458107895</v>
      </c>
      <c r="D183" s="6" t="s">
        <v>57</v>
      </c>
      <c r="E183" s="6" t="s">
        <v>57</v>
      </c>
      <c r="F183" s="6" t="s">
        <v>23</v>
      </c>
      <c r="G183" s="6" t="s">
        <v>61</v>
      </c>
      <c r="H183" s="6" t="s">
        <v>63</v>
      </c>
      <c r="I183" s="6" t="str">
        <f aca="false">IF(A183&lt;Outliers!$E$6,"Low",IF(A183&gt;Outliers!$F$6,"High",""))</f>
        <v/>
      </c>
      <c r="J183" s="6" t="str">
        <f aca="false">IF(B183&lt;Outliers!$E$7,"Low",IF(B183&gt;Outliers!$F$7,"High",""))</f>
        <v/>
      </c>
      <c r="K183" s="6" t="str">
        <f aca="false">IF(C183&lt;Outliers!$E$8,"Low",IF(C183&gt;Outliers!$F$8,"High",""))</f>
        <v/>
      </c>
      <c r="L183" s="6" t="str">
        <f aca="false">A183&amp;";"&amp;B183&amp;";"&amp;C183</f>
        <v>26.14384005;107.2361366;24.6107458107895</v>
      </c>
      <c r="M183" s="6" t="n">
        <f aca="false">IF(COUNTIF($L$2:$L$2201,L183)&gt;1,1,0)</f>
        <v>0</v>
      </c>
      <c r="N183" s="6" t="str">
        <f aca="false">IF(AND(C183&lt;Assumptions!$B$9,B183&lt;Assumptions!$B$10),"Irrigate Now",IF(AND(C183&gt;=Assumptions!$B$11,B183&gt;=Assumptions!$B$12),"No Irrigation Needed","Monitor"))</f>
        <v>Monitor</v>
      </c>
      <c r="O183" s="6" t="n">
        <f aca="false">IF(N183=G183,1,0)</f>
        <v>1</v>
      </c>
    </row>
    <row r="184" customFormat="false" ht="15" hidden="false" customHeight="false" outlineLevel="0" collapsed="false">
      <c r="A184" s="16" t="n">
        <v>18.66116213</v>
      </c>
      <c r="B184" s="16" t="n">
        <v>75.03247667</v>
      </c>
      <c r="C184" s="16" t="n">
        <v>23.85630016819</v>
      </c>
      <c r="D184" s="6" t="s">
        <v>66</v>
      </c>
      <c r="E184" s="6" t="s">
        <v>57</v>
      </c>
      <c r="F184" s="6" t="s">
        <v>60</v>
      </c>
      <c r="G184" s="6" t="s">
        <v>61</v>
      </c>
      <c r="H184" s="6" t="s">
        <v>63</v>
      </c>
      <c r="I184" s="6" t="str">
        <f aca="false">IF(A184&lt;Outliers!$E$6,"Low",IF(A184&gt;Outliers!$F$6,"High",""))</f>
        <v/>
      </c>
      <c r="J184" s="6" t="str">
        <f aca="false">IF(B184&lt;Outliers!$E$7,"Low",IF(B184&gt;Outliers!$F$7,"High",""))</f>
        <v/>
      </c>
      <c r="K184" s="6" t="str">
        <f aca="false">IF(C184&lt;Outliers!$E$8,"Low",IF(C184&gt;Outliers!$F$8,"High",""))</f>
        <v/>
      </c>
      <c r="L184" s="6" t="str">
        <f aca="false">A184&amp;";"&amp;B184&amp;";"&amp;C184</f>
        <v>18.66116213;75.03247667;23.85630016819</v>
      </c>
      <c r="M184" s="6" t="n">
        <f aca="false">IF(COUNTIF($L$2:$L$2201,L184)&gt;1,1,0)</f>
        <v>0</v>
      </c>
      <c r="N184" s="6" t="str">
        <f aca="false">IF(AND(C184&lt;Assumptions!$B$9,B184&lt;Assumptions!$B$10),"Irrigate Now",IF(AND(C184&gt;=Assumptions!$B$11,B184&gt;=Assumptions!$B$12),"No Irrigation Needed","Monitor"))</f>
        <v>Monitor</v>
      </c>
      <c r="O184" s="6" t="n">
        <f aca="false">IF(N184=G184,1,0)</f>
        <v>1</v>
      </c>
    </row>
    <row r="185" customFormat="false" ht="15" hidden="false" customHeight="false" outlineLevel="0" collapsed="false">
      <c r="A185" s="16" t="n">
        <v>25.10787449</v>
      </c>
      <c r="B185" s="16" t="n">
        <v>78.16077693</v>
      </c>
      <c r="C185" s="16" t="n">
        <v>24.4188575204471</v>
      </c>
      <c r="D185" s="6" t="s">
        <v>57</v>
      </c>
      <c r="E185" s="6" t="s">
        <v>57</v>
      </c>
      <c r="F185" s="6" t="s">
        <v>60</v>
      </c>
      <c r="G185" s="6" t="s">
        <v>61</v>
      </c>
      <c r="H185" s="6" t="s">
        <v>63</v>
      </c>
      <c r="I185" s="6" t="str">
        <f aca="false">IF(A185&lt;Outliers!$E$6,"Low",IF(A185&gt;Outliers!$F$6,"High",""))</f>
        <v/>
      </c>
      <c r="J185" s="6" t="str">
        <f aca="false">IF(B185&lt;Outliers!$E$7,"Low",IF(B185&gt;Outliers!$F$7,"High",""))</f>
        <v/>
      </c>
      <c r="K185" s="6" t="str">
        <f aca="false">IF(C185&lt;Outliers!$E$8,"Low",IF(C185&gt;Outliers!$F$8,"High",""))</f>
        <v/>
      </c>
      <c r="L185" s="6" t="str">
        <f aca="false">A185&amp;";"&amp;B185&amp;";"&amp;C185</f>
        <v>25.10787449;78.16077693;24.4188575204471</v>
      </c>
      <c r="M185" s="6" t="n">
        <f aca="false">IF(COUNTIF($L$2:$L$2201,L185)&gt;1,1,0)</f>
        <v>0</v>
      </c>
      <c r="N185" s="6" t="str">
        <f aca="false">IF(AND(C185&lt;Assumptions!$B$9,B185&lt;Assumptions!$B$10),"Irrigate Now",IF(AND(C185&gt;=Assumptions!$B$11,B185&gt;=Assumptions!$B$12),"No Irrigation Needed","Monitor"))</f>
        <v>Monitor</v>
      </c>
      <c r="O185" s="6" t="n">
        <f aca="false">IF(N185=G185,1,0)</f>
        <v>1</v>
      </c>
    </row>
    <row r="186" customFormat="false" ht="15" hidden="false" customHeight="false" outlineLevel="0" collapsed="false">
      <c r="A186" s="16" t="n">
        <v>23.33844615</v>
      </c>
      <c r="B186" s="16" t="n">
        <v>105.0083144</v>
      </c>
      <c r="C186" s="16" t="n">
        <v>22.2239386662027</v>
      </c>
      <c r="D186" s="6" t="s">
        <v>57</v>
      </c>
      <c r="E186" s="6" t="s">
        <v>57</v>
      </c>
      <c r="F186" s="6" t="s">
        <v>60</v>
      </c>
      <c r="G186" s="6" t="s">
        <v>61</v>
      </c>
      <c r="H186" s="6" t="s">
        <v>63</v>
      </c>
      <c r="I186" s="6" t="str">
        <f aca="false">IF(A186&lt;Outliers!$E$6,"Low",IF(A186&gt;Outliers!$F$6,"High",""))</f>
        <v/>
      </c>
      <c r="J186" s="6" t="str">
        <f aca="false">IF(B186&lt;Outliers!$E$7,"Low",IF(B186&gt;Outliers!$F$7,"High",""))</f>
        <v/>
      </c>
      <c r="K186" s="6" t="str">
        <f aca="false">IF(C186&lt;Outliers!$E$8,"Low",IF(C186&gt;Outliers!$F$8,"High",""))</f>
        <v/>
      </c>
      <c r="L186" s="6" t="str">
        <f aca="false">A186&amp;";"&amp;B186&amp;";"&amp;C186</f>
        <v>23.33844615;105.0083144;22.2239386662027</v>
      </c>
      <c r="M186" s="6" t="n">
        <f aca="false">IF(COUNTIF($L$2:$L$2201,L186)&gt;1,1,0)</f>
        <v>0</v>
      </c>
      <c r="N186" s="6" t="str">
        <f aca="false">IF(AND(C186&lt;Assumptions!$B$9,B186&lt;Assumptions!$B$10),"Irrigate Now",IF(AND(C186&gt;=Assumptions!$B$11,B186&gt;=Assumptions!$B$12),"No Irrigation Needed","Monitor"))</f>
        <v>Monitor</v>
      </c>
      <c r="O186" s="6" t="n">
        <f aca="false">IF(N186=G186,1,0)</f>
        <v>1</v>
      </c>
    </row>
    <row r="187" customFormat="false" ht="15" hidden="false" customHeight="false" outlineLevel="0" collapsed="false">
      <c r="A187" s="16" t="n">
        <v>25.08239719</v>
      </c>
      <c r="B187" s="16" t="n">
        <v>62.49190812</v>
      </c>
      <c r="C187" s="16" t="n">
        <v>14.8709883920692</v>
      </c>
      <c r="D187" s="6" t="s">
        <v>57</v>
      </c>
      <c r="E187" s="6" t="s">
        <v>57</v>
      </c>
      <c r="F187" s="6" t="s">
        <v>24</v>
      </c>
      <c r="G187" s="6" t="s">
        <v>64</v>
      </c>
      <c r="H187" s="6" t="s">
        <v>65</v>
      </c>
      <c r="I187" s="6" t="str">
        <f aca="false">IF(A187&lt;Outliers!$E$6,"Low",IF(A187&gt;Outliers!$F$6,"High",""))</f>
        <v/>
      </c>
      <c r="J187" s="6" t="str">
        <f aca="false">IF(B187&lt;Outliers!$E$7,"Low",IF(B187&gt;Outliers!$F$7,"High",""))</f>
        <v/>
      </c>
      <c r="K187" s="6" t="str">
        <f aca="false">IF(C187&lt;Outliers!$E$8,"Low",IF(C187&gt;Outliers!$F$8,"High",""))</f>
        <v/>
      </c>
      <c r="L187" s="6" t="str">
        <f aca="false">A187&amp;";"&amp;B187&amp;";"&amp;C187</f>
        <v>25.08239719;62.49190812;14.8709883920692</v>
      </c>
      <c r="M187" s="6" t="n">
        <f aca="false">IF(COUNTIF($L$2:$L$2201,L187)&gt;1,1,0)</f>
        <v>0</v>
      </c>
      <c r="N187" s="6" t="str">
        <f aca="false">IF(AND(C187&lt;Assumptions!$B$9,B187&lt;Assumptions!$B$10),"Irrigate Now",IF(AND(C187&gt;=Assumptions!$B$11,B187&gt;=Assumptions!$B$12),"No Irrigation Needed","Monitor"))</f>
        <v>Irrigate Now</v>
      </c>
      <c r="O187" s="6" t="n">
        <f aca="false">IF(N187=G187,1,0)</f>
        <v>1</v>
      </c>
    </row>
    <row r="188" customFormat="false" ht="15" hidden="false" customHeight="false" outlineLevel="0" collapsed="false">
      <c r="A188" s="16" t="n">
        <v>25.36768364</v>
      </c>
      <c r="B188" s="16" t="n">
        <v>107.9124111</v>
      </c>
      <c r="C188" s="16" t="n">
        <v>15.3906270224794</v>
      </c>
      <c r="D188" s="6" t="s">
        <v>57</v>
      </c>
      <c r="E188" s="6" t="s">
        <v>57</v>
      </c>
      <c r="F188" s="6" t="s">
        <v>24</v>
      </c>
      <c r="G188" s="6" t="s">
        <v>61</v>
      </c>
      <c r="H188" s="6" t="s">
        <v>63</v>
      </c>
      <c r="I188" s="6" t="str">
        <f aca="false">IF(A188&lt;Outliers!$E$6,"Low",IF(A188&gt;Outliers!$F$6,"High",""))</f>
        <v/>
      </c>
      <c r="J188" s="6" t="str">
        <f aca="false">IF(B188&lt;Outliers!$E$7,"Low",IF(B188&gt;Outliers!$F$7,"High",""))</f>
        <v/>
      </c>
      <c r="K188" s="6" t="str">
        <f aca="false">IF(C188&lt;Outliers!$E$8,"Low",IF(C188&gt;Outliers!$F$8,"High",""))</f>
        <v/>
      </c>
      <c r="L188" s="6" t="str">
        <f aca="false">A188&amp;";"&amp;B188&amp;";"&amp;C188</f>
        <v>25.36768364;107.9124111;15.3906270224794</v>
      </c>
      <c r="M188" s="6" t="n">
        <f aca="false">IF(COUNTIF($L$2:$L$2201,L188)&gt;1,1,0)</f>
        <v>0</v>
      </c>
      <c r="N188" s="6" t="str">
        <f aca="false">IF(AND(C188&lt;Assumptions!$B$9,B188&lt;Assumptions!$B$10),"Irrigate Now",IF(AND(C188&gt;=Assumptions!$B$11,B188&gt;=Assumptions!$B$12),"No Irrigation Needed","Monitor"))</f>
        <v>Monitor</v>
      </c>
      <c r="O188" s="6" t="n">
        <f aca="false">IF(N188=G188,1,0)</f>
        <v>1</v>
      </c>
    </row>
    <row r="189" customFormat="false" ht="15" hidden="false" customHeight="false" outlineLevel="0" collapsed="false">
      <c r="A189" s="16" t="n">
        <v>25.34217103</v>
      </c>
      <c r="B189" s="16" t="n">
        <v>74.52082026</v>
      </c>
      <c r="C189" s="16" t="n">
        <v>25.5292857743913</v>
      </c>
      <c r="D189" s="6" t="s">
        <v>57</v>
      </c>
      <c r="E189" s="6" t="s">
        <v>57</v>
      </c>
      <c r="F189" s="6" t="s">
        <v>23</v>
      </c>
      <c r="G189" s="6" t="s">
        <v>61</v>
      </c>
      <c r="H189" s="6" t="s">
        <v>63</v>
      </c>
      <c r="I189" s="6" t="str">
        <f aca="false">IF(A189&lt;Outliers!$E$6,"Low",IF(A189&gt;Outliers!$F$6,"High",""))</f>
        <v/>
      </c>
      <c r="J189" s="6" t="str">
        <f aca="false">IF(B189&lt;Outliers!$E$7,"Low",IF(B189&gt;Outliers!$F$7,"High",""))</f>
        <v/>
      </c>
      <c r="K189" s="6" t="str">
        <f aca="false">IF(C189&lt;Outliers!$E$8,"Low",IF(C189&gt;Outliers!$F$8,"High",""))</f>
        <v/>
      </c>
      <c r="L189" s="6" t="str">
        <f aca="false">A189&amp;";"&amp;B189&amp;";"&amp;C189</f>
        <v>25.34217103;74.52082026;25.5292857743913</v>
      </c>
      <c r="M189" s="6" t="n">
        <f aca="false">IF(COUNTIF($L$2:$L$2201,L189)&gt;1,1,0)</f>
        <v>0</v>
      </c>
      <c r="N189" s="6" t="str">
        <f aca="false">IF(AND(C189&lt;Assumptions!$B$9,B189&lt;Assumptions!$B$10),"Irrigate Now",IF(AND(C189&gt;=Assumptions!$B$11,B189&gt;=Assumptions!$B$12),"No Irrigation Needed","Monitor"))</f>
        <v>Monitor</v>
      </c>
      <c r="O189" s="6" t="n">
        <f aca="false">IF(N189=G189,1,0)</f>
        <v>1</v>
      </c>
    </row>
    <row r="190" customFormat="false" ht="15" hidden="false" customHeight="false" outlineLevel="0" collapsed="false">
      <c r="A190" s="16" t="n">
        <v>25.00933355</v>
      </c>
      <c r="B190" s="16" t="n">
        <v>62.91359494</v>
      </c>
      <c r="C190" s="16" t="n">
        <v>21.4189695341495</v>
      </c>
      <c r="D190" s="6" t="s">
        <v>57</v>
      </c>
      <c r="E190" s="6" t="s">
        <v>57</v>
      </c>
      <c r="F190" s="6" t="s">
        <v>60</v>
      </c>
      <c r="G190" s="6" t="s">
        <v>61</v>
      </c>
      <c r="H190" s="6" t="s">
        <v>63</v>
      </c>
      <c r="I190" s="6" t="str">
        <f aca="false">IF(A190&lt;Outliers!$E$6,"Low",IF(A190&gt;Outliers!$F$6,"High",""))</f>
        <v/>
      </c>
      <c r="J190" s="6" t="str">
        <f aca="false">IF(B190&lt;Outliers!$E$7,"Low",IF(B190&gt;Outliers!$F$7,"High",""))</f>
        <v/>
      </c>
      <c r="K190" s="6" t="str">
        <f aca="false">IF(C190&lt;Outliers!$E$8,"Low",IF(C190&gt;Outliers!$F$8,"High",""))</f>
        <v/>
      </c>
      <c r="L190" s="6" t="str">
        <f aca="false">A190&amp;";"&amp;B190&amp;";"&amp;C190</f>
        <v>25.00933355;62.91359494;21.4189695341495</v>
      </c>
      <c r="M190" s="6" t="n">
        <f aca="false">IF(COUNTIF($L$2:$L$2201,L190)&gt;1,1,0)</f>
        <v>0</v>
      </c>
      <c r="N190" s="6" t="str">
        <f aca="false">IF(AND(C190&lt;Assumptions!$B$9,B190&lt;Assumptions!$B$10),"Irrigate Now",IF(AND(C190&gt;=Assumptions!$B$11,B190&gt;=Assumptions!$B$12),"No Irrigation Needed","Monitor"))</f>
        <v>Monitor</v>
      </c>
      <c r="O190" s="6" t="n">
        <f aca="false">IF(N190=G190,1,0)</f>
        <v>1</v>
      </c>
    </row>
    <row r="191" customFormat="false" ht="15" hidden="false" customHeight="false" outlineLevel="0" collapsed="false">
      <c r="A191" s="16" t="n">
        <v>18.66746724</v>
      </c>
      <c r="B191" s="16" t="n">
        <v>69.93293255</v>
      </c>
      <c r="C191" s="16" t="n">
        <v>29.7961444533935</v>
      </c>
      <c r="D191" s="6" t="s">
        <v>66</v>
      </c>
      <c r="E191" s="6" t="s">
        <v>57</v>
      </c>
      <c r="F191" s="6" t="s">
        <v>23</v>
      </c>
      <c r="G191" s="6" t="s">
        <v>61</v>
      </c>
      <c r="H191" s="6" t="s">
        <v>63</v>
      </c>
      <c r="I191" s="6" t="str">
        <f aca="false">IF(A191&lt;Outliers!$E$6,"Low",IF(A191&gt;Outliers!$F$6,"High",""))</f>
        <v/>
      </c>
      <c r="J191" s="6" t="str">
        <f aca="false">IF(B191&lt;Outliers!$E$7,"Low",IF(B191&gt;Outliers!$F$7,"High",""))</f>
        <v/>
      </c>
      <c r="K191" s="6" t="str">
        <f aca="false">IF(C191&lt;Outliers!$E$8,"Low",IF(C191&gt;Outliers!$F$8,"High",""))</f>
        <v/>
      </c>
      <c r="L191" s="6" t="str">
        <f aca="false">A191&amp;";"&amp;B191&amp;";"&amp;C191</f>
        <v>18.66746724;69.93293255;29.7961444533935</v>
      </c>
      <c r="M191" s="6" t="n">
        <f aca="false">IF(COUNTIF($L$2:$L$2201,L191)&gt;1,1,0)</f>
        <v>0</v>
      </c>
      <c r="N191" s="6" t="str">
        <f aca="false">IF(AND(C191&lt;Assumptions!$B$9,B191&lt;Assumptions!$B$10),"Irrigate Now",IF(AND(C191&gt;=Assumptions!$B$11,B191&gt;=Assumptions!$B$12),"No Irrigation Needed","Monitor"))</f>
        <v>Monitor</v>
      </c>
      <c r="O191" s="6" t="n">
        <f aca="false">IF(N191=G191,1,0)</f>
        <v>1</v>
      </c>
    </row>
    <row r="192" customFormat="false" ht="15" hidden="false" customHeight="false" outlineLevel="0" collapsed="false">
      <c r="A192" s="16" t="n">
        <v>20.37999665</v>
      </c>
      <c r="B192" s="16" t="n">
        <v>108.5054416</v>
      </c>
      <c r="C192" s="16" t="n">
        <v>22.5222063301976</v>
      </c>
      <c r="D192" s="6" t="s">
        <v>57</v>
      </c>
      <c r="E192" s="6" t="s">
        <v>57</v>
      </c>
      <c r="F192" s="6" t="s">
        <v>60</v>
      </c>
      <c r="G192" s="6" t="s">
        <v>61</v>
      </c>
      <c r="H192" s="6" t="s">
        <v>63</v>
      </c>
      <c r="I192" s="6" t="str">
        <f aca="false">IF(A192&lt;Outliers!$E$6,"Low",IF(A192&gt;Outliers!$F$6,"High",""))</f>
        <v/>
      </c>
      <c r="J192" s="6" t="str">
        <f aca="false">IF(B192&lt;Outliers!$E$7,"Low",IF(B192&gt;Outliers!$F$7,"High",""))</f>
        <v/>
      </c>
      <c r="K192" s="6" t="str">
        <f aca="false">IF(C192&lt;Outliers!$E$8,"Low",IF(C192&gt;Outliers!$F$8,"High",""))</f>
        <v/>
      </c>
      <c r="L192" s="6" t="str">
        <f aca="false">A192&amp;";"&amp;B192&amp;";"&amp;C192</f>
        <v>20.37999665;108.5054416;22.5222063301976</v>
      </c>
      <c r="M192" s="6" t="n">
        <f aca="false">IF(COUNTIF($L$2:$L$2201,L192)&gt;1,1,0)</f>
        <v>0</v>
      </c>
      <c r="N192" s="6" t="str">
        <f aca="false">IF(AND(C192&lt;Assumptions!$B$9,B192&lt;Assumptions!$B$10),"Irrigate Now",IF(AND(C192&gt;=Assumptions!$B$11,B192&gt;=Assumptions!$B$12),"No Irrigation Needed","Monitor"))</f>
        <v>Monitor</v>
      </c>
      <c r="O192" s="6" t="n">
        <f aca="false">IF(N192=G192,1,0)</f>
        <v>1</v>
      </c>
    </row>
    <row r="193" customFormat="false" ht="15" hidden="false" customHeight="false" outlineLevel="0" collapsed="false">
      <c r="A193" s="16" t="n">
        <v>18.09300227</v>
      </c>
      <c r="B193" s="16" t="n">
        <v>78.96159541</v>
      </c>
      <c r="C193" s="16" t="n">
        <v>22.1605030482452</v>
      </c>
      <c r="D193" s="6" t="s">
        <v>66</v>
      </c>
      <c r="E193" s="6" t="s">
        <v>57</v>
      </c>
      <c r="F193" s="6" t="s">
        <v>60</v>
      </c>
      <c r="G193" s="6" t="s">
        <v>61</v>
      </c>
      <c r="H193" s="6" t="s">
        <v>63</v>
      </c>
      <c r="I193" s="6" t="str">
        <f aca="false">IF(A193&lt;Outliers!$E$6,"Low",IF(A193&gt;Outliers!$F$6,"High",""))</f>
        <v/>
      </c>
      <c r="J193" s="6" t="str">
        <f aca="false">IF(B193&lt;Outliers!$E$7,"Low",IF(B193&gt;Outliers!$F$7,"High",""))</f>
        <v/>
      </c>
      <c r="K193" s="6" t="str">
        <f aca="false">IF(C193&lt;Outliers!$E$8,"Low",IF(C193&gt;Outliers!$F$8,"High",""))</f>
        <v/>
      </c>
      <c r="L193" s="6" t="str">
        <f aca="false">A193&amp;";"&amp;B193&amp;";"&amp;C193</f>
        <v>18.09300227;78.96159541;22.1605030482452</v>
      </c>
      <c r="M193" s="6" t="n">
        <f aca="false">IF(COUNTIF($L$2:$L$2201,L193)&gt;1,1,0)</f>
        <v>0</v>
      </c>
      <c r="N193" s="6" t="str">
        <f aca="false">IF(AND(C193&lt;Assumptions!$B$9,B193&lt;Assumptions!$B$10),"Irrigate Now",IF(AND(C193&gt;=Assumptions!$B$11,B193&gt;=Assumptions!$B$12),"No Irrigation Needed","Monitor"))</f>
        <v>Monitor</v>
      </c>
      <c r="O193" s="6" t="n">
        <f aca="false">IF(N193=G193,1,0)</f>
        <v>1</v>
      </c>
    </row>
    <row r="194" customFormat="false" ht="15" hidden="false" customHeight="false" outlineLevel="0" collapsed="false">
      <c r="A194" s="16" t="n">
        <v>26.16985907</v>
      </c>
      <c r="B194" s="16" t="n">
        <v>79.84925393</v>
      </c>
      <c r="C194" s="16" t="n">
        <v>25.2031485737632</v>
      </c>
      <c r="D194" s="6" t="s">
        <v>57</v>
      </c>
      <c r="E194" s="6" t="s">
        <v>57</v>
      </c>
      <c r="F194" s="6" t="s">
        <v>23</v>
      </c>
      <c r="G194" s="6" t="s">
        <v>61</v>
      </c>
      <c r="H194" s="6" t="s">
        <v>63</v>
      </c>
      <c r="I194" s="6" t="str">
        <f aca="false">IF(A194&lt;Outliers!$E$6,"Low",IF(A194&gt;Outliers!$F$6,"High",""))</f>
        <v/>
      </c>
      <c r="J194" s="6" t="str">
        <f aca="false">IF(B194&lt;Outliers!$E$7,"Low",IF(B194&gt;Outliers!$F$7,"High",""))</f>
        <v/>
      </c>
      <c r="K194" s="6" t="str">
        <f aca="false">IF(C194&lt;Outliers!$E$8,"Low",IF(C194&gt;Outliers!$F$8,"High",""))</f>
        <v/>
      </c>
      <c r="L194" s="6" t="str">
        <f aca="false">A194&amp;";"&amp;B194&amp;";"&amp;C194</f>
        <v>26.16985907;79.84925393;25.2031485737632</v>
      </c>
      <c r="M194" s="6" t="n">
        <f aca="false">IF(COUNTIF($L$2:$L$2201,L194)&gt;1,1,0)</f>
        <v>0</v>
      </c>
      <c r="N194" s="6" t="str">
        <f aca="false">IF(AND(C194&lt;Assumptions!$B$9,B194&lt;Assumptions!$B$10),"Irrigate Now",IF(AND(C194&gt;=Assumptions!$B$11,B194&gt;=Assumptions!$B$12),"No Irrigation Needed","Monitor"))</f>
        <v>Monitor</v>
      </c>
      <c r="O194" s="6" t="n">
        <f aca="false">IF(N194=G194,1,0)</f>
        <v>1</v>
      </c>
    </row>
    <row r="195" customFormat="false" ht="15" hidden="false" customHeight="false" outlineLevel="0" collapsed="false">
      <c r="A195" s="16" t="n">
        <v>18.65396672</v>
      </c>
      <c r="B195" s="16" t="n">
        <v>93.62039175</v>
      </c>
      <c r="C195" s="16" t="n">
        <v>10.8293402094542</v>
      </c>
      <c r="D195" s="6" t="s">
        <v>66</v>
      </c>
      <c r="E195" s="6" t="s">
        <v>57</v>
      </c>
      <c r="F195" s="6" t="s">
        <v>24</v>
      </c>
      <c r="G195" s="6" t="s">
        <v>64</v>
      </c>
      <c r="H195" s="6" t="s">
        <v>65</v>
      </c>
      <c r="I195" s="6" t="str">
        <f aca="false">IF(A195&lt;Outliers!$E$6,"Low",IF(A195&gt;Outliers!$F$6,"High",""))</f>
        <v/>
      </c>
      <c r="J195" s="6" t="str">
        <f aca="false">IF(B195&lt;Outliers!$E$7,"Low",IF(B195&gt;Outliers!$F$7,"High",""))</f>
        <v/>
      </c>
      <c r="K195" s="6" t="str">
        <f aca="false">IF(C195&lt;Outliers!$E$8,"Low",IF(C195&gt;Outliers!$F$8,"High",""))</f>
        <v/>
      </c>
      <c r="L195" s="6" t="str">
        <f aca="false">A195&amp;";"&amp;B195&amp;";"&amp;C195</f>
        <v>18.65396672;93.62039175;10.8293402094542</v>
      </c>
      <c r="M195" s="6" t="n">
        <f aca="false">IF(COUNTIF($L$2:$L$2201,L195)&gt;1,1,0)</f>
        <v>0</v>
      </c>
      <c r="N195" s="6" t="str">
        <f aca="false">IF(AND(C195&lt;Assumptions!$B$9,B195&lt;Assumptions!$B$10),"Irrigate Now",IF(AND(C195&gt;=Assumptions!$B$11,B195&gt;=Assumptions!$B$12),"No Irrigation Needed","Monitor"))</f>
        <v>Irrigate Now</v>
      </c>
      <c r="O195" s="6" t="n">
        <f aca="false">IF(N195=G195,1,0)</f>
        <v>1</v>
      </c>
    </row>
    <row r="196" customFormat="false" ht="15" hidden="false" customHeight="false" outlineLevel="0" collapsed="false">
      <c r="A196" s="16" t="n">
        <v>26.07470121</v>
      </c>
      <c r="B196" s="16" t="n">
        <v>85.75692395</v>
      </c>
      <c r="C196" s="16" t="n">
        <v>26.5132015450982</v>
      </c>
      <c r="D196" s="6" t="s">
        <v>57</v>
      </c>
      <c r="E196" s="6" t="s">
        <v>57</v>
      </c>
      <c r="F196" s="6" t="s">
        <v>23</v>
      </c>
      <c r="G196" s="6" t="s">
        <v>61</v>
      </c>
      <c r="H196" s="6" t="s">
        <v>63</v>
      </c>
      <c r="I196" s="6" t="str">
        <f aca="false">IF(A196&lt;Outliers!$E$6,"Low",IF(A196&gt;Outliers!$F$6,"High",""))</f>
        <v/>
      </c>
      <c r="J196" s="6" t="str">
        <f aca="false">IF(B196&lt;Outliers!$E$7,"Low",IF(B196&gt;Outliers!$F$7,"High",""))</f>
        <v/>
      </c>
      <c r="K196" s="6" t="str">
        <f aca="false">IF(C196&lt;Outliers!$E$8,"Low",IF(C196&gt;Outliers!$F$8,"High",""))</f>
        <v/>
      </c>
      <c r="L196" s="6" t="str">
        <f aca="false">A196&amp;";"&amp;B196&amp;";"&amp;C196</f>
        <v>26.07470121;85.75692395;26.5132015450982</v>
      </c>
      <c r="M196" s="6" t="n">
        <f aca="false">IF(COUNTIF($L$2:$L$2201,L196)&gt;1,1,0)</f>
        <v>0</v>
      </c>
      <c r="N196" s="6" t="str">
        <f aca="false">IF(AND(C196&lt;Assumptions!$B$9,B196&lt;Assumptions!$B$10),"Irrigate Now",IF(AND(C196&gt;=Assumptions!$B$11,B196&gt;=Assumptions!$B$12),"No Irrigation Needed","Monitor"))</f>
        <v>Monitor</v>
      </c>
      <c r="O196" s="6" t="n">
        <f aca="false">IF(N196=G196,1,0)</f>
        <v>1</v>
      </c>
    </row>
    <row r="197" customFormat="false" ht="15" hidden="false" customHeight="false" outlineLevel="0" collapsed="false">
      <c r="A197" s="16" t="n">
        <v>18.92851916</v>
      </c>
      <c r="B197" s="16" t="n">
        <v>82.34162918</v>
      </c>
      <c r="C197" s="16" t="n">
        <v>14.2047330683183</v>
      </c>
      <c r="D197" s="6" t="s">
        <v>66</v>
      </c>
      <c r="E197" s="6" t="s">
        <v>57</v>
      </c>
      <c r="F197" s="6" t="s">
        <v>24</v>
      </c>
      <c r="G197" s="6" t="s">
        <v>64</v>
      </c>
      <c r="H197" s="6" t="s">
        <v>65</v>
      </c>
      <c r="I197" s="6" t="str">
        <f aca="false">IF(A197&lt;Outliers!$E$6,"Low",IF(A197&gt;Outliers!$F$6,"High",""))</f>
        <v/>
      </c>
      <c r="J197" s="6" t="str">
        <f aca="false">IF(B197&lt;Outliers!$E$7,"Low",IF(B197&gt;Outliers!$F$7,"High",""))</f>
        <v/>
      </c>
      <c r="K197" s="6" t="str">
        <f aca="false">IF(C197&lt;Outliers!$E$8,"Low",IF(C197&gt;Outliers!$F$8,"High",""))</f>
        <v/>
      </c>
      <c r="L197" s="6" t="str">
        <f aca="false">A197&amp;";"&amp;B197&amp;";"&amp;C197</f>
        <v>18.92851916;82.34162918;14.2047330683183</v>
      </c>
      <c r="M197" s="6" t="n">
        <f aca="false">IF(COUNTIF($L$2:$L$2201,L197)&gt;1,1,0)</f>
        <v>0</v>
      </c>
      <c r="N197" s="6" t="str">
        <f aca="false">IF(AND(C197&lt;Assumptions!$B$9,B197&lt;Assumptions!$B$10),"Irrigate Now",IF(AND(C197&gt;=Assumptions!$B$11,B197&gt;=Assumptions!$B$12),"No Irrigation Needed","Monitor"))</f>
        <v>Irrigate Now</v>
      </c>
      <c r="O197" s="6" t="n">
        <f aca="false">IF(N197=G197,1,0)</f>
        <v>1</v>
      </c>
    </row>
    <row r="198" customFormat="false" ht="15" hidden="false" customHeight="false" outlineLevel="0" collapsed="false">
      <c r="A198" s="16" t="n">
        <v>23.30546753</v>
      </c>
      <c r="B198" s="16" t="n">
        <v>108.7603001</v>
      </c>
      <c r="C198" s="16" t="n">
        <v>14.6441226120687</v>
      </c>
      <c r="D198" s="6" t="s">
        <v>57</v>
      </c>
      <c r="E198" s="6" t="s">
        <v>57</v>
      </c>
      <c r="F198" s="6" t="s">
        <v>24</v>
      </c>
      <c r="G198" s="6" t="s">
        <v>61</v>
      </c>
      <c r="H198" s="6" t="s">
        <v>63</v>
      </c>
      <c r="I198" s="6" t="str">
        <f aca="false">IF(A198&lt;Outliers!$E$6,"Low",IF(A198&gt;Outliers!$F$6,"High",""))</f>
        <v/>
      </c>
      <c r="J198" s="6" t="str">
        <f aca="false">IF(B198&lt;Outliers!$E$7,"Low",IF(B198&gt;Outliers!$F$7,"High",""))</f>
        <v/>
      </c>
      <c r="K198" s="6" t="str">
        <f aca="false">IF(C198&lt;Outliers!$E$8,"Low",IF(C198&gt;Outliers!$F$8,"High",""))</f>
        <v/>
      </c>
      <c r="L198" s="6" t="str">
        <f aca="false">A198&amp;";"&amp;B198&amp;";"&amp;C198</f>
        <v>23.30546753;108.7603001;14.6441226120687</v>
      </c>
      <c r="M198" s="6" t="n">
        <f aca="false">IF(COUNTIF($L$2:$L$2201,L198)&gt;1,1,0)</f>
        <v>0</v>
      </c>
      <c r="N198" s="6" t="str">
        <f aca="false">IF(AND(C198&lt;Assumptions!$B$9,B198&lt;Assumptions!$B$10),"Irrigate Now",IF(AND(C198&gt;=Assumptions!$B$11,B198&gt;=Assumptions!$B$12),"No Irrigation Needed","Monitor"))</f>
        <v>Monitor</v>
      </c>
      <c r="O198" s="6" t="n">
        <f aca="false">IF(N198=G198,1,0)</f>
        <v>1</v>
      </c>
    </row>
    <row r="199" customFormat="false" ht="15" hidden="false" customHeight="false" outlineLevel="0" collapsed="false">
      <c r="A199" s="16" t="n">
        <v>18.74826712</v>
      </c>
      <c r="B199" s="16" t="n">
        <v>70.23401597</v>
      </c>
      <c r="C199" s="16" t="n">
        <v>27.4433282770903</v>
      </c>
      <c r="D199" s="6" t="s">
        <v>66</v>
      </c>
      <c r="E199" s="6" t="s">
        <v>57</v>
      </c>
      <c r="F199" s="6" t="s">
        <v>23</v>
      </c>
      <c r="G199" s="6" t="s">
        <v>61</v>
      </c>
      <c r="H199" s="6" t="s">
        <v>63</v>
      </c>
      <c r="I199" s="6" t="str">
        <f aca="false">IF(A199&lt;Outliers!$E$6,"Low",IF(A199&gt;Outliers!$F$6,"High",""))</f>
        <v/>
      </c>
      <c r="J199" s="6" t="str">
        <f aca="false">IF(B199&lt;Outliers!$E$7,"Low",IF(B199&gt;Outliers!$F$7,"High",""))</f>
        <v/>
      </c>
      <c r="K199" s="6" t="str">
        <f aca="false">IF(C199&lt;Outliers!$E$8,"Low",IF(C199&gt;Outliers!$F$8,"High",""))</f>
        <v/>
      </c>
      <c r="L199" s="6" t="str">
        <f aca="false">A199&amp;";"&amp;B199&amp;";"&amp;C199</f>
        <v>18.74826712;70.23401597;27.4433282770903</v>
      </c>
      <c r="M199" s="6" t="n">
        <f aca="false">IF(COUNTIF($L$2:$L$2201,L199)&gt;1,1,0)</f>
        <v>0</v>
      </c>
      <c r="N199" s="6" t="str">
        <f aca="false">IF(AND(C199&lt;Assumptions!$B$9,B199&lt;Assumptions!$B$10),"Irrigate Now",IF(AND(C199&gt;=Assumptions!$B$11,B199&gt;=Assumptions!$B$12),"No Irrigation Needed","Monitor"))</f>
        <v>Monitor</v>
      </c>
      <c r="O199" s="6" t="n">
        <f aca="false">IF(N199=G199,1,0)</f>
        <v>1</v>
      </c>
    </row>
    <row r="200" customFormat="false" ht="15" hidden="false" customHeight="false" outlineLevel="0" collapsed="false">
      <c r="A200" s="16" t="n">
        <v>19.74213321</v>
      </c>
      <c r="B200" s="16" t="n">
        <v>65.50861389</v>
      </c>
      <c r="C200" s="16" t="n">
        <v>23.8775058427726</v>
      </c>
      <c r="D200" s="6" t="s">
        <v>66</v>
      </c>
      <c r="E200" s="6" t="s">
        <v>57</v>
      </c>
      <c r="F200" s="6" t="s">
        <v>60</v>
      </c>
      <c r="G200" s="6" t="s">
        <v>61</v>
      </c>
      <c r="H200" s="6" t="s">
        <v>63</v>
      </c>
      <c r="I200" s="6" t="str">
        <f aca="false">IF(A200&lt;Outliers!$E$6,"Low",IF(A200&gt;Outliers!$F$6,"High",""))</f>
        <v/>
      </c>
      <c r="J200" s="6" t="str">
        <f aca="false">IF(B200&lt;Outliers!$E$7,"Low",IF(B200&gt;Outliers!$F$7,"High",""))</f>
        <v/>
      </c>
      <c r="K200" s="6" t="str">
        <f aca="false">IF(C200&lt;Outliers!$E$8,"Low",IF(C200&gt;Outliers!$F$8,"High",""))</f>
        <v/>
      </c>
      <c r="L200" s="6" t="str">
        <f aca="false">A200&amp;";"&amp;B200&amp;";"&amp;C200</f>
        <v>19.74213321;65.50861389;23.8775058427726</v>
      </c>
      <c r="M200" s="6" t="n">
        <f aca="false">IF(COUNTIF($L$2:$L$2201,L200)&gt;1,1,0)</f>
        <v>0</v>
      </c>
      <c r="N200" s="6" t="str">
        <f aca="false">IF(AND(C200&lt;Assumptions!$B$9,B200&lt;Assumptions!$B$10),"Irrigate Now",IF(AND(C200&gt;=Assumptions!$B$11,B200&gt;=Assumptions!$B$12),"No Irrigation Needed","Monitor"))</f>
        <v>Monitor</v>
      </c>
      <c r="O200" s="6" t="n">
        <f aca="false">IF(N200=G200,1,0)</f>
        <v>1</v>
      </c>
    </row>
    <row r="201" customFormat="false" ht="15" hidden="false" customHeight="false" outlineLevel="0" collapsed="false">
      <c r="A201" s="16" t="n">
        <v>25.73044432</v>
      </c>
      <c r="B201" s="16" t="n">
        <v>98.73771338</v>
      </c>
      <c r="C201" s="16" t="n">
        <v>11.3185001633381</v>
      </c>
      <c r="D201" s="6" t="s">
        <v>57</v>
      </c>
      <c r="E201" s="6" t="s">
        <v>57</v>
      </c>
      <c r="F201" s="6" t="s">
        <v>24</v>
      </c>
      <c r="G201" s="6" t="s">
        <v>64</v>
      </c>
      <c r="H201" s="6" t="s">
        <v>65</v>
      </c>
      <c r="I201" s="6" t="str">
        <f aca="false">IF(A201&lt;Outliers!$E$6,"Low",IF(A201&gt;Outliers!$F$6,"High",""))</f>
        <v/>
      </c>
      <c r="J201" s="6" t="str">
        <f aca="false">IF(B201&lt;Outliers!$E$7,"Low",IF(B201&gt;Outliers!$F$7,"High",""))</f>
        <v/>
      </c>
      <c r="K201" s="6" t="str">
        <f aca="false">IF(C201&lt;Outliers!$E$8,"Low",IF(C201&gt;Outliers!$F$8,"High",""))</f>
        <v/>
      </c>
      <c r="L201" s="6" t="str">
        <f aca="false">A201&amp;";"&amp;B201&amp;";"&amp;C201</f>
        <v>25.73044432;98.73771338;11.3185001633381</v>
      </c>
      <c r="M201" s="6" t="n">
        <f aca="false">IF(COUNTIF($L$2:$L$2201,L201)&gt;1,1,0)</f>
        <v>0</v>
      </c>
      <c r="N201" s="6" t="str">
        <f aca="false">IF(AND(C201&lt;Assumptions!$B$9,B201&lt;Assumptions!$B$10),"Irrigate Now",IF(AND(C201&gt;=Assumptions!$B$11,B201&gt;=Assumptions!$B$12),"No Irrigation Needed","Monitor"))</f>
        <v>Irrigate Now</v>
      </c>
      <c r="O201" s="6" t="n">
        <f aca="false">IF(N201=G201,1,0)</f>
        <v>1</v>
      </c>
    </row>
    <row r="202" customFormat="false" ht="15" hidden="false" customHeight="false" outlineLevel="0" collapsed="false">
      <c r="A202" s="16" t="n">
        <v>17.02498456</v>
      </c>
      <c r="B202" s="16" t="n">
        <v>88.55123143</v>
      </c>
      <c r="C202" s="16" t="n">
        <v>17.8837696471786</v>
      </c>
      <c r="D202" s="6" t="s">
        <v>66</v>
      </c>
      <c r="E202" s="6" t="s">
        <v>57</v>
      </c>
      <c r="F202" s="6" t="s">
        <v>60</v>
      </c>
      <c r="G202" s="6" t="s">
        <v>64</v>
      </c>
      <c r="H202" s="6" t="s">
        <v>65</v>
      </c>
      <c r="I202" s="6" t="str">
        <f aca="false">IF(A202&lt;Outliers!$E$6,"Low",IF(A202&gt;Outliers!$F$6,"High",""))</f>
        <v/>
      </c>
      <c r="J202" s="6" t="str">
        <f aca="false">IF(B202&lt;Outliers!$E$7,"Low",IF(B202&gt;Outliers!$F$7,"High",""))</f>
        <v/>
      </c>
      <c r="K202" s="6" t="str">
        <f aca="false">IF(C202&lt;Outliers!$E$8,"Low",IF(C202&gt;Outliers!$F$8,"High",""))</f>
        <v/>
      </c>
      <c r="L202" s="6" t="str">
        <f aca="false">A202&amp;";"&amp;B202&amp;";"&amp;C202</f>
        <v>17.02498456;88.55123143;17.8837696471786</v>
      </c>
      <c r="M202" s="6" t="n">
        <f aca="false">IF(COUNTIF($L$2:$L$2201,L202)&gt;1,1,0)</f>
        <v>0</v>
      </c>
      <c r="N202" s="6" t="str">
        <f aca="false">IF(AND(C202&lt;Assumptions!$B$9,B202&lt;Assumptions!$B$10),"Irrigate Now",IF(AND(C202&gt;=Assumptions!$B$11,B202&gt;=Assumptions!$B$12),"No Irrigation Needed","Monitor"))</f>
        <v>Irrigate Now</v>
      </c>
      <c r="O202" s="6" t="n">
        <f aca="false">IF(N202=G202,1,0)</f>
        <v>1</v>
      </c>
    </row>
    <row r="203" customFormat="false" ht="15" hidden="false" customHeight="false" outlineLevel="0" collapsed="false">
      <c r="A203" s="16" t="n">
        <v>19.02061277</v>
      </c>
      <c r="B203" s="16" t="n">
        <v>79.92698081</v>
      </c>
      <c r="C203" s="16" t="n">
        <v>27.0550931787805</v>
      </c>
      <c r="D203" s="6" t="s">
        <v>66</v>
      </c>
      <c r="E203" s="6" t="s">
        <v>57</v>
      </c>
      <c r="F203" s="6" t="s">
        <v>23</v>
      </c>
      <c r="G203" s="6" t="s">
        <v>61</v>
      </c>
      <c r="H203" s="6" t="s">
        <v>63</v>
      </c>
      <c r="I203" s="6" t="str">
        <f aca="false">IF(A203&lt;Outliers!$E$6,"Low",IF(A203&gt;Outliers!$F$6,"High",""))</f>
        <v/>
      </c>
      <c r="J203" s="6" t="str">
        <f aca="false">IF(B203&lt;Outliers!$E$7,"Low",IF(B203&gt;Outliers!$F$7,"High",""))</f>
        <v/>
      </c>
      <c r="K203" s="6" t="str">
        <f aca="false">IF(C203&lt;Outliers!$E$8,"Low",IF(C203&gt;Outliers!$F$8,"High",""))</f>
        <v/>
      </c>
      <c r="L203" s="6" t="str">
        <f aca="false">A203&amp;";"&amp;B203&amp;";"&amp;C203</f>
        <v>19.02061277;79.92698081;27.0550931787805</v>
      </c>
      <c r="M203" s="6" t="n">
        <f aca="false">IF(COUNTIF($L$2:$L$2201,L203)&gt;1,1,0)</f>
        <v>0</v>
      </c>
      <c r="N203" s="6" t="str">
        <f aca="false">IF(AND(C203&lt;Assumptions!$B$9,B203&lt;Assumptions!$B$10),"Irrigate Now",IF(AND(C203&gt;=Assumptions!$B$11,B203&gt;=Assumptions!$B$12),"No Irrigation Needed","Monitor"))</f>
        <v>Monitor</v>
      </c>
      <c r="O203" s="6" t="n">
        <f aca="false">IF(N203=G203,1,0)</f>
        <v>1</v>
      </c>
    </row>
    <row r="204" customFormat="false" ht="15" hidden="false" customHeight="false" outlineLevel="0" collapsed="false">
      <c r="A204" s="16" t="n">
        <v>17.88776475</v>
      </c>
      <c r="B204" s="16" t="n">
        <v>68.54932919</v>
      </c>
      <c r="C204" s="16" t="n">
        <v>10.3332805001592</v>
      </c>
      <c r="D204" s="6" t="s">
        <v>66</v>
      </c>
      <c r="E204" s="6" t="s">
        <v>57</v>
      </c>
      <c r="F204" s="6" t="s">
        <v>24</v>
      </c>
      <c r="G204" s="6" t="s">
        <v>64</v>
      </c>
      <c r="H204" s="6" t="s">
        <v>65</v>
      </c>
      <c r="I204" s="6" t="str">
        <f aca="false">IF(A204&lt;Outliers!$E$6,"Low",IF(A204&gt;Outliers!$F$6,"High",""))</f>
        <v/>
      </c>
      <c r="J204" s="6" t="str">
        <f aca="false">IF(B204&lt;Outliers!$E$7,"Low",IF(B204&gt;Outliers!$F$7,"High",""))</f>
        <v/>
      </c>
      <c r="K204" s="6" t="str">
        <f aca="false">IF(C204&lt;Outliers!$E$8,"Low",IF(C204&gt;Outliers!$F$8,"High",""))</f>
        <v/>
      </c>
      <c r="L204" s="6" t="str">
        <f aca="false">A204&amp;";"&amp;B204&amp;";"&amp;C204</f>
        <v>17.88776475;68.54932919;10.3332805001592</v>
      </c>
      <c r="M204" s="6" t="n">
        <f aca="false">IF(COUNTIF($L$2:$L$2201,L204)&gt;1,1,0)</f>
        <v>0</v>
      </c>
      <c r="N204" s="6" t="str">
        <f aca="false">IF(AND(C204&lt;Assumptions!$B$9,B204&lt;Assumptions!$B$10),"Irrigate Now",IF(AND(C204&gt;=Assumptions!$B$11,B204&gt;=Assumptions!$B$12),"No Irrigation Needed","Monitor"))</f>
        <v>Irrigate Now</v>
      </c>
      <c r="O204" s="6" t="n">
        <f aca="false">IF(N204=G204,1,0)</f>
        <v>1</v>
      </c>
    </row>
    <row r="205" customFormat="false" ht="15" hidden="false" customHeight="false" outlineLevel="0" collapsed="false">
      <c r="A205" s="16" t="n">
        <v>18.86805647</v>
      </c>
      <c r="B205" s="16" t="n">
        <v>88.51048983</v>
      </c>
      <c r="C205" s="16" t="n">
        <v>19.1871695788274</v>
      </c>
      <c r="D205" s="6" t="s">
        <v>66</v>
      </c>
      <c r="E205" s="6" t="s">
        <v>57</v>
      </c>
      <c r="F205" s="6" t="s">
        <v>60</v>
      </c>
      <c r="G205" s="6" t="s">
        <v>61</v>
      </c>
      <c r="H205" s="6" t="s">
        <v>63</v>
      </c>
      <c r="I205" s="6" t="str">
        <f aca="false">IF(A205&lt;Outliers!$E$6,"Low",IF(A205&gt;Outliers!$F$6,"High",""))</f>
        <v/>
      </c>
      <c r="J205" s="6" t="str">
        <f aca="false">IF(B205&lt;Outliers!$E$7,"Low",IF(B205&gt;Outliers!$F$7,"High",""))</f>
        <v/>
      </c>
      <c r="K205" s="6" t="str">
        <f aca="false">IF(C205&lt;Outliers!$E$8,"Low",IF(C205&gt;Outliers!$F$8,"High",""))</f>
        <v/>
      </c>
      <c r="L205" s="6" t="str">
        <f aca="false">A205&amp;";"&amp;B205&amp;";"&amp;C205</f>
        <v>18.86805647;88.51048983;19.1871695788274</v>
      </c>
      <c r="M205" s="6" t="n">
        <f aca="false">IF(COUNTIF($L$2:$L$2201,L205)&gt;1,1,0)</f>
        <v>0</v>
      </c>
      <c r="N205" s="6" t="str">
        <f aca="false">IF(AND(C205&lt;Assumptions!$B$9,B205&lt;Assumptions!$B$10),"Irrigate Now",IF(AND(C205&gt;=Assumptions!$B$11,B205&gt;=Assumptions!$B$12),"No Irrigation Needed","Monitor"))</f>
        <v>Monitor</v>
      </c>
      <c r="O205" s="6" t="n">
        <f aca="false">IF(N205=G205,1,0)</f>
        <v>1</v>
      </c>
    </row>
    <row r="206" customFormat="false" ht="15" hidden="false" customHeight="false" outlineLevel="0" collapsed="false">
      <c r="A206" s="16" t="n">
        <v>18.36952567</v>
      </c>
      <c r="B206" s="16" t="n">
        <v>79.26357665</v>
      </c>
      <c r="C206" s="16" t="n">
        <v>17.3983242814447</v>
      </c>
      <c r="D206" s="6" t="s">
        <v>66</v>
      </c>
      <c r="E206" s="6" t="s">
        <v>57</v>
      </c>
      <c r="F206" s="6" t="s">
        <v>24</v>
      </c>
      <c r="G206" s="6" t="s">
        <v>64</v>
      </c>
      <c r="H206" s="6" t="s">
        <v>65</v>
      </c>
      <c r="I206" s="6" t="str">
        <f aca="false">IF(A206&lt;Outliers!$E$6,"Low",IF(A206&gt;Outliers!$F$6,"High",""))</f>
        <v/>
      </c>
      <c r="J206" s="6" t="str">
        <f aca="false">IF(B206&lt;Outliers!$E$7,"Low",IF(B206&gt;Outliers!$F$7,"High",""))</f>
        <v/>
      </c>
      <c r="K206" s="6" t="str">
        <f aca="false">IF(C206&lt;Outliers!$E$8,"Low",IF(C206&gt;Outliers!$F$8,"High",""))</f>
        <v/>
      </c>
      <c r="L206" s="6" t="str">
        <f aca="false">A206&amp;";"&amp;B206&amp;";"&amp;C206</f>
        <v>18.36952567;79.26357665;17.3983242814447</v>
      </c>
      <c r="M206" s="6" t="n">
        <f aca="false">IF(COUNTIF($L$2:$L$2201,L206)&gt;1,1,0)</f>
        <v>0</v>
      </c>
      <c r="N206" s="6" t="str">
        <f aca="false">IF(AND(C206&lt;Assumptions!$B$9,B206&lt;Assumptions!$B$10),"Irrigate Now",IF(AND(C206&gt;=Assumptions!$B$11,B206&gt;=Assumptions!$B$12),"No Irrigation Needed","Monitor"))</f>
        <v>Irrigate Now</v>
      </c>
      <c r="O206" s="6" t="n">
        <f aca="false">IF(N206=G206,1,0)</f>
        <v>1</v>
      </c>
    </row>
    <row r="207" customFormat="false" ht="15" hidden="false" customHeight="false" outlineLevel="0" collapsed="false">
      <c r="A207" s="16" t="n">
        <v>20.45078582</v>
      </c>
      <c r="B207" s="16" t="n">
        <v>92.68373702</v>
      </c>
      <c r="C207" s="16" t="n">
        <v>17.3910545961985</v>
      </c>
      <c r="D207" s="6" t="s">
        <v>57</v>
      </c>
      <c r="E207" s="6" t="s">
        <v>57</v>
      </c>
      <c r="F207" s="6" t="s">
        <v>60</v>
      </c>
      <c r="G207" s="6" t="s">
        <v>64</v>
      </c>
      <c r="H207" s="6" t="s">
        <v>65</v>
      </c>
      <c r="I207" s="6" t="str">
        <f aca="false">IF(A207&lt;Outliers!$E$6,"Low",IF(A207&gt;Outliers!$F$6,"High",""))</f>
        <v/>
      </c>
      <c r="J207" s="6" t="str">
        <f aca="false">IF(B207&lt;Outliers!$E$7,"Low",IF(B207&gt;Outliers!$F$7,"High",""))</f>
        <v/>
      </c>
      <c r="K207" s="6" t="str">
        <f aca="false">IF(C207&lt;Outliers!$E$8,"Low",IF(C207&gt;Outliers!$F$8,"High",""))</f>
        <v/>
      </c>
      <c r="L207" s="6" t="str">
        <f aca="false">A207&amp;";"&amp;B207&amp;";"&amp;C207</f>
        <v>20.45078582;92.68373702;17.3910545961985</v>
      </c>
      <c r="M207" s="6" t="n">
        <f aca="false">IF(COUNTIF($L$2:$L$2201,L207)&gt;1,1,0)</f>
        <v>0</v>
      </c>
      <c r="N207" s="6" t="str">
        <f aca="false">IF(AND(C207&lt;Assumptions!$B$9,B207&lt;Assumptions!$B$10),"Irrigate Now",IF(AND(C207&gt;=Assumptions!$B$11,B207&gt;=Assumptions!$B$12),"No Irrigation Needed","Monitor"))</f>
        <v>Irrigate Now</v>
      </c>
      <c r="O207" s="6" t="n">
        <f aca="false">IF(N207=G207,1,0)</f>
        <v>1</v>
      </c>
    </row>
    <row r="208" customFormat="false" ht="15" hidden="false" customHeight="false" outlineLevel="0" collapsed="false">
      <c r="A208" s="16" t="n">
        <v>20.6543203</v>
      </c>
      <c r="B208" s="16" t="n">
        <v>74.6631118</v>
      </c>
      <c r="C208" s="16" t="n">
        <v>11.8644993452039</v>
      </c>
      <c r="D208" s="6" t="s">
        <v>57</v>
      </c>
      <c r="E208" s="6" t="s">
        <v>57</v>
      </c>
      <c r="F208" s="6" t="s">
        <v>24</v>
      </c>
      <c r="G208" s="6" t="s">
        <v>64</v>
      </c>
      <c r="H208" s="6" t="s">
        <v>65</v>
      </c>
      <c r="I208" s="6" t="str">
        <f aca="false">IF(A208&lt;Outliers!$E$6,"Low",IF(A208&gt;Outliers!$F$6,"High",""))</f>
        <v/>
      </c>
      <c r="J208" s="6" t="str">
        <f aca="false">IF(B208&lt;Outliers!$E$7,"Low",IF(B208&gt;Outliers!$F$7,"High",""))</f>
        <v/>
      </c>
      <c r="K208" s="6" t="str">
        <f aca="false">IF(C208&lt;Outliers!$E$8,"Low",IF(C208&gt;Outliers!$F$8,"High",""))</f>
        <v/>
      </c>
      <c r="L208" s="6" t="str">
        <f aca="false">A208&amp;";"&amp;B208&amp;";"&amp;C208</f>
        <v>20.6543203;74.6631118;11.8644993452039</v>
      </c>
      <c r="M208" s="6" t="n">
        <f aca="false">IF(COUNTIF($L$2:$L$2201,L208)&gt;1,1,0)</f>
        <v>0</v>
      </c>
      <c r="N208" s="6" t="str">
        <f aca="false">IF(AND(C208&lt;Assumptions!$B$9,B208&lt;Assumptions!$B$10),"Irrigate Now",IF(AND(C208&gt;=Assumptions!$B$11,B208&gt;=Assumptions!$B$12),"No Irrigation Needed","Monitor"))</f>
        <v>Irrigate Now</v>
      </c>
      <c r="O208" s="6" t="n">
        <f aca="false">IF(N208=G208,1,0)</f>
        <v>1</v>
      </c>
    </row>
    <row r="209" customFormat="false" ht="15" hidden="false" customHeight="false" outlineLevel="0" collapsed="false">
      <c r="A209" s="16" t="n">
        <v>17.3348681</v>
      </c>
      <c r="B209" s="16" t="n">
        <v>82.61734721</v>
      </c>
      <c r="C209" s="16" t="n">
        <v>20.8052069471032</v>
      </c>
      <c r="D209" s="6" t="s">
        <v>66</v>
      </c>
      <c r="E209" s="6" t="s">
        <v>57</v>
      </c>
      <c r="F209" s="6" t="s">
        <v>60</v>
      </c>
      <c r="G209" s="6" t="s">
        <v>61</v>
      </c>
      <c r="H209" s="6" t="s">
        <v>63</v>
      </c>
      <c r="I209" s="6" t="str">
        <f aca="false">IF(A209&lt;Outliers!$E$6,"Low",IF(A209&gt;Outliers!$F$6,"High",""))</f>
        <v/>
      </c>
      <c r="J209" s="6" t="str">
        <f aca="false">IF(B209&lt;Outliers!$E$7,"Low",IF(B209&gt;Outliers!$F$7,"High",""))</f>
        <v/>
      </c>
      <c r="K209" s="6" t="str">
        <f aca="false">IF(C209&lt;Outliers!$E$8,"Low",IF(C209&gt;Outliers!$F$8,"High",""))</f>
        <v/>
      </c>
      <c r="L209" s="6" t="str">
        <f aca="false">A209&amp;";"&amp;B209&amp;";"&amp;C209</f>
        <v>17.3348681;82.61734721;20.8052069471032</v>
      </c>
      <c r="M209" s="6" t="n">
        <f aca="false">IF(COUNTIF($L$2:$L$2201,L209)&gt;1,1,0)</f>
        <v>0</v>
      </c>
      <c r="N209" s="6" t="str">
        <f aca="false">IF(AND(C209&lt;Assumptions!$B$9,B209&lt;Assumptions!$B$10),"Irrigate Now",IF(AND(C209&gt;=Assumptions!$B$11,B209&gt;=Assumptions!$B$12),"No Irrigation Needed","Monitor"))</f>
        <v>Monitor</v>
      </c>
      <c r="O209" s="6" t="n">
        <f aca="false">IF(N209=G209,1,0)</f>
        <v>1</v>
      </c>
    </row>
    <row r="210" customFormat="false" ht="15" hidden="false" customHeight="false" outlineLevel="0" collapsed="false">
      <c r="A210" s="16" t="n">
        <v>18.17912258</v>
      </c>
      <c r="B210" s="16" t="n">
        <v>81.84997529</v>
      </c>
      <c r="C210" s="16" t="n">
        <v>16.8559898349908</v>
      </c>
      <c r="D210" s="6" t="s">
        <v>66</v>
      </c>
      <c r="E210" s="6" t="s">
        <v>57</v>
      </c>
      <c r="F210" s="6" t="s">
        <v>24</v>
      </c>
      <c r="G210" s="6" t="s">
        <v>64</v>
      </c>
      <c r="H210" s="6" t="s">
        <v>65</v>
      </c>
      <c r="I210" s="6" t="str">
        <f aca="false">IF(A210&lt;Outliers!$E$6,"Low",IF(A210&gt;Outliers!$F$6,"High",""))</f>
        <v/>
      </c>
      <c r="J210" s="6" t="str">
        <f aca="false">IF(B210&lt;Outliers!$E$7,"Low",IF(B210&gt;Outliers!$F$7,"High",""))</f>
        <v/>
      </c>
      <c r="K210" s="6" t="str">
        <f aca="false">IF(C210&lt;Outliers!$E$8,"Low",IF(C210&gt;Outliers!$F$8,"High",""))</f>
        <v/>
      </c>
      <c r="L210" s="6" t="str">
        <f aca="false">A210&amp;";"&amp;B210&amp;";"&amp;C210</f>
        <v>18.17912258;81.84997529;16.8559898349908</v>
      </c>
      <c r="M210" s="6" t="n">
        <f aca="false">IF(COUNTIF($L$2:$L$2201,L210)&gt;1,1,0)</f>
        <v>0</v>
      </c>
      <c r="N210" s="6" t="str">
        <f aca="false">IF(AND(C210&lt;Assumptions!$B$9,B210&lt;Assumptions!$B$10),"Irrigate Now",IF(AND(C210&gt;=Assumptions!$B$11,B210&gt;=Assumptions!$B$12),"No Irrigation Needed","Monitor"))</f>
        <v>Irrigate Now</v>
      </c>
      <c r="O210" s="6" t="n">
        <f aca="false">IF(N210=G210,1,0)</f>
        <v>1</v>
      </c>
    </row>
    <row r="211" customFormat="false" ht="15" hidden="false" customHeight="false" outlineLevel="0" collapsed="false">
      <c r="A211" s="16" t="n">
        <v>18.01272266</v>
      </c>
      <c r="B211" s="16" t="n">
        <v>81.98568791</v>
      </c>
      <c r="C211" s="16" t="n">
        <v>28.1945345501993</v>
      </c>
      <c r="D211" s="6" t="s">
        <v>66</v>
      </c>
      <c r="E211" s="6" t="s">
        <v>57</v>
      </c>
      <c r="F211" s="6" t="s">
        <v>23</v>
      </c>
      <c r="G211" s="6" t="s">
        <v>61</v>
      </c>
      <c r="H211" s="6" t="s">
        <v>63</v>
      </c>
      <c r="I211" s="6" t="str">
        <f aca="false">IF(A211&lt;Outliers!$E$6,"Low",IF(A211&gt;Outliers!$F$6,"High",""))</f>
        <v/>
      </c>
      <c r="J211" s="6" t="str">
        <f aca="false">IF(B211&lt;Outliers!$E$7,"Low",IF(B211&gt;Outliers!$F$7,"High",""))</f>
        <v/>
      </c>
      <c r="K211" s="6" t="str">
        <f aca="false">IF(C211&lt;Outliers!$E$8,"Low",IF(C211&gt;Outliers!$F$8,"High",""))</f>
        <v/>
      </c>
      <c r="L211" s="6" t="str">
        <f aca="false">A211&amp;";"&amp;B211&amp;";"&amp;C211</f>
        <v>18.01272266;81.98568791;28.1945345501993</v>
      </c>
      <c r="M211" s="6" t="n">
        <f aca="false">IF(COUNTIF($L$2:$L$2201,L211)&gt;1,1,0)</f>
        <v>0</v>
      </c>
      <c r="N211" s="6" t="str">
        <f aca="false">IF(AND(C211&lt;Assumptions!$B$9,B211&lt;Assumptions!$B$10),"Irrigate Now",IF(AND(C211&gt;=Assumptions!$B$11,B211&gt;=Assumptions!$B$12),"No Irrigation Needed","Monitor"))</f>
        <v>Monitor</v>
      </c>
      <c r="O211" s="6" t="n">
        <f aca="false">IF(N211=G211,1,0)</f>
        <v>1</v>
      </c>
    </row>
    <row r="212" customFormat="false" ht="15" hidden="false" customHeight="false" outlineLevel="0" collapsed="false">
      <c r="A212" s="16" t="n">
        <v>20.99373558</v>
      </c>
      <c r="B212" s="16" t="n">
        <v>93.55280105</v>
      </c>
      <c r="C212" s="16" t="n">
        <v>16.3773149904485</v>
      </c>
      <c r="D212" s="6" t="s">
        <v>57</v>
      </c>
      <c r="E212" s="6" t="s">
        <v>57</v>
      </c>
      <c r="F212" s="6" t="s">
        <v>24</v>
      </c>
      <c r="G212" s="6" t="s">
        <v>64</v>
      </c>
      <c r="H212" s="6" t="s">
        <v>65</v>
      </c>
      <c r="I212" s="6" t="str">
        <f aca="false">IF(A212&lt;Outliers!$E$6,"Low",IF(A212&gt;Outliers!$F$6,"High",""))</f>
        <v/>
      </c>
      <c r="J212" s="6" t="str">
        <f aca="false">IF(B212&lt;Outliers!$E$7,"Low",IF(B212&gt;Outliers!$F$7,"High",""))</f>
        <v/>
      </c>
      <c r="K212" s="6" t="str">
        <f aca="false">IF(C212&lt;Outliers!$E$8,"Low",IF(C212&gt;Outliers!$F$8,"High",""))</f>
        <v/>
      </c>
      <c r="L212" s="6" t="str">
        <f aca="false">A212&amp;";"&amp;B212&amp;";"&amp;C212</f>
        <v>20.99373558;93.55280105;16.3773149904485</v>
      </c>
      <c r="M212" s="6" t="n">
        <f aca="false">IF(COUNTIF($L$2:$L$2201,L212)&gt;1,1,0)</f>
        <v>0</v>
      </c>
      <c r="N212" s="6" t="str">
        <f aca="false">IF(AND(C212&lt;Assumptions!$B$9,B212&lt;Assumptions!$B$10),"Irrigate Now",IF(AND(C212&gt;=Assumptions!$B$11,B212&gt;=Assumptions!$B$12),"No Irrigation Needed","Monitor"))</f>
        <v>Irrigate Now</v>
      </c>
      <c r="O212" s="6" t="n">
        <f aca="false">IF(N212=G212,1,0)</f>
        <v>1</v>
      </c>
    </row>
    <row r="213" customFormat="false" ht="15" hidden="false" customHeight="false" outlineLevel="0" collapsed="false">
      <c r="A213" s="16" t="n">
        <v>19.46233971</v>
      </c>
      <c r="B213" s="16" t="n">
        <v>74.58565097</v>
      </c>
      <c r="C213" s="16" t="n">
        <v>18.6490055520342</v>
      </c>
      <c r="D213" s="6" t="s">
        <v>66</v>
      </c>
      <c r="E213" s="6" t="s">
        <v>57</v>
      </c>
      <c r="F213" s="6" t="s">
        <v>60</v>
      </c>
      <c r="G213" s="6" t="s">
        <v>61</v>
      </c>
      <c r="H213" s="6" t="s">
        <v>63</v>
      </c>
      <c r="I213" s="6" t="str">
        <f aca="false">IF(A213&lt;Outliers!$E$6,"Low",IF(A213&gt;Outliers!$F$6,"High",""))</f>
        <v/>
      </c>
      <c r="J213" s="6" t="str">
        <f aca="false">IF(B213&lt;Outliers!$E$7,"Low",IF(B213&gt;Outliers!$F$7,"High",""))</f>
        <v/>
      </c>
      <c r="K213" s="6" t="str">
        <f aca="false">IF(C213&lt;Outliers!$E$8,"Low",IF(C213&gt;Outliers!$F$8,"High",""))</f>
        <v/>
      </c>
      <c r="L213" s="6" t="str">
        <f aca="false">A213&amp;";"&amp;B213&amp;";"&amp;C213</f>
        <v>19.46233971;74.58565097;18.6490055520342</v>
      </c>
      <c r="M213" s="6" t="n">
        <f aca="false">IF(COUNTIF($L$2:$L$2201,L213)&gt;1,1,0)</f>
        <v>0</v>
      </c>
      <c r="N213" s="6" t="str">
        <f aca="false">IF(AND(C213&lt;Assumptions!$B$9,B213&lt;Assumptions!$B$10),"Irrigate Now",IF(AND(C213&gt;=Assumptions!$B$11,B213&gt;=Assumptions!$B$12),"No Irrigation Needed","Monitor"))</f>
        <v>Monitor</v>
      </c>
      <c r="O213" s="6" t="n">
        <f aca="false">IF(N213=G213,1,0)</f>
        <v>1</v>
      </c>
    </row>
    <row r="214" customFormat="false" ht="15" hidden="false" customHeight="false" outlineLevel="0" collapsed="false">
      <c r="A214" s="16" t="n">
        <v>19.81344531</v>
      </c>
      <c r="B214" s="16" t="n">
        <v>78.96514709</v>
      </c>
      <c r="C214" s="16" t="n">
        <v>16.2265740443043</v>
      </c>
      <c r="D214" s="6" t="s">
        <v>66</v>
      </c>
      <c r="E214" s="6" t="s">
        <v>57</v>
      </c>
      <c r="F214" s="6" t="s">
        <v>24</v>
      </c>
      <c r="G214" s="6" t="s">
        <v>64</v>
      </c>
      <c r="H214" s="6" t="s">
        <v>65</v>
      </c>
      <c r="I214" s="6" t="str">
        <f aca="false">IF(A214&lt;Outliers!$E$6,"Low",IF(A214&gt;Outliers!$F$6,"High",""))</f>
        <v/>
      </c>
      <c r="J214" s="6" t="str">
        <f aca="false">IF(B214&lt;Outliers!$E$7,"Low",IF(B214&gt;Outliers!$F$7,"High",""))</f>
        <v/>
      </c>
      <c r="K214" s="6" t="str">
        <f aca="false">IF(C214&lt;Outliers!$E$8,"Low",IF(C214&gt;Outliers!$F$8,"High",""))</f>
        <v/>
      </c>
      <c r="L214" s="6" t="str">
        <f aca="false">A214&amp;";"&amp;B214&amp;";"&amp;C214</f>
        <v>19.81344531;78.96514709;16.2265740443043</v>
      </c>
      <c r="M214" s="6" t="n">
        <f aca="false">IF(COUNTIF($L$2:$L$2201,L214)&gt;1,1,0)</f>
        <v>0</v>
      </c>
      <c r="N214" s="6" t="str">
        <f aca="false">IF(AND(C214&lt;Assumptions!$B$9,B214&lt;Assumptions!$B$10),"Irrigate Now",IF(AND(C214&gt;=Assumptions!$B$11,B214&gt;=Assumptions!$B$12),"No Irrigation Needed","Monitor"))</f>
        <v>Irrigate Now</v>
      </c>
      <c r="O214" s="6" t="n">
        <f aca="false">IF(N214=G214,1,0)</f>
        <v>1</v>
      </c>
    </row>
    <row r="215" customFormat="false" ht="15" hidden="false" customHeight="false" outlineLevel="0" collapsed="false">
      <c r="A215" s="16" t="n">
        <v>18.97424756</v>
      </c>
      <c r="B215" s="16" t="n">
        <v>80.7108745</v>
      </c>
      <c r="C215" s="16" t="n">
        <v>25.4600912731279</v>
      </c>
      <c r="D215" s="6" t="s">
        <v>66</v>
      </c>
      <c r="E215" s="6" t="s">
        <v>57</v>
      </c>
      <c r="F215" s="6" t="s">
        <v>23</v>
      </c>
      <c r="G215" s="6" t="s">
        <v>61</v>
      </c>
      <c r="H215" s="6" t="s">
        <v>63</v>
      </c>
      <c r="I215" s="6" t="str">
        <f aca="false">IF(A215&lt;Outliers!$E$6,"Low",IF(A215&gt;Outliers!$F$6,"High",""))</f>
        <v/>
      </c>
      <c r="J215" s="6" t="str">
        <f aca="false">IF(B215&lt;Outliers!$E$7,"Low",IF(B215&gt;Outliers!$F$7,"High",""))</f>
        <v/>
      </c>
      <c r="K215" s="6" t="str">
        <f aca="false">IF(C215&lt;Outliers!$E$8,"Low",IF(C215&gt;Outliers!$F$8,"High",""))</f>
        <v/>
      </c>
      <c r="L215" s="6" t="str">
        <f aca="false">A215&amp;";"&amp;B215&amp;";"&amp;C215</f>
        <v>18.97424756;80.7108745;25.4600912731279</v>
      </c>
      <c r="M215" s="6" t="n">
        <f aca="false">IF(COUNTIF($L$2:$L$2201,L215)&gt;1,1,0)</f>
        <v>0</v>
      </c>
      <c r="N215" s="6" t="str">
        <f aca="false">IF(AND(C215&lt;Assumptions!$B$9,B215&lt;Assumptions!$B$10),"Irrigate Now",IF(AND(C215&gt;=Assumptions!$B$11,B215&gt;=Assumptions!$B$12),"No Irrigation Needed","Monitor"))</f>
        <v>Monitor</v>
      </c>
      <c r="O215" s="6" t="n">
        <f aca="false">IF(N215=G215,1,0)</f>
        <v>1</v>
      </c>
    </row>
    <row r="216" customFormat="false" ht="15" hidden="false" customHeight="false" outlineLevel="0" collapsed="false">
      <c r="A216" s="16" t="n">
        <v>18.19737048</v>
      </c>
      <c r="B216" s="16" t="n">
        <v>70.18185181</v>
      </c>
      <c r="C216" s="16" t="n">
        <v>16.6634943411396</v>
      </c>
      <c r="D216" s="6" t="s">
        <v>66</v>
      </c>
      <c r="E216" s="6" t="s">
        <v>57</v>
      </c>
      <c r="F216" s="6" t="s">
        <v>24</v>
      </c>
      <c r="G216" s="6" t="s">
        <v>64</v>
      </c>
      <c r="H216" s="6" t="s">
        <v>65</v>
      </c>
      <c r="I216" s="6" t="str">
        <f aca="false">IF(A216&lt;Outliers!$E$6,"Low",IF(A216&gt;Outliers!$F$6,"High",""))</f>
        <v/>
      </c>
      <c r="J216" s="6" t="str">
        <f aca="false">IF(B216&lt;Outliers!$E$7,"Low",IF(B216&gt;Outliers!$F$7,"High",""))</f>
        <v/>
      </c>
      <c r="K216" s="6" t="str">
        <f aca="false">IF(C216&lt;Outliers!$E$8,"Low",IF(C216&gt;Outliers!$F$8,"High",""))</f>
        <v/>
      </c>
      <c r="L216" s="6" t="str">
        <f aca="false">A216&amp;";"&amp;B216&amp;";"&amp;C216</f>
        <v>18.19737048;70.18185181;16.6634943411396</v>
      </c>
      <c r="M216" s="6" t="n">
        <f aca="false">IF(COUNTIF($L$2:$L$2201,L216)&gt;1,1,0)</f>
        <v>0</v>
      </c>
      <c r="N216" s="6" t="str">
        <f aca="false">IF(AND(C216&lt;Assumptions!$B$9,B216&lt;Assumptions!$B$10),"Irrigate Now",IF(AND(C216&gt;=Assumptions!$B$11,B216&gt;=Assumptions!$B$12),"No Irrigation Needed","Monitor"))</f>
        <v>Irrigate Now</v>
      </c>
      <c r="O216" s="6" t="n">
        <f aca="false">IF(N216=G216,1,0)</f>
        <v>1</v>
      </c>
    </row>
    <row r="217" customFormat="false" ht="15" hidden="false" customHeight="false" outlineLevel="0" collapsed="false">
      <c r="A217" s="16" t="n">
        <v>18.72963144</v>
      </c>
      <c r="B217" s="16" t="n">
        <v>71.58010169</v>
      </c>
      <c r="C217" s="16" t="n">
        <v>25.1386027069714</v>
      </c>
      <c r="D217" s="6" t="s">
        <v>66</v>
      </c>
      <c r="E217" s="6" t="s">
        <v>57</v>
      </c>
      <c r="F217" s="6" t="s">
        <v>23</v>
      </c>
      <c r="G217" s="6" t="s">
        <v>61</v>
      </c>
      <c r="H217" s="6" t="s">
        <v>63</v>
      </c>
      <c r="I217" s="6" t="str">
        <f aca="false">IF(A217&lt;Outliers!$E$6,"Low",IF(A217&gt;Outliers!$F$6,"High",""))</f>
        <v/>
      </c>
      <c r="J217" s="6" t="str">
        <f aca="false">IF(B217&lt;Outliers!$E$7,"Low",IF(B217&gt;Outliers!$F$7,"High",""))</f>
        <v/>
      </c>
      <c r="K217" s="6" t="str">
        <f aca="false">IF(C217&lt;Outliers!$E$8,"Low",IF(C217&gt;Outliers!$F$8,"High",""))</f>
        <v/>
      </c>
      <c r="L217" s="6" t="str">
        <f aca="false">A217&amp;";"&amp;B217&amp;";"&amp;C217</f>
        <v>18.72963144;71.58010169;25.1386027069714</v>
      </c>
      <c r="M217" s="6" t="n">
        <f aca="false">IF(COUNTIF($L$2:$L$2201,L217)&gt;1,1,0)</f>
        <v>0</v>
      </c>
      <c r="N217" s="6" t="str">
        <f aca="false">IF(AND(C217&lt;Assumptions!$B$9,B217&lt;Assumptions!$B$10),"Irrigate Now",IF(AND(C217&gt;=Assumptions!$B$11,B217&gt;=Assumptions!$B$12),"No Irrigation Needed","Monitor"))</f>
        <v>Monitor</v>
      </c>
      <c r="O217" s="6" t="n">
        <f aca="false">IF(N217=G217,1,0)</f>
        <v>1</v>
      </c>
    </row>
    <row r="218" customFormat="false" ht="15" hidden="false" customHeight="false" outlineLevel="0" collapsed="false">
      <c r="A218" s="16" t="n">
        <v>20.99502153</v>
      </c>
      <c r="B218" s="16" t="n">
        <v>73.50734019</v>
      </c>
      <c r="C218" s="16" t="n">
        <v>18.0894405016704</v>
      </c>
      <c r="D218" s="6" t="s">
        <v>57</v>
      </c>
      <c r="E218" s="6" t="s">
        <v>57</v>
      </c>
      <c r="F218" s="6" t="s">
        <v>24</v>
      </c>
      <c r="G218" s="6" t="s">
        <v>61</v>
      </c>
      <c r="H218" s="6" t="s">
        <v>63</v>
      </c>
      <c r="I218" s="6" t="str">
        <f aca="false">IF(A218&lt;Outliers!$E$6,"Low",IF(A218&gt;Outliers!$F$6,"High",""))</f>
        <v/>
      </c>
      <c r="J218" s="6" t="str">
        <f aca="false">IF(B218&lt;Outliers!$E$7,"Low",IF(B218&gt;Outliers!$F$7,"High",""))</f>
        <v/>
      </c>
      <c r="K218" s="6" t="str">
        <f aca="false">IF(C218&lt;Outliers!$E$8,"Low",IF(C218&gt;Outliers!$F$8,"High",""))</f>
        <v/>
      </c>
      <c r="L218" s="6" t="str">
        <f aca="false">A218&amp;";"&amp;B218&amp;";"&amp;C218</f>
        <v>20.99502153;73.50734019;18.0894405016704</v>
      </c>
      <c r="M218" s="6" t="n">
        <f aca="false">IF(COUNTIF($L$2:$L$2201,L218)&gt;1,1,0)</f>
        <v>0</v>
      </c>
      <c r="N218" s="6" t="str">
        <f aca="false">IF(AND(C218&lt;Assumptions!$B$9,B218&lt;Assumptions!$B$10),"Irrigate Now",IF(AND(C218&gt;=Assumptions!$B$11,B218&gt;=Assumptions!$B$12),"No Irrigation Needed","Monitor"))</f>
        <v>Monitor</v>
      </c>
      <c r="O218" s="6" t="n">
        <f aca="false">IF(N218=G218,1,0)</f>
        <v>1</v>
      </c>
    </row>
    <row r="219" customFormat="false" ht="15" hidden="false" customHeight="false" outlineLevel="0" collapsed="false">
      <c r="A219" s="16" t="n">
        <v>20.28155898</v>
      </c>
      <c r="B219" s="16" t="n">
        <v>82.52339655</v>
      </c>
      <c r="C219" s="16" t="n">
        <v>17.546547526242</v>
      </c>
      <c r="D219" s="6" t="s">
        <v>57</v>
      </c>
      <c r="E219" s="6" t="s">
        <v>57</v>
      </c>
      <c r="F219" s="6" t="s">
        <v>24</v>
      </c>
      <c r="G219" s="6" t="s">
        <v>64</v>
      </c>
      <c r="H219" s="6" t="s">
        <v>65</v>
      </c>
      <c r="I219" s="6" t="str">
        <f aca="false">IF(A219&lt;Outliers!$E$6,"Low",IF(A219&gt;Outliers!$F$6,"High",""))</f>
        <v/>
      </c>
      <c r="J219" s="6" t="str">
        <f aca="false">IF(B219&lt;Outliers!$E$7,"Low",IF(B219&gt;Outliers!$F$7,"High",""))</f>
        <v/>
      </c>
      <c r="K219" s="6" t="str">
        <f aca="false">IF(C219&lt;Outliers!$E$8,"Low",IF(C219&gt;Outliers!$F$8,"High",""))</f>
        <v/>
      </c>
      <c r="L219" s="6" t="str">
        <f aca="false">A219&amp;";"&amp;B219&amp;";"&amp;C219</f>
        <v>20.28155898;82.52339655;17.546547526242</v>
      </c>
      <c r="M219" s="6" t="n">
        <f aca="false">IF(COUNTIF($L$2:$L$2201,L219)&gt;1,1,0)</f>
        <v>0</v>
      </c>
      <c r="N219" s="6" t="str">
        <f aca="false">IF(AND(C219&lt;Assumptions!$B$9,B219&lt;Assumptions!$B$10),"Irrigate Now",IF(AND(C219&gt;=Assumptions!$B$11,B219&gt;=Assumptions!$B$12),"No Irrigation Needed","Monitor"))</f>
        <v>Irrigate Now</v>
      </c>
      <c r="O219" s="6" t="n">
        <f aca="false">IF(N219=G219,1,0)</f>
        <v>1</v>
      </c>
    </row>
    <row r="220" customFormat="false" ht="15" hidden="false" customHeight="false" outlineLevel="0" collapsed="false">
      <c r="A220" s="16" t="n">
        <v>17.48042641</v>
      </c>
      <c r="B220" s="16" t="n">
        <v>66.96980581</v>
      </c>
      <c r="C220" s="16" t="n">
        <v>10.3819908762374</v>
      </c>
      <c r="D220" s="6" t="s">
        <v>66</v>
      </c>
      <c r="E220" s="6" t="s">
        <v>57</v>
      </c>
      <c r="F220" s="6" t="s">
        <v>24</v>
      </c>
      <c r="G220" s="6" t="s">
        <v>64</v>
      </c>
      <c r="H220" s="6" t="s">
        <v>65</v>
      </c>
      <c r="I220" s="6" t="str">
        <f aca="false">IF(A220&lt;Outliers!$E$6,"Low",IF(A220&gt;Outliers!$F$6,"High",""))</f>
        <v/>
      </c>
      <c r="J220" s="6" t="str">
        <f aca="false">IF(B220&lt;Outliers!$E$7,"Low",IF(B220&gt;Outliers!$F$7,"High",""))</f>
        <v/>
      </c>
      <c r="K220" s="6" t="str">
        <f aca="false">IF(C220&lt;Outliers!$E$8,"Low",IF(C220&gt;Outliers!$F$8,"High",""))</f>
        <v/>
      </c>
      <c r="L220" s="6" t="str">
        <f aca="false">A220&amp;";"&amp;B220&amp;";"&amp;C220</f>
        <v>17.48042641;66.96980581;10.3819908762374</v>
      </c>
      <c r="M220" s="6" t="n">
        <f aca="false">IF(COUNTIF($L$2:$L$2201,L220)&gt;1,1,0)</f>
        <v>0</v>
      </c>
      <c r="N220" s="6" t="str">
        <f aca="false">IF(AND(C220&lt;Assumptions!$B$9,B220&lt;Assumptions!$B$10),"Irrigate Now",IF(AND(C220&gt;=Assumptions!$B$11,B220&gt;=Assumptions!$B$12),"No Irrigation Needed","Monitor"))</f>
        <v>Irrigate Now</v>
      </c>
      <c r="O220" s="6" t="n">
        <f aca="false">IF(N220=G220,1,0)</f>
        <v>1</v>
      </c>
    </row>
    <row r="221" customFormat="false" ht="15" hidden="false" customHeight="false" outlineLevel="0" collapsed="false">
      <c r="A221" s="16" t="n">
        <v>20.88818675</v>
      </c>
      <c r="B221" s="16" t="n">
        <v>90.46228334</v>
      </c>
      <c r="C221" s="16" t="n">
        <v>26.232686122689</v>
      </c>
      <c r="D221" s="6" t="s">
        <v>57</v>
      </c>
      <c r="E221" s="6" t="s">
        <v>57</v>
      </c>
      <c r="F221" s="6" t="s">
        <v>23</v>
      </c>
      <c r="G221" s="6" t="s">
        <v>61</v>
      </c>
      <c r="H221" s="6" t="s">
        <v>63</v>
      </c>
      <c r="I221" s="6" t="str">
        <f aca="false">IF(A221&lt;Outliers!$E$6,"Low",IF(A221&gt;Outliers!$F$6,"High",""))</f>
        <v/>
      </c>
      <c r="J221" s="6" t="str">
        <f aca="false">IF(B221&lt;Outliers!$E$7,"Low",IF(B221&gt;Outliers!$F$7,"High",""))</f>
        <v/>
      </c>
      <c r="K221" s="6" t="str">
        <f aca="false">IF(C221&lt;Outliers!$E$8,"Low",IF(C221&gt;Outliers!$F$8,"High",""))</f>
        <v/>
      </c>
      <c r="L221" s="6" t="str">
        <f aca="false">A221&amp;";"&amp;B221&amp;";"&amp;C221</f>
        <v>20.88818675;90.46228334;26.232686122689</v>
      </c>
      <c r="M221" s="6" t="n">
        <f aca="false">IF(COUNTIF($L$2:$L$2201,L221)&gt;1,1,0)</f>
        <v>0</v>
      </c>
      <c r="N221" s="6" t="str">
        <f aca="false">IF(AND(C221&lt;Assumptions!$B$9,B221&lt;Assumptions!$B$10),"Irrigate Now",IF(AND(C221&gt;=Assumptions!$B$11,B221&gt;=Assumptions!$B$12),"No Irrigation Needed","Monitor"))</f>
        <v>Monitor</v>
      </c>
      <c r="O221" s="6" t="n">
        <f aca="false">IF(N221=G221,1,0)</f>
        <v>1</v>
      </c>
    </row>
    <row r="222" customFormat="false" ht="15" hidden="false" customHeight="false" outlineLevel="0" collapsed="false">
      <c r="A222" s="16" t="n">
        <v>17.08498521</v>
      </c>
      <c r="B222" s="16" t="n">
        <v>71.31007253</v>
      </c>
      <c r="C222" s="16" t="n">
        <v>21.2937748509461</v>
      </c>
      <c r="D222" s="6" t="s">
        <v>66</v>
      </c>
      <c r="E222" s="6" t="s">
        <v>57</v>
      </c>
      <c r="F222" s="6" t="s">
        <v>60</v>
      </c>
      <c r="G222" s="6" t="s">
        <v>61</v>
      </c>
      <c r="H222" s="6" t="s">
        <v>63</v>
      </c>
      <c r="I222" s="6" t="str">
        <f aca="false">IF(A222&lt;Outliers!$E$6,"Low",IF(A222&gt;Outliers!$F$6,"High",""))</f>
        <v/>
      </c>
      <c r="J222" s="6" t="str">
        <f aca="false">IF(B222&lt;Outliers!$E$7,"Low",IF(B222&gt;Outliers!$F$7,"High",""))</f>
        <v/>
      </c>
      <c r="K222" s="6" t="str">
        <f aca="false">IF(C222&lt;Outliers!$E$8,"Low",IF(C222&gt;Outliers!$F$8,"High",""))</f>
        <v/>
      </c>
      <c r="L222" s="6" t="str">
        <f aca="false">A222&amp;";"&amp;B222&amp;";"&amp;C222</f>
        <v>17.08498521;71.31007253;21.2937748509461</v>
      </c>
      <c r="M222" s="6" t="n">
        <f aca="false">IF(COUNTIF($L$2:$L$2201,L222)&gt;1,1,0)</f>
        <v>0</v>
      </c>
      <c r="N222" s="6" t="str">
        <f aca="false">IF(AND(C222&lt;Assumptions!$B$9,B222&lt;Assumptions!$B$10),"Irrigate Now",IF(AND(C222&gt;=Assumptions!$B$11,B222&gt;=Assumptions!$B$12),"No Irrigation Needed","Monitor"))</f>
        <v>Monitor</v>
      </c>
      <c r="O222" s="6" t="n">
        <f aca="false">IF(N222=G222,1,0)</f>
        <v>1</v>
      </c>
    </row>
    <row r="223" customFormat="false" ht="15" hidden="false" customHeight="false" outlineLevel="0" collapsed="false">
      <c r="A223" s="16" t="n">
        <v>20.09340593</v>
      </c>
      <c r="B223" s="16" t="n">
        <v>85.74904898</v>
      </c>
      <c r="C223" s="16" t="n">
        <v>21.9810451981633</v>
      </c>
      <c r="D223" s="6" t="s">
        <v>57</v>
      </c>
      <c r="E223" s="6" t="s">
        <v>57</v>
      </c>
      <c r="F223" s="6" t="s">
        <v>60</v>
      </c>
      <c r="G223" s="6" t="s">
        <v>61</v>
      </c>
      <c r="H223" s="6" t="s">
        <v>63</v>
      </c>
      <c r="I223" s="6" t="str">
        <f aca="false">IF(A223&lt;Outliers!$E$6,"Low",IF(A223&gt;Outliers!$F$6,"High",""))</f>
        <v/>
      </c>
      <c r="J223" s="6" t="str">
        <f aca="false">IF(B223&lt;Outliers!$E$7,"Low",IF(B223&gt;Outliers!$F$7,"High",""))</f>
        <v/>
      </c>
      <c r="K223" s="6" t="str">
        <f aca="false">IF(C223&lt;Outliers!$E$8,"Low",IF(C223&gt;Outliers!$F$8,"High",""))</f>
        <v/>
      </c>
      <c r="L223" s="6" t="str">
        <f aca="false">A223&amp;";"&amp;B223&amp;";"&amp;C223</f>
        <v>20.09340593;85.74904898;21.9810451981633</v>
      </c>
      <c r="M223" s="6" t="n">
        <f aca="false">IF(COUNTIF($L$2:$L$2201,L223)&gt;1,1,0)</f>
        <v>0</v>
      </c>
      <c r="N223" s="6" t="str">
        <f aca="false">IF(AND(C223&lt;Assumptions!$B$9,B223&lt;Assumptions!$B$10),"Irrigate Now",IF(AND(C223&gt;=Assumptions!$B$11,B223&gt;=Assumptions!$B$12),"No Irrigation Needed","Monitor"))</f>
        <v>Monitor</v>
      </c>
      <c r="O223" s="6" t="n">
        <f aca="false">IF(N223=G223,1,0)</f>
        <v>1</v>
      </c>
    </row>
    <row r="224" customFormat="false" ht="15" hidden="false" customHeight="false" outlineLevel="0" collapsed="false">
      <c r="A224" s="16" t="n">
        <v>17.57212145</v>
      </c>
      <c r="B224" s="16" t="n">
        <v>89.31050665</v>
      </c>
      <c r="C224" s="16" t="n">
        <v>10.1395594880608</v>
      </c>
      <c r="D224" s="6" t="s">
        <v>66</v>
      </c>
      <c r="E224" s="6" t="s">
        <v>57</v>
      </c>
      <c r="F224" s="6" t="s">
        <v>24</v>
      </c>
      <c r="G224" s="6" t="s">
        <v>64</v>
      </c>
      <c r="H224" s="6" t="s">
        <v>65</v>
      </c>
      <c r="I224" s="6" t="str">
        <f aca="false">IF(A224&lt;Outliers!$E$6,"Low",IF(A224&gt;Outliers!$F$6,"High",""))</f>
        <v/>
      </c>
      <c r="J224" s="6" t="str">
        <f aca="false">IF(B224&lt;Outliers!$E$7,"Low",IF(B224&gt;Outliers!$F$7,"High",""))</f>
        <v/>
      </c>
      <c r="K224" s="6" t="str">
        <f aca="false">IF(C224&lt;Outliers!$E$8,"Low",IF(C224&gt;Outliers!$F$8,"High",""))</f>
        <v/>
      </c>
      <c r="L224" s="6" t="str">
        <f aca="false">A224&amp;";"&amp;B224&amp;";"&amp;C224</f>
        <v>17.57212145;89.31050665;10.1395594880608</v>
      </c>
      <c r="M224" s="6" t="n">
        <f aca="false">IF(COUNTIF($L$2:$L$2201,L224)&gt;1,1,0)</f>
        <v>0</v>
      </c>
      <c r="N224" s="6" t="str">
        <f aca="false">IF(AND(C224&lt;Assumptions!$B$9,B224&lt;Assumptions!$B$10),"Irrigate Now",IF(AND(C224&gt;=Assumptions!$B$11,B224&gt;=Assumptions!$B$12),"No Irrigation Needed","Monitor"))</f>
        <v>Irrigate Now</v>
      </c>
      <c r="O224" s="6" t="n">
        <f aca="false">IF(N224=G224,1,0)</f>
        <v>1</v>
      </c>
    </row>
    <row r="225" customFormat="false" ht="15" hidden="false" customHeight="false" outlineLevel="0" collapsed="false">
      <c r="A225" s="16" t="n">
        <v>19.12065218</v>
      </c>
      <c r="B225" s="16" t="n">
        <v>85.52950164</v>
      </c>
      <c r="C225" s="16" t="n">
        <v>21.1622236559758</v>
      </c>
      <c r="D225" s="6" t="s">
        <v>66</v>
      </c>
      <c r="E225" s="6" t="s">
        <v>57</v>
      </c>
      <c r="F225" s="6" t="s">
        <v>60</v>
      </c>
      <c r="G225" s="6" t="s">
        <v>61</v>
      </c>
      <c r="H225" s="6" t="s">
        <v>63</v>
      </c>
      <c r="I225" s="6" t="str">
        <f aca="false">IF(A225&lt;Outliers!$E$6,"Low",IF(A225&gt;Outliers!$F$6,"High",""))</f>
        <v/>
      </c>
      <c r="J225" s="6" t="str">
        <f aca="false">IF(B225&lt;Outliers!$E$7,"Low",IF(B225&gt;Outliers!$F$7,"High",""))</f>
        <v/>
      </c>
      <c r="K225" s="6" t="str">
        <f aca="false">IF(C225&lt;Outliers!$E$8,"Low",IF(C225&gt;Outliers!$F$8,"High",""))</f>
        <v/>
      </c>
      <c r="L225" s="6" t="str">
        <f aca="false">A225&amp;";"&amp;B225&amp;";"&amp;C225</f>
        <v>19.12065218;85.52950164;21.1622236559758</v>
      </c>
      <c r="M225" s="6" t="n">
        <f aca="false">IF(COUNTIF($L$2:$L$2201,L225)&gt;1,1,0)</f>
        <v>0</v>
      </c>
      <c r="N225" s="6" t="str">
        <f aca="false">IF(AND(C225&lt;Assumptions!$B$9,B225&lt;Assumptions!$B$10),"Irrigate Now",IF(AND(C225&gt;=Assumptions!$B$11,B225&gt;=Assumptions!$B$12),"No Irrigation Needed","Monitor"))</f>
        <v>Monitor</v>
      </c>
      <c r="O225" s="6" t="n">
        <f aca="false">IF(N225=G225,1,0)</f>
        <v>1</v>
      </c>
    </row>
    <row r="226" customFormat="false" ht="15" hidden="false" customHeight="false" outlineLevel="0" collapsed="false">
      <c r="A226" s="16" t="n">
        <v>18.57665902</v>
      </c>
      <c r="B226" s="16" t="n">
        <v>72.94940441</v>
      </c>
      <c r="C226" s="16" t="n">
        <v>29.2476660856491</v>
      </c>
      <c r="D226" s="6" t="s">
        <v>66</v>
      </c>
      <c r="E226" s="6" t="s">
        <v>57</v>
      </c>
      <c r="F226" s="6" t="s">
        <v>23</v>
      </c>
      <c r="G226" s="6" t="s">
        <v>61</v>
      </c>
      <c r="H226" s="6" t="s">
        <v>63</v>
      </c>
      <c r="I226" s="6" t="str">
        <f aca="false">IF(A226&lt;Outliers!$E$6,"Low",IF(A226&gt;Outliers!$F$6,"High",""))</f>
        <v/>
      </c>
      <c r="J226" s="6" t="str">
        <f aca="false">IF(B226&lt;Outliers!$E$7,"Low",IF(B226&gt;Outliers!$F$7,"High",""))</f>
        <v/>
      </c>
      <c r="K226" s="6" t="str">
        <f aca="false">IF(C226&lt;Outliers!$E$8,"Low",IF(C226&gt;Outliers!$F$8,"High",""))</f>
        <v/>
      </c>
      <c r="L226" s="6" t="str">
        <f aca="false">A226&amp;";"&amp;B226&amp;";"&amp;C226</f>
        <v>18.57665902;72.94940441;29.2476660856491</v>
      </c>
      <c r="M226" s="6" t="n">
        <f aca="false">IF(COUNTIF($L$2:$L$2201,L226)&gt;1,1,0)</f>
        <v>0</v>
      </c>
      <c r="N226" s="6" t="str">
        <f aca="false">IF(AND(C226&lt;Assumptions!$B$9,B226&lt;Assumptions!$B$10),"Irrigate Now",IF(AND(C226&gt;=Assumptions!$B$11,B226&gt;=Assumptions!$B$12),"No Irrigation Needed","Monitor"))</f>
        <v>Monitor</v>
      </c>
      <c r="O226" s="6" t="n">
        <f aca="false">IF(N226=G226,1,0)</f>
        <v>1</v>
      </c>
    </row>
    <row r="227" customFormat="false" ht="15" hidden="false" customHeight="false" outlineLevel="0" collapsed="false">
      <c r="A227" s="16" t="n">
        <v>17.16606398</v>
      </c>
      <c r="B227" s="16" t="n">
        <v>72.32667516</v>
      </c>
      <c r="C227" s="16" t="n">
        <v>12.7499783073519</v>
      </c>
      <c r="D227" s="6" t="s">
        <v>66</v>
      </c>
      <c r="E227" s="6" t="s">
        <v>57</v>
      </c>
      <c r="F227" s="6" t="s">
        <v>24</v>
      </c>
      <c r="G227" s="6" t="s">
        <v>64</v>
      </c>
      <c r="H227" s="6" t="s">
        <v>65</v>
      </c>
      <c r="I227" s="6" t="str">
        <f aca="false">IF(A227&lt;Outliers!$E$6,"Low",IF(A227&gt;Outliers!$F$6,"High",""))</f>
        <v/>
      </c>
      <c r="J227" s="6" t="str">
        <f aca="false">IF(B227&lt;Outliers!$E$7,"Low",IF(B227&gt;Outliers!$F$7,"High",""))</f>
        <v/>
      </c>
      <c r="K227" s="6" t="str">
        <f aca="false">IF(C227&lt;Outliers!$E$8,"Low",IF(C227&gt;Outliers!$F$8,"High",""))</f>
        <v/>
      </c>
      <c r="L227" s="6" t="str">
        <f aca="false">A227&amp;";"&amp;B227&amp;";"&amp;C227</f>
        <v>17.16606398;72.32667516;12.7499783073519</v>
      </c>
      <c r="M227" s="6" t="n">
        <f aca="false">IF(COUNTIF($L$2:$L$2201,L227)&gt;1,1,0)</f>
        <v>0</v>
      </c>
      <c r="N227" s="6" t="str">
        <f aca="false">IF(AND(C227&lt;Assumptions!$B$9,B227&lt;Assumptions!$B$10),"Irrigate Now",IF(AND(C227&gt;=Assumptions!$B$11,B227&gt;=Assumptions!$B$12),"No Irrigation Needed","Monitor"))</f>
        <v>Irrigate Now</v>
      </c>
      <c r="O227" s="6" t="n">
        <f aca="false">IF(N227=G227,1,0)</f>
        <v>1</v>
      </c>
    </row>
    <row r="228" customFormat="false" ht="15" hidden="false" customHeight="false" outlineLevel="0" collapsed="false">
      <c r="A228" s="16" t="n">
        <v>18.2872007</v>
      </c>
      <c r="B228" s="16" t="n">
        <v>74.87445574</v>
      </c>
      <c r="C228" s="16" t="n">
        <v>19.9466052039021</v>
      </c>
      <c r="D228" s="6" t="s">
        <v>66</v>
      </c>
      <c r="E228" s="6" t="s">
        <v>57</v>
      </c>
      <c r="F228" s="6" t="s">
        <v>60</v>
      </c>
      <c r="G228" s="6" t="s">
        <v>61</v>
      </c>
      <c r="H228" s="6" t="s">
        <v>63</v>
      </c>
      <c r="I228" s="6" t="str">
        <f aca="false">IF(A228&lt;Outliers!$E$6,"Low",IF(A228&gt;Outliers!$F$6,"High",""))</f>
        <v/>
      </c>
      <c r="J228" s="6" t="str">
        <f aca="false">IF(B228&lt;Outliers!$E$7,"Low",IF(B228&gt;Outliers!$F$7,"High",""))</f>
        <v/>
      </c>
      <c r="K228" s="6" t="str">
        <f aca="false">IF(C228&lt;Outliers!$E$8,"Low",IF(C228&gt;Outliers!$F$8,"High",""))</f>
        <v/>
      </c>
      <c r="L228" s="6" t="str">
        <f aca="false">A228&amp;";"&amp;B228&amp;";"&amp;C228</f>
        <v>18.2872007;74.87445574;19.9466052039021</v>
      </c>
      <c r="M228" s="6" t="n">
        <f aca="false">IF(COUNTIF($L$2:$L$2201,L228)&gt;1,1,0)</f>
        <v>0</v>
      </c>
      <c r="N228" s="6" t="str">
        <f aca="false">IF(AND(C228&lt;Assumptions!$B$9,B228&lt;Assumptions!$B$10),"Irrigate Now",IF(AND(C228&gt;=Assumptions!$B$11,B228&gt;=Assumptions!$B$12),"No Irrigation Needed","Monitor"))</f>
        <v>Monitor</v>
      </c>
      <c r="O228" s="6" t="n">
        <f aca="false">IF(N228=G228,1,0)</f>
        <v>1</v>
      </c>
    </row>
    <row r="229" customFormat="false" ht="15" hidden="false" customHeight="false" outlineLevel="0" collapsed="false">
      <c r="A229" s="16" t="n">
        <v>19.03025305</v>
      </c>
      <c r="B229" s="16" t="n">
        <v>94.70992037</v>
      </c>
      <c r="C229" s="16" t="n">
        <v>28.1618004636851</v>
      </c>
      <c r="D229" s="6" t="s">
        <v>66</v>
      </c>
      <c r="E229" s="6" t="s">
        <v>57</v>
      </c>
      <c r="F229" s="6" t="s">
        <v>23</v>
      </c>
      <c r="G229" s="6" t="s">
        <v>61</v>
      </c>
      <c r="H229" s="6" t="s">
        <v>63</v>
      </c>
      <c r="I229" s="6" t="str">
        <f aca="false">IF(A229&lt;Outliers!$E$6,"Low",IF(A229&gt;Outliers!$F$6,"High",""))</f>
        <v/>
      </c>
      <c r="J229" s="6" t="str">
        <f aca="false">IF(B229&lt;Outliers!$E$7,"Low",IF(B229&gt;Outliers!$F$7,"High",""))</f>
        <v/>
      </c>
      <c r="K229" s="6" t="str">
        <f aca="false">IF(C229&lt;Outliers!$E$8,"Low",IF(C229&gt;Outliers!$F$8,"High",""))</f>
        <v/>
      </c>
      <c r="L229" s="6" t="str">
        <f aca="false">A229&amp;";"&amp;B229&amp;";"&amp;C229</f>
        <v>19.03025305;94.70992037;28.1618004636851</v>
      </c>
      <c r="M229" s="6" t="n">
        <f aca="false">IF(COUNTIF($L$2:$L$2201,L229)&gt;1,1,0)</f>
        <v>0</v>
      </c>
      <c r="N229" s="6" t="str">
        <f aca="false">IF(AND(C229&lt;Assumptions!$B$9,B229&lt;Assumptions!$B$10),"Irrigate Now",IF(AND(C229&gt;=Assumptions!$B$11,B229&gt;=Assumptions!$B$12),"No Irrigation Needed","Monitor"))</f>
        <v>Monitor</v>
      </c>
      <c r="O229" s="6" t="n">
        <f aca="false">IF(N229=G229,1,0)</f>
        <v>1</v>
      </c>
    </row>
    <row r="230" customFormat="false" ht="15" hidden="false" customHeight="false" outlineLevel="0" collapsed="false">
      <c r="A230" s="16" t="n">
        <v>17.1418614</v>
      </c>
      <c r="B230" s="16" t="n">
        <v>83.74606679</v>
      </c>
      <c r="C230" s="16" t="n">
        <v>14.9456679567645</v>
      </c>
      <c r="D230" s="6" t="s">
        <v>66</v>
      </c>
      <c r="E230" s="6" t="s">
        <v>57</v>
      </c>
      <c r="F230" s="6" t="s">
        <v>24</v>
      </c>
      <c r="G230" s="6" t="s">
        <v>64</v>
      </c>
      <c r="H230" s="6" t="s">
        <v>65</v>
      </c>
      <c r="I230" s="6" t="str">
        <f aca="false">IF(A230&lt;Outliers!$E$6,"Low",IF(A230&gt;Outliers!$F$6,"High",""))</f>
        <v/>
      </c>
      <c r="J230" s="6" t="str">
        <f aca="false">IF(B230&lt;Outliers!$E$7,"Low",IF(B230&gt;Outliers!$F$7,"High",""))</f>
        <v/>
      </c>
      <c r="K230" s="6" t="str">
        <f aca="false">IF(C230&lt;Outliers!$E$8,"Low",IF(C230&gt;Outliers!$F$8,"High",""))</f>
        <v/>
      </c>
      <c r="L230" s="6" t="str">
        <f aca="false">A230&amp;";"&amp;B230&amp;";"&amp;C230</f>
        <v>17.1418614;83.74606679;14.9456679567645</v>
      </c>
      <c r="M230" s="6" t="n">
        <f aca="false">IF(COUNTIF($L$2:$L$2201,L230)&gt;1,1,0)</f>
        <v>0</v>
      </c>
      <c r="N230" s="6" t="str">
        <f aca="false">IF(AND(C230&lt;Assumptions!$B$9,B230&lt;Assumptions!$B$10),"Irrigate Now",IF(AND(C230&gt;=Assumptions!$B$11,B230&gt;=Assumptions!$B$12),"No Irrigation Needed","Monitor"))</f>
        <v>Irrigate Now</v>
      </c>
      <c r="O230" s="6" t="n">
        <f aca="false">IF(N230=G230,1,0)</f>
        <v>1</v>
      </c>
    </row>
    <row r="231" customFormat="false" ht="15" hidden="false" customHeight="false" outlineLevel="0" collapsed="false">
      <c r="A231" s="16" t="n">
        <v>17.47809436</v>
      </c>
      <c r="B231" s="16" t="n">
        <v>78.92060234</v>
      </c>
      <c r="C231" s="16" t="n">
        <v>29.5475194701562</v>
      </c>
      <c r="D231" s="6" t="s">
        <v>66</v>
      </c>
      <c r="E231" s="6" t="s">
        <v>57</v>
      </c>
      <c r="F231" s="6" t="s">
        <v>23</v>
      </c>
      <c r="G231" s="6" t="s">
        <v>61</v>
      </c>
      <c r="H231" s="6" t="s">
        <v>63</v>
      </c>
      <c r="I231" s="6" t="str">
        <f aca="false">IF(A231&lt;Outliers!$E$6,"Low",IF(A231&gt;Outliers!$F$6,"High",""))</f>
        <v/>
      </c>
      <c r="J231" s="6" t="str">
        <f aca="false">IF(B231&lt;Outliers!$E$7,"Low",IF(B231&gt;Outliers!$F$7,"High",""))</f>
        <v/>
      </c>
      <c r="K231" s="6" t="str">
        <f aca="false">IF(C231&lt;Outliers!$E$8,"Low",IF(C231&gt;Outliers!$F$8,"High",""))</f>
        <v/>
      </c>
      <c r="L231" s="6" t="str">
        <f aca="false">A231&amp;";"&amp;B231&amp;";"&amp;C231</f>
        <v>17.47809436;78.92060234;29.5475194701562</v>
      </c>
      <c r="M231" s="6" t="n">
        <f aca="false">IF(COUNTIF($L$2:$L$2201,L231)&gt;1,1,0)</f>
        <v>0</v>
      </c>
      <c r="N231" s="6" t="str">
        <f aca="false">IF(AND(C231&lt;Assumptions!$B$9,B231&lt;Assumptions!$B$10),"Irrigate Now",IF(AND(C231&gt;=Assumptions!$B$11,B231&gt;=Assumptions!$B$12),"No Irrigation Needed","Monitor"))</f>
        <v>Monitor</v>
      </c>
      <c r="O231" s="6" t="n">
        <f aca="false">IF(N231=G231,1,0)</f>
        <v>1</v>
      </c>
    </row>
    <row r="232" customFormat="false" ht="15" hidden="false" customHeight="false" outlineLevel="0" collapsed="false">
      <c r="A232" s="16" t="n">
        <v>20.56601874</v>
      </c>
      <c r="B232" s="16" t="n">
        <v>83.75937135</v>
      </c>
      <c r="C232" s="16" t="n">
        <v>25.7143606825726</v>
      </c>
      <c r="D232" s="6" t="s">
        <v>57</v>
      </c>
      <c r="E232" s="6" t="s">
        <v>57</v>
      </c>
      <c r="F232" s="6" t="s">
        <v>23</v>
      </c>
      <c r="G232" s="6" t="s">
        <v>61</v>
      </c>
      <c r="H232" s="6" t="s">
        <v>63</v>
      </c>
      <c r="I232" s="6" t="str">
        <f aca="false">IF(A232&lt;Outliers!$E$6,"Low",IF(A232&gt;Outliers!$F$6,"High",""))</f>
        <v/>
      </c>
      <c r="J232" s="6" t="str">
        <f aca="false">IF(B232&lt;Outliers!$E$7,"Low",IF(B232&gt;Outliers!$F$7,"High",""))</f>
        <v/>
      </c>
      <c r="K232" s="6" t="str">
        <f aca="false">IF(C232&lt;Outliers!$E$8,"Low",IF(C232&gt;Outliers!$F$8,"High",""))</f>
        <v/>
      </c>
      <c r="L232" s="6" t="str">
        <f aca="false">A232&amp;";"&amp;B232&amp;";"&amp;C232</f>
        <v>20.56601874;83.75937135;25.7143606825726</v>
      </c>
      <c r="M232" s="6" t="n">
        <f aca="false">IF(COUNTIF($L$2:$L$2201,L232)&gt;1,1,0)</f>
        <v>0</v>
      </c>
      <c r="N232" s="6" t="str">
        <f aca="false">IF(AND(C232&lt;Assumptions!$B$9,B232&lt;Assumptions!$B$10),"Irrigate Now",IF(AND(C232&gt;=Assumptions!$B$11,B232&gt;=Assumptions!$B$12),"No Irrigation Needed","Monitor"))</f>
        <v>Monitor</v>
      </c>
      <c r="O232" s="6" t="n">
        <f aca="false">IF(N232=G232,1,0)</f>
        <v>1</v>
      </c>
    </row>
    <row r="233" customFormat="false" ht="15" hidden="false" customHeight="false" outlineLevel="0" collapsed="false">
      <c r="A233" s="16" t="n">
        <v>17.22385224</v>
      </c>
      <c r="B233" s="16" t="n">
        <v>76.57580954</v>
      </c>
      <c r="C233" s="16" t="n">
        <v>18.7532966863931</v>
      </c>
      <c r="D233" s="6" t="s">
        <v>66</v>
      </c>
      <c r="E233" s="6" t="s">
        <v>57</v>
      </c>
      <c r="F233" s="6" t="s">
        <v>60</v>
      </c>
      <c r="G233" s="6" t="s">
        <v>61</v>
      </c>
      <c r="H233" s="6" t="s">
        <v>63</v>
      </c>
      <c r="I233" s="6" t="str">
        <f aca="false">IF(A233&lt;Outliers!$E$6,"Low",IF(A233&gt;Outliers!$F$6,"High",""))</f>
        <v/>
      </c>
      <c r="J233" s="6" t="str">
        <f aca="false">IF(B233&lt;Outliers!$E$7,"Low",IF(B233&gt;Outliers!$F$7,"High",""))</f>
        <v/>
      </c>
      <c r="K233" s="6" t="str">
        <f aca="false">IF(C233&lt;Outliers!$E$8,"Low",IF(C233&gt;Outliers!$F$8,"High",""))</f>
        <v/>
      </c>
      <c r="L233" s="6" t="str">
        <f aca="false">A233&amp;";"&amp;B233&amp;";"&amp;C233</f>
        <v>17.22385224;76.57580954;18.7532966863931</v>
      </c>
      <c r="M233" s="6" t="n">
        <f aca="false">IF(COUNTIF($L$2:$L$2201,L233)&gt;1,1,0)</f>
        <v>0</v>
      </c>
      <c r="N233" s="6" t="str">
        <f aca="false">IF(AND(C233&lt;Assumptions!$B$9,B233&lt;Assumptions!$B$10),"Irrigate Now",IF(AND(C233&gt;=Assumptions!$B$11,B233&gt;=Assumptions!$B$12),"No Irrigation Needed","Monitor"))</f>
        <v>Monitor</v>
      </c>
      <c r="O233" s="6" t="n">
        <f aca="false">IF(N233=G233,1,0)</f>
        <v>1</v>
      </c>
    </row>
    <row r="234" customFormat="false" ht="15" hidden="false" customHeight="false" outlineLevel="0" collapsed="false">
      <c r="A234" s="16" t="n">
        <v>19.69141713</v>
      </c>
      <c r="B234" s="16" t="n">
        <v>91.76071648</v>
      </c>
      <c r="C234" s="16" t="n">
        <v>19.776627354976</v>
      </c>
      <c r="D234" s="6" t="s">
        <v>66</v>
      </c>
      <c r="E234" s="6" t="s">
        <v>57</v>
      </c>
      <c r="F234" s="6" t="s">
        <v>60</v>
      </c>
      <c r="G234" s="6" t="s">
        <v>61</v>
      </c>
      <c r="H234" s="6" t="s">
        <v>63</v>
      </c>
      <c r="I234" s="6" t="str">
        <f aca="false">IF(A234&lt;Outliers!$E$6,"Low",IF(A234&gt;Outliers!$F$6,"High",""))</f>
        <v/>
      </c>
      <c r="J234" s="6" t="str">
        <f aca="false">IF(B234&lt;Outliers!$E$7,"Low",IF(B234&gt;Outliers!$F$7,"High",""))</f>
        <v/>
      </c>
      <c r="K234" s="6" t="str">
        <f aca="false">IF(C234&lt;Outliers!$E$8,"Low",IF(C234&gt;Outliers!$F$8,"High",""))</f>
        <v/>
      </c>
      <c r="L234" s="6" t="str">
        <f aca="false">A234&amp;";"&amp;B234&amp;";"&amp;C234</f>
        <v>19.69141713;91.76071648;19.776627354976</v>
      </c>
      <c r="M234" s="6" t="n">
        <f aca="false">IF(COUNTIF($L$2:$L$2201,L234)&gt;1,1,0)</f>
        <v>0</v>
      </c>
      <c r="N234" s="6" t="str">
        <f aca="false">IF(AND(C234&lt;Assumptions!$B$9,B234&lt;Assumptions!$B$10),"Irrigate Now",IF(AND(C234&gt;=Assumptions!$B$11,B234&gt;=Assumptions!$B$12),"No Irrigation Needed","Monitor"))</f>
        <v>Monitor</v>
      </c>
      <c r="O234" s="6" t="n">
        <f aca="false">IF(N234=G234,1,0)</f>
        <v>1</v>
      </c>
    </row>
    <row r="235" customFormat="false" ht="15" hidden="false" customHeight="false" outlineLevel="0" collapsed="false">
      <c r="A235" s="16" t="n">
        <v>17.84851658</v>
      </c>
      <c r="B235" s="16" t="n">
        <v>76.32470713</v>
      </c>
      <c r="C235" s="16" t="n">
        <v>25.0121943251138</v>
      </c>
      <c r="D235" s="6" t="s">
        <v>66</v>
      </c>
      <c r="E235" s="6" t="s">
        <v>57</v>
      </c>
      <c r="F235" s="6" t="s">
        <v>23</v>
      </c>
      <c r="G235" s="6" t="s">
        <v>61</v>
      </c>
      <c r="H235" s="6" t="s">
        <v>63</v>
      </c>
      <c r="I235" s="6" t="str">
        <f aca="false">IF(A235&lt;Outliers!$E$6,"Low",IF(A235&gt;Outliers!$F$6,"High",""))</f>
        <v/>
      </c>
      <c r="J235" s="6" t="str">
        <f aca="false">IF(B235&lt;Outliers!$E$7,"Low",IF(B235&gt;Outliers!$F$7,"High",""))</f>
        <v/>
      </c>
      <c r="K235" s="6" t="str">
        <f aca="false">IF(C235&lt;Outliers!$E$8,"Low",IF(C235&gt;Outliers!$F$8,"High",""))</f>
        <v/>
      </c>
      <c r="L235" s="6" t="str">
        <f aca="false">A235&amp;";"&amp;B235&amp;";"&amp;C235</f>
        <v>17.84851658;76.32470713;25.0121943251138</v>
      </c>
      <c r="M235" s="6" t="n">
        <f aca="false">IF(COUNTIF($L$2:$L$2201,L235)&gt;1,1,0)</f>
        <v>0</v>
      </c>
      <c r="N235" s="6" t="str">
        <f aca="false">IF(AND(C235&lt;Assumptions!$B$9,B235&lt;Assumptions!$B$10),"Irrigate Now",IF(AND(C235&gt;=Assumptions!$B$11,B235&gt;=Assumptions!$B$12),"No Irrigation Needed","Monitor"))</f>
        <v>Monitor</v>
      </c>
      <c r="O235" s="6" t="n">
        <f aca="false">IF(N235=G235,1,0)</f>
        <v>1</v>
      </c>
    </row>
    <row r="236" customFormat="false" ht="15" hidden="false" customHeight="false" outlineLevel="0" collapsed="false">
      <c r="A236" s="16" t="n">
        <v>18.8202251</v>
      </c>
      <c r="B236" s="16" t="n">
        <v>89.73119396</v>
      </c>
      <c r="C236" s="16" t="n">
        <v>23.1657162935342</v>
      </c>
      <c r="D236" s="6" t="s">
        <v>66</v>
      </c>
      <c r="E236" s="6" t="s">
        <v>57</v>
      </c>
      <c r="F236" s="6" t="s">
        <v>60</v>
      </c>
      <c r="G236" s="6" t="s">
        <v>61</v>
      </c>
      <c r="H236" s="6" t="s">
        <v>63</v>
      </c>
      <c r="I236" s="6" t="str">
        <f aca="false">IF(A236&lt;Outliers!$E$6,"Low",IF(A236&gt;Outliers!$F$6,"High",""))</f>
        <v/>
      </c>
      <c r="J236" s="6" t="str">
        <f aca="false">IF(B236&lt;Outliers!$E$7,"Low",IF(B236&gt;Outliers!$F$7,"High",""))</f>
        <v/>
      </c>
      <c r="K236" s="6" t="str">
        <f aca="false">IF(C236&lt;Outliers!$E$8,"Low",IF(C236&gt;Outliers!$F$8,"High",""))</f>
        <v/>
      </c>
      <c r="L236" s="6" t="str">
        <f aca="false">A236&amp;";"&amp;B236&amp;";"&amp;C236</f>
        <v>18.8202251;89.73119396;23.1657162935342</v>
      </c>
      <c r="M236" s="6" t="n">
        <f aca="false">IF(COUNTIF($L$2:$L$2201,L236)&gt;1,1,0)</f>
        <v>0</v>
      </c>
      <c r="N236" s="6" t="str">
        <f aca="false">IF(AND(C236&lt;Assumptions!$B$9,B236&lt;Assumptions!$B$10),"Irrigate Now",IF(AND(C236&gt;=Assumptions!$B$11,B236&gt;=Assumptions!$B$12),"No Irrigation Needed","Monitor"))</f>
        <v>Monitor</v>
      </c>
      <c r="O236" s="6" t="n">
        <f aca="false">IF(N236=G236,1,0)</f>
        <v>1</v>
      </c>
    </row>
    <row r="237" customFormat="false" ht="15" hidden="false" customHeight="false" outlineLevel="0" collapsed="false">
      <c r="A237" s="16" t="n">
        <v>17.47500984</v>
      </c>
      <c r="B237" s="16" t="n">
        <v>93.35034262</v>
      </c>
      <c r="C237" s="16" t="n">
        <v>12.1544379780749</v>
      </c>
      <c r="D237" s="6" t="s">
        <v>66</v>
      </c>
      <c r="E237" s="6" t="s">
        <v>57</v>
      </c>
      <c r="F237" s="6" t="s">
        <v>24</v>
      </c>
      <c r="G237" s="6" t="s">
        <v>64</v>
      </c>
      <c r="H237" s="6" t="s">
        <v>65</v>
      </c>
      <c r="I237" s="6" t="str">
        <f aca="false">IF(A237&lt;Outliers!$E$6,"Low",IF(A237&gt;Outliers!$F$6,"High",""))</f>
        <v/>
      </c>
      <c r="J237" s="6" t="str">
        <f aca="false">IF(B237&lt;Outliers!$E$7,"Low",IF(B237&gt;Outliers!$F$7,"High",""))</f>
        <v/>
      </c>
      <c r="K237" s="6" t="str">
        <f aca="false">IF(C237&lt;Outliers!$E$8,"Low",IF(C237&gt;Outliers!$F$8,"High",""))</f>
        <v/>
      </c>
      <c r="L237" s="6" t="str">
        <f aca="false">A237&amp;";"&amp;B237&amp;";"&amp;C237</f>
        <v>17.47500984;93.35034262;12.1544379780749</v>
      </c>
      <c r="M237" s="6" t="n">
        <f aca="false">IF(COUNTIF($L$2:$L$2201,L237)&gt;1,1,0)</f>
        <v>0</v>
      </c>
      <c r="N237" s="6" t="str">
        <f aca="false">IF(AND(C237&lt;Assumptions!$B$9,B237&lt;Assumptions!$B$10),"Irrigate Now",IF(AND(C237&gt;=Assumptions!$B$11,B237&gt;=Assumptions!$B$12),"No Irrigation Needed","Monitor"))</f>
        <v>Irrigate Now</v>
      </c>
      <c r="O237" s="6" t="n">
        <f aca="false">IF(N237=G237,1,0)</f>
        <v>1</v>
      </c>
    </row>
    <row r="238" customFormat="false" ht="15" hidden="false" customHeight="false" outlineLevel="0" collapsed="false">
      <c r="A238" s="16" t="n">
        <v>18.72649425</v>
      </c>
      <c r="B238" s="16" t="n">
        <v>81.20176515</v>
      </c>
      <c r="C238" s="16" t="n">
        <v>11.4802705339587</v>
      </c>
      <c r="D238" s="6" t="s">
        <v>66</v>
      </c>
      <c r="E238" s="6" t="s">
        <v>57</v>
      </c>
      <c r="F238" s="6" t="s">
        <v>24</v>
      </c>
      <c r="G238" s="6" t="s">
        <v>64</v>
      </c>
      <c r="H238" s="6" t="s">
        <v>65</v>
      </c>
      <c r="I238" s="6" t="str">
        <f aca="false">IF(A238&lt;Outliers!$E$6,"Low",IF(A238&gt;Outliers!$F$6,"High",""))</f>
        <v/>
      </c>
      <c r="J238" s="6" t="str">
        <f aca="false">IF(B238&lt;Outliers!$E$7,"Low",IF(B238&gt;Outliers!$F$7,"High",""))</f>
        <v/>
      </c>
      <c r="K238" s="6" t="str">
        <f aca="false">IF(C238&lt;Outliers!$E$8,"Low",IF(C238&gt;Outliers!$F$8,"High",""))</f>
        <v/>
      </c>
      <c r="L238" s="6" t="str">
        <f aca="false">A238&amp;";"&amp;B238&amp;";"&amp;C238</f>
        <v>18.72649425;81.20176515;11.4802705339587</v>
      </c>
      <c r="M238" s="6" t="n">
        <f aca="false">IF(COUNTIF($L$2:$L$2201,L238)&gt;1,1,0)</f>
        <v>0</v>
      </c>
      <c r="N238" s="6" t="str">
        <f aca="false">IF(AND(C238&lt;Assumptions!$B$9,B238&lt;Assumptions!$B$10),"Irrigate Now",IF(AND(C238&gt;=Assumptions!$B$11,B238&gt;=Assumptions!$B$12),"No Irrigation Needed","Monitor"))</f>
        <v>Irrigate Now</v>
      </c>
      <c r="O238" s="6" t="n">
        <f aca="false">IF(N238=G238,1,0)</f>
        <v>1</v>
      </c>
    </row>
    <row r="239" customFormat="false" ht="15" hidden="false" customHeight="false" outlineLevel="0" collapsed="false">
      <c r="A239" s="16" t="n">
        <v>18.65580107</v>
      </c>
      <c r="B239" s="16" t="n">
        <v>81.70769297</v>
      </c>
      <c r="C239" s="16" t="n">
        <v>27.4522570180121</v>
      </c>
      <c r="D239" s="6" t="s">
        <v>66</v>
      </c>
      <c r="E239" s="6" t="s">
        <v>57</v>
      </c>
      <c r="F239" s="6" t="s">
        <v>23</v>
      </c>
      <c r="G239" s="6" t="s">
        <v>61</v>
      </c>
      <c r="H239" s="6" t="s">
        <v>63</v>
      </c>
      <c r="I239" s="6" t="str">
        <f aca="false">IF(A239&lt;Outliers!$E$6,"Low",IF(A239&gt;Outliers!$F$6,"High",""))</f>
        <v/>
      </c>
      <c r="J239" s="6" t="str">
        <f aca="false">IF(B239&lt;Outliers!$E$7,"Low",IF(B239&gt;Outliers!$F$7,"High",""))</f>
        <v/>
      </c>
      <c r="K239" s="6" t="str">
        <f aca="false">IF(C239&lt;Outliers!$E$8,"Low",IF(C239&gt;Outliers!$F$8,"High",""))</f>
        <v/>
      </c>
      <c r="L239" s="6" t="str">
        <f aca="false">A239&amp;";"&amp;B239&amp;";"&amp;C239</f>
        <v>18.65580107;81.70769297;27.4522570180121</v>
      </c>
      <c r="M239" s="6" t="n">
        <f aca="false">IF(COUNTIF($L$2:$L$2201,L239)&gt;1,1,0)</f>
        <v>0</v>
      </c>
      <c r="N239" s="6" t="str">
        <f aca="false">IF(AND(C239&lt;Assumptions!$B$9,B239&lt;Assumptions!$B$10),"Irrigate Now",IF(AND(C239&gt;=Assumptions!$B$11,B239&gt;=Assumptions!$B$12),"No Irrigation Needed","Monitor"))</f>
        <v>Monitor</v>
      </c>
      <c r="O239" s="6" t="n">
        <f aca="false">IF(N239=G239,1,0)</f>
        <v>1</v>
      </c>
    </row>
    <row r="240" customFormat="false" ht="15" hidden="false" customHeight="false" outlineLevel="0" collapsed="false">
      <c r="A240" s="16" t="n">
        <v>18.2356751</v>
      </c>
      <c r="B240" s="16" t="n">
        <v>83.74879344</v>
      </c>
      <c r="C240" s="16" t="n">
        <v>13.2607762204761</v>
      </c>
      <c r="D240" s="6" t="s">
        <v>66</v>
      </c>
      <c r="E240" s="6" t="s">
        <v>57</v>
      </c>
      <c r="F240" s="6" t="s">
        <v>24</v>
      </c>
      <c r="G240" s="6" t="s">
        <v>64</v>
      </c>
      <c r="H240" s="6" t="s">
        <v>65</v>
      </c>
      <c r="I240" s="6" t="str">
        <f aca="false">IF(A240&lt;Outliers!$E$6,"Low",IF(A240&gt;Outliers!$F$6,"High",""))</f>
        <v/>
      </c>
      <c r="J240" s="6" t="str">
        <f aca="false">IF(B240&lt;Outliers!$E$7,"Low",IF(B240&gt;Outliers!$F$7,"High",""))</f>
        <v/>
      </c>
      <c r="K240" s="6" t="str">
        <f aca="false">IF(C240&lt;Outliers!$E$8,"Low",IF(C240&gt;Outliers!$F$8,"High",""))</f>
        <v/>
      </c>
      <c r="L240" s="6" t="str">
        <f aca="false">A240&amp;";"&amp;B240&amp;";"&amp;C240</f>
        <v>18.2356751;83.74879344;13.2607762204761</v>
      </c>
      <c r="M240" s="6" t="n">
        <f aca="false">IF(COUNTIF($L$2:$L$2201,L240)&gt;1,1,0)</f>
        <v>0</v>
      </c>
      <c r="N240" s="6" t="str">
        <f aca="false">IF(AND(C240&lt;Assumptions!$B$9,B240&lt;Assumptions!$B$10),"Irrigate Now",IF(AND(C240&gt;=Assumptions!$B$11,B240&gt;=Assumptions!$B$12),"No Irrigation Needed","Monitor"))</f>
        <v>Irrigate Now</v>
      </c>
      <c r="O240" s="6" t="n">
        <f aca="false">IF(N240=G240,1,0)</f>
        <v>1</v>
      </c>
    </row>
    <row r="241" customFormat="false" ht="15" hidden="false" customHeight="false" outlineLevel="0" collapsed="false">
      <c r="A241" s="16" t="n">
        <v>18.81198127</v>
      </c>
      <c r="B241" s="16" t="n">
        <v>77.5429424</v>
      </c>
      <c r="C241" s="16" t="n">
        <v>24.2162241385902</v>
      </c>
      <c r="D241" s="6" t="s">
        <v>66</v>
      </c>
      <c r="E241" s="6" t="s">
        <v>57</v>
      </c>
      <c r="F241" s="6" t="s">
        <v>60</v>
      </c>
      <c r="G241" s="6" t="s">
        <v>61</v>
      </c>
      <c r="H241" s="6" t="s">
        <v>63</v>
      </c>
      <c r="I241" s="6" t="str">
        <f aca="false">IF(A241&lt;Outliers!$E$6,"Low",IF(A241&gt;Outliers!$F$6,"High",""))</f>
        <v/>
      </c>
      <c r="J241" s="6" t="str">
        <f aca="false">IF(B241&lt;Outliers!$E$7,"Low",IF(B241&gt;Outliers!$F$7,"High",""))</f>
        <v/>
      </c>
      <c r="K241" s="6" t="str">
        <f aca="false">IF(C241&lt;Outliers!$E$8,"Low",IF(C241&gt;Outliers!$F$8,"High",""))</f>
        <v/>
      </c>
      <c r="L241" s="6" t="str">
        <f aca="false">A241&amp;";"&amp;B241&amp;";"&amp;C241</f>
        <v>18.81198127;77.5429424;24.2162241385902</v>
      </c>
      <c r="M241" s="6" t="n">
        <f aca="false">IF(COUNTIF($L$2:$L$2201,L241)&gt;1,1,0)</f>
        <v>0</v>
      </c>
      <c r="N241" s="6" t="str">
        <f aca="false">IF(AND(C241&lt;Assumptions!$B$9,B241&lt;Assumptions!$B$10),"Irrigate Now",IF(AND(C241&gt;=Assumptions!$B$11,B241&gt;=Assumptions!$B$12),"No Irrigation Needed","Monitor"))</f>
        <v>Monitor</v>
      </c>
      <c r="O241" s="6" t="n">
        <f aca="false">IF(N241=G241,1,0)</f>
        <v>1</v>
      </c>
    </row>
    <row r="242" customFormat="false" ht="15" hidden="false" customHeight="false" outlineLevel="0" collapsed="false">
      <c r="A242" s="16" t="n">
        <v>18.65054116</v>
      </c>
      <c r="B242" s="16" t="n">
        <v>77.92798682</v>
      </c>
      <c r="C242" s="16" t="n">
        <v>29.9949290581981</v>
      </c>
      <c r="D242" s="6" t="s">
        <v>66</v>
      </c>
      <c r="E242" s="6" t="s">
        <v>57</v>
      </c>
      <c r="F242" s="6" t="s">
        <v>23</v>
      </c>
      <c r="G242" s="6" t="s">
        <v>61</v>
      </c>
      <c r="H242" s="6" t="s">
        <v>63</v>
      </c>
      <c r="I242" s="6" t="str">
        <f aca="false">IF(A242&lt;Outliers!$E$6,"Low",IF(A242&gt;Outliers!$F$6,"High",""))</f>
        <v/>
      </c>
      <c r="J242" s="6" t="str">
        <f aca="false">IF(B242&lt;Outliers!$E$7,"Low",IF(B242&gt;Outliers!$F$7,"High",""))</f>
        <v/>
      </c>
      <c r="K242" s="6" t="str">
        <f aca="false">IF(C242&lt;Outliers!$E$8,"Low",IF(C242&gt;Outliers!$F$8,"High",""))</f>
        <v/>
      </c>
      <c r="L242" s="6" t="str">
        <f aca="false">A242&amp;";"&amp;B242&amp;";"&amp;C242</f>
        <v>18.65054116;77.92798682;29.9949290581981</v>
      </c>
      <c r="M242" s="6" t="n">
        <f aca="false">IF(COUNTIF($L$2:$L$2201,L242)&gt;1,1,0)</f>
        <v>0</v>
      </c>
      <c r="N242" s="6" t="str">
        <f aca="false">IF(AND(C242&lt;Assumptions!$B$9,B242&lt;Assumptions!$B$10),"Irrigate Now",IF(AND(C242&gt;=Assumptions!$B$11,B242&gt;=Assumptions!$B$12),"No Irrigation Needed","Monitor"))</f>
        <v>Monitor</v>
      </c>
      <c r="O242" s="6" t="n">
        <f aca="false">IF(N242=G242,1,0)</f>
        <v>1</v>
      </c>
    </row>
    <row r="243" customFormat="false" ht="15" hidden="false" customHeight="false" outlineLevel="0" collapsed="false">
      <c r="A243" s="16" t="n">
        <v>20.36720401</v>
      </c>
      <c r="B243" s="16" t="n">
        <v>82.2545577</v>
      </c>
      <c r="C243" s="16" t="n">
        <v>27.0823632404055</v>
      </c>
      <c r="D243" s="6" t="s">
        <v>57</v>
      </c>
      <c r="E243" s="6" t="s">
        <v>57</v>
      </c>
      <c r="F243" s="6" t="s">
        <v>23</v>
      </c>
      <c r="G243" s="6" t="s">
        <v>61</v>
      </c>
      <c r="H243" s="6" t="s">
        <v>63</v>
      </c>
      <c r="I243" s="6" t="str">
        <f aca="false">IF(A243&lt;Outliers!$E$6,"Low",IF(A243&gt;Outliers!$F$6,"High",""))</f>
        <v/>
      </c>
      <c r="J243" s="6" t="str">
        <f aca="false">IF(B243&lt;Outliers!$E$7,"Low",IF(B243&gt;Outliers!$F$7,"High",""))</f>
        <v/>
      </c>
      <c r="K243" s="6" t="str">
        <f aca="false">IF(C243&lt;Outliers!$E$8,"Low",IF(C243&gt;Outliers!$F$8,"High",""))</f>
        <v/>
      </c>
      <c r="L243" s="6" t="str">
        <f aca="false">A243&amp;";"&amp;B243&amp;";"&amp;C243</f>
        <v>20.36720401;82.2545577;27.0823632404055</v>
      </c>
      <c r="M243" s="6" t="n">
        <f aca="false">IF(COUNTIF($L$2:$L$2201,L243)&gt;1,1,0)</f>
        <v>0</v>
      </c>
      <c r="N243" s="6" t="str">
        <f aca="false">IF(AND(C243&lt;Assumptions!$B$9,B243&lt;Assumptions!$B$10),"Irrigate Now",IF(AND(C243&gt;=Assumptions!$B$11,B243&gt;=Assumptions!$B$12),"No Irrigation Needed","Monitor"))</f>
        <v>Monitor</v>
      </c>
      <c r="O243" s="6" t="n">
        <f aca="false">IF(N243=G243,1,0)</f>
        <v>1</v>
      </c>
    </row>
    <row r="244" customFormat="false" ht="15" hidden="false" customHeight="false" outlineLevel="0" collapsed="false">
      <c r="A244" s="16" t="n">
        <v>18.38120357</v>
      </c>
      <c r="B244" s="16" t="n">
        <v>70.52056697</v>
      </c>
      <c r="C244" s="16" t="n">
        <v>20.39464286396</v>
      </c>
      <c r="D244" s="6" t="s">
        <v>66</v>
      </c>
      <c r="E244" s="6" t="s">
        <v>57</v>
      </c>
      <c r="F244" s="6" t="s">
        <v>60</v>
      </c>
      <c r="G244" s="6" t="s">
        <v>61</v>
      </c>
      <c r="H244" s="6" t="s">
        <v>63</v>
      </c>
      <c r="I244" s="6" t="str">
        <f aca="false">IF(A244&lt;Outliers!$E$6,"Low",IF(A244&gt;Outliers!$F$6,"High",""))</f>
        <v/>
      </c>
      <c r="J244" s="6" t="str">
        <f aca="false">IF(B244&lt;Outliers!$E$7,"Low",IF(B244&gt;Outliers!$F$7,"High",""))</f>
        <v/>
      </c>
      <c r="K244" s="6" t="str">
        <f aca="false">IF(C244&lt;Outliers!$E$8,"Low",IF(C244&gt;Outliers!$F$8,"High",""))</f>
        <v/>
      </c>
      <c r="L244" s="6" t="str">
        <f aca="false">A244&amp;";"&amp;B244&amp;";"&amp;C244</f>
        <v>18.38120357;70.52056697;20.39464286396</v>
      </c>
      <c r="M244" s="6" t="n">
        <f aca="false">IF(COUNTIF($L$2:$L$2201,L244)&gt;1,1,0)</f>
        <v>0</v>
      </c>
      <c r="N244" s="6" t="str">
        <f aca="false">IF(AND(C244&lt;Assumptions!$B$9,B244&lt;Assumptions!$B$10),"Irrigate Now",IF(AND(C244&gt;=Assumptions!$B$11,B244&gt;=Assumptions!$B$12),"No Irrigation Needed","Monitor"))</f>
        <v>Monitor</v>
      </c>
      <c r="O244" s="6" t="n">
        <f aca="false">IF(N244=G244,1,0)</f>
        <v>1</v>
      </c>
    </row>
    <row r="245" customFormat="false" ht="15" hidden="false" customHeight="false" outlineLevel="0" collapsed="false">
      <c r="A245" s="16" t="n">
        <v>17.17012591</v>
      </c>
      <c r="B245" s="16" t="n">
        <v>72.78624223</v>
      </c>
      <c r="C245" s="16" t="n">
        <v>22.7902421547687</v>
      </c>
      <c r="D245" s="6" t="s">
        <v>66</v>
      </c>
      <c r="E245" s="6" t="s">
        <v>57</v>
      </c>
      <c r="F245" s="6" t="s">
        <v>60</v>
      </c>
      <c r="G245" s="6" t="s">
        <v>61</v>
      </c>
      <c r="H245" s="6" t="s">
        <v>63</v>
      </c>
      <c r="I245" s="6" t="str">
        <f aca="false">IF(A245&lt;Outliers!$E$6,"Low",IF(A245&gt;Outliers!$F$6,"High",""))</f>
        <v/>
      </c>
      <c r="J245" s="6" t="str">
        <f aca="false">IF(B245&lt;Outliers!$E$7,"Low",IF(B245&gt;Outliers!$F$7,"High",""))</f>
        <v/>
      </c>
      <c r="K245" s="6" t="str">
        <f aca="false">IF(C245&lt;Outliers!$E$8,"Low",IF(C245&gt;Outliers!$F$8,"High",""))</f>
        <v/>
      </c>
      <c r="L245" s="6" t="str">
        <f aca="false">A245&amp;";"&amp;B245&amp;";"&amp;C245</f>
        <v>17.17012591;72.78624223;22.7902421547687</v>
      </c>
      <c r="M245" s="6" t="n">
        <f aca="false">IF(COUNTIF($L$2:$L$2201,L245)&gt;1,1,0)</f>
        <v>0</v>
      </c>
      <c r="N245" s="6" t="str">
        <f aca="false">IF(AND(C245&lt;Assumptions!$B$9,B245&lt;Assumptions!$B$10),"Irrigate Now",IF(AND(C245&gt;=Assumptions!$B$11,B245&gt;=Assumptions!$B$12),"No Irrigation Needed","Monitor"))</f>
        <v>Monitor</v>
      </c>
      <c r="O245" s="6" t="n">
        <f aca="false">IF(N245=G245,1,0)</f>
        <v>1</v>
      </c>
    </row>
    <row r="246" customFormat="false" ht="15" hidden="false" customHeight="false" outlineLevel="0" collapsed="false">
      <c r="A246" s="16" t="n">
        <v>19.37101121</v>
      </c>
      <c r="B246" s="16" t="n">
        <v>85.24819851</v>
      </c>
      <c r="C246" s="16" t="n">
        <v>18.0800249864042</v>
      </c>
      <c r="D246" s="6" t="s">
        <v>66</v>
      </c>
      <c r="E246" s="6" t="s">
        <v>57</v>
      </c>
      <c r="F246" s="6" t="s">
        <v>60</v>
      </c>
      <c r="G246" s="6" t="s">
        <v>61</v>
      </c>
      <c r="H246" s="6" t="s">
        <v>63</v>
      </c>
      <c r="I246" s="6" t="str">
        <f aca="false">IF(A246&lt;Outliers!$E$6,"Low",IF(A246&gt;Outliers!$F$6,"High",""))</f>
        <v/>
      </c>
      <c r="J246" s="6" t="str">
        <f aca="false">IF(B246&lt;Outliers!$E$7,"Low",IF(B246&gt;Outliers!$F$7,"High",""))</f>
        <v/>
      </c>
      <c r="K246" s="6" t="str">
        <f aca="false">IF(C246&lt;Outliers!$E$8,"Low",IF(C246&gt;Outliers!$F$8,"High",""))</f>
        <v/>
      </c>
      <c r="L246" s="6" t="str">
        <f aca="false">A246&amp;";"&amp;B246&amp;";"&amp;C246</f>
        <v>19.37101121;85.24819851;18.0800249864042</v>
      </c>
      <c r="M246" s="6" t="n">
        <f aca="false">IF(COUNTIF($L$2:$L$2201,L246)&gt;1,1,0)</f>
        <v>0</v>
      </c>
      <c r="N246" s="6" t="str">
        <f aca="false">IF(AND(C246&lt;Assumptions!$B$9,B246&lt;Assumptions!$B$10),"Irrigate Now",IF(AND(C246&gt;=Assumptions!$B$11,B246&gt;=Assumptions!$B$12),"No Irrigation Needed","Monitor"))</f>
        <v>Monitor</v>
      </c>
      <c r="O246" s="6" t="n">
        <f aca="false">IF(N246=G246,1,0)</f>
        <v>1</v>
      </c>
    </row>
    <row r="247" customFormat="false" ht="15" hidden="false" customHeight="false" outlineLevel="0" collapsed="false">
      <c r="A247" s="16" t="n">
        <v>17.92845928</v>
      </c>
      <c r="B247" s="16" t="n">
        <v>85.37378769</v>
      </c>
      <c r="C247" s="16" t="n">
        <v>22.7896889133593</v>
      </c>
      <c r="D247" s="6" t="s">
        <v>66</v>
      </c>
      <c r="E247" s="6" t="s">
        <v>57</v>
      </c>
      <c r="F247" s="6" t="s">
        <v>60</v>
      </c>
      <c r="G247" s="6" t="s">
        <v>61</v>
      </c>
      <c r="H247" s="6" t="s">
        <v>63</v>
      </c>
      <c r="I247" s="6" t="str">
        <f aca="false">IF(A247&lt;Outliers!$E$6,"Low",IF(A247&gt;Outliers!$F$6,"High",""))</f>
        <v/>
      </c>
      <c r="J247" s="6" t="str">
        <f aca="false">IF(B247&lt;Outliers!$E$7,"Low",IF(B247&gt;Outliers!$F$7,"High",""))</f>
        <v/>
      </c>
      <c r="K247" s="6" t="str">
        <f aca="false">IF(C247&lt;Outliers!$E$8,"Low",IF(C247&gt;Outliers!$F$8,"High",""))</f>
        <v/>
      </c>
      <c r="L247" s="6" t="str">
        <f aca="false">A247&amp;";"&amp;B247&amp;";"&amp;C247</f>
        <v>17.92845928;85.37378769;22.7896889133593</v>
      </c>
      <c r="M247" s="6" t="n">
        <f aca="false">IF(COUNTIF($L$2:$L$2201,L247)&gt;1,1,0)</f>
        <v>0</v>
      </c>
      <c r="N247" s="6" t="str">
        <f aca="false">IF(AND(C247&lt;Assumptions!$B$9,B247&lt;Assumptions!$B$10),"Irrigate Now",IF(AND(C247&gt;=Assumptions!$B$11,B247&gt;=Assumptions!$B$12),"No Irrigation Needed","Monitor"))</f>
        <v>Monitor</v>
      </c>
      <c r="O247" s="6" t="n">
        <f aca="false">IF(N247=G247,1,0)</f>
        <v>1</v>
      </c>
    </row>
    <row r="248" customFormat="false" ht="15" hidden="false" customHeight="false" outlineLevel="0" collapsed="false">
      <c r="A248" s="16" t="n">
        <v>19.45339934</v>
      </c>
      <c r="B248" s="16" t="n">
        <v>75.6317566</v>
      </c>
      <c r="C248" s="16" t="n">
        <v>14.9982515045112</v>
      </c>
      <c r="D248" s="6" t="s">
        <v>66</v>
      </c>
      <c r="E248" s="6" t="s">
        <v>57</v>
      </c>
      <c r="F248" s="6" t="s">
        <v>24</v>
      </c>
      <c r="G248" s="6" t="s">
        <v>64</v>
      </c>
      <c r="H248" s="6" t="s">
        <v>65</v>
      </c>
      <c r="I248" s="6" t="str">
        <f aca="false">IF(A248&lt;Outliers!$E$6,"Low",IF(A248&gt;Outliers!$F$6,"High",""))</f>
        <v/>
      </c>
      <c r="J248" s="6" t="str">
        <f aca="false">IF(B248&lt;Outliers!$E$7,"Low",IF(B248&gt;Outliers!$F$7,"High",""))</f>
        <v/>
      </c>
      <c r="K248" s="6" t="str">
        <f aca="false">IF(C248&lt;Outliers!$E$8,"Low",IF(C248&gt;Outliers!$F$8,"High",""))</f>
        <v/>
      </c>
      <c r="L248" s="6" t="str">
        <f aca="false">A248&amp;";"&amp;B248&amp;";"&amp;C248</f>
        <v>19.45339934;75.6317566;14.9982515045112</v>
      </c>
      <c r="M248" s="6" t="n">
        <f aca="false">IF(COUNTIF($L$2:$L$2201,L248)&gt;1,1,0)</f>
        <v>0</v>
      </c>
      <c r="N248" s="6" t="str">
        <f aca="false">IF(AND(C248&lt;Assumptions!$B$9,B248&lt;Assumptions!$B$10),"Irrigate Now",IF(AND(C248&gt;=Assumptions!$B$11,B248&gt;=Assumptions!$B$12),"No Irrigation Needed","Monitor"))</f>
        <v>Irrigate Now</v>
      </c>
      <c r="O248" s="6" t="n">
        <f aca="false">IF(N248=G248,1,0)</f>
        <v>1</v>
      </c>
    </row>
    <row r="249" customFormat="false" ht="15" hidden="false" customHeight="false" outlineLevel="0" collapsed="false">
      <c r="A249" s="16" t="n">
        <v>19.12829388</v>
      </c>
      <c r="B249" s="16" t="n">
        <v>89.61857826</v>
      </c>
      <c r="C249" s="16" t="n">
        <v>21.5418714600576</v>
      </c>
      <c r="D249" s="6" t="s">
        <v>66</v>
      </c>
      <c r="E249" s="6" t="s">
        <v>57</v>
      </c>
      <c r="F249" s="6" t="s">
        <v>60</v>
      </c>
      <c r="G249" s="6" t="s">
        <v>61</v>
      </c>
      <c r="H249" s="6" t="s">
        <v>63</v>
      </c>
      <c r="I249" s="6" t="str">
        <f aca="false">IF(A249&lt;Outliers!$E$6,"Low",IF(A249&gt;Outliers!$F$6,"High",""))</f>
        <v/>
      </c>
      <c r="J249" s="6" t="str">
        <f aca="false">IF(B249&lt;Outliers!$E$7,"Low",IF(B249&gt;Outliers!$F$7,"High",""))</f>
        <v/>
      </c>
      <c r="K249" s="6" t="str">
        <f aca="false">IF(C249&lt;Outliers!$E$8,"Low",IF(C249&gt;Outliers!$F$8,"High",""))</f>
        <v/>
      </c>
      <c r="L249" s="6" t="str">
        <f aca="false">A249&amp;";"&amp;B249&amp;";"&amp;C249</f>
        <v>19.12829388;89.61857826;21.5418714600576</v>
      </c>
      <c r="M249" s="6" t="n">
        <f aca="false">IF(COUNTIF($L$2:$L$2201,L249)&gt;1,1,0)</f>
        <v>0</v>
      </c>
      <c r="N249" s="6" t="str">
        <f aca="false">IF(AND(C249&lt;Assumptions!$B$9,B249&lt;Assumptions!$B$10),"Irrigate Now",IF(AND(C249&gt;=Assumptions!$B$11,B249&gt;=Assumptions!$B$12),"No Irrigation Needed","Monitor"))</f>
        <v>Monitor</v>
      </c>
      <c r="O249" s="6" t="n">
        <f aca="false">IF(N249=G249,1,0)</f>
        <v>1</v>
      </c>
    </row>
    <row r="250" customFormat="false" ht="15" hidden="false" customHeight="false" outlineLevel="0" collapsed="false">
      <c r="A250" s="16" t="n">
        <v>19.1034283</v>
      </c>
      <c r="B250" s="16" t="n">
        <v>75.49101167</v>
      </c>
      <c r="C250" s="16" t="n">
        <v>26.7725027374962</v>
      </c>
      <c r="D250" s="6" t="s">
        <v>66</v>
      </c>
      <c r="E250" s="6" t="s">
        <v>57</v>
      </c>
      <c r="F250" s="6" t="s">
        <v>23</v>
      </c>
      <c r="G250" s="6" t="s">
        <v>61</v>
      </c>
      <c r="H250" s="6" t="s">
        <v>63</v>
      </c>
      <c r="I250" s="6" t="str">
        <f aca="false">IF(A250&lt;Outliers!$E$6,"Low",IF(A250&gt;Outliers!$F$6,"High",""))</f>
        <v/>
      </c>
      <c r="J250" s="6" t="str">
        <f aca="false">IF(B250&lt;Outliers!$E$7,"Low",IF(B250&gt;Outliers!$F$7,"High",""))</f>
        <v/>
      </c>
      <c r="K250" s="6" t="str">
        <f aca="false">IF(C250&lt;Outliers!$E$8,"Low",IF(C250&gt;Outliers!$F$8,"High",""))</f>
        <v/>
      </c>
      <c r="L250" s="6" t="str">
        <f aca="false">A250&amp;";"&amp;B250&amp;";"&amp;C250</f>
        <v>19.1034283;75.49101167;26.7725027374962</v>
      </c>
      <c r="M250" s="6" t="n">
        <f aca="false">IF(COUNTIF($L$2:$L$2201,L250)&gt;1,1,0)</f>
        <v>0</v>
      </c>
      <c r="N250" s="6" t="str">
        <f aca="false">IF(AND(C250&lt;Assumptions!$B$9,B250&lt;Assumptions!$B$10),"Irrigate Now",IF(AND(C250&gt;=Assumptions!$B$11,B250&gt;=Assumptions!$B$12),"No Irrigation Needed","Monitor"))</f>
        <v>Monitor</v>
      </c>
      <c r="O250" s="6" t="n">
        <f aca="false">IF(N250=G250,1,0)</f>
        <v>1</v>
      </c>
    </row>
    <row r="251" customFormat="false" ht="15" hidden="false" customHeight="false" outlineLevel="0" collapsed="false">
      <c r="A251" s="16" t="n">
        <v>17.48504075</v>
      </c>
      <c r="B251" s="16" t="n">
        <v>86.05078037</v>
      </c>
      <c r="C251" s="16" t="n">
        <v>24.6239662499109</v>
      </c>
      <c r="D251" s="6" t="s">
        <v>66</v>
      </c>
      <c r="E251" s="6" t="s">
        <v>57</v>
      </c>
      <c r="F251" s="6" t="s">
        <v>23</v>
      </c>
      <c r="G251" s="6" t="s">
        <v>61</v>
      </c>
      <c r="H251" s="6" t="s">
        <v>63</v>
      </c>
      <c r="I251" s="6" t="str">
        <f aca="false">IF(A251&lt;Outliers!$E$6,"Low",IF(A251&gt;Outliers!$F$6,"High",""))</f>
        <v/>
      </c>
      <c r="J251" s="6" t="str">
        <f aca="false">IF(B251&lt;Outliers!$E$7,"Low",IF(B251&gt;Outliers!$F$7,"High",""))</f>
        <v/>
      </c>
      <c r="K251" s="6" t="str">
        <f aca="false">IF(C251&lt;Outliers!$E$8,"Low",IF(C251&gt;Outliers!$F$8,"High",""))</f>
        <v/>
      </c>
      <c r="L251" s="6" t="str">
        <f aca="false">A251&amp;";"&amp;B251&amp;";"&amp;C251</f>
        <v>17.48504075;86.05078037;24.6239662499109</v>
      </c>
      <c r="M251" s="6" t="n">
        <f aca="false">IF(COUNTIF($L$2:$L$2201,L251)&gt;1,1,0)</f>
        <v>0</v>
      </c>
      <c r="N251" s="6" t="str">
        <f aca="false">IF(AND(C251&lt;Assumptions!$B$9,B251&lt;Assumptions!$B$10),"Irrigate Now",IF(AND(C251&gt;=Assumptions!$B$11,B251&gt;=Assumptions!$B$12),"No Irrigation Needed","Monitor"))</f>
        <v>Monitor</v>
      </c>
      <c r="O251" s="6" t="n">
        <f aca="false">IF(N251=G251,1,0)</f>
        <v>1</v>
      </c>
    </row>
    <row r="252" customFormat="false" ht="15" hidden="false" customHeight="false" outlineLevel="0" collapsed="false">
      <c r="A252" s="16" t="n">
        <v>19.40751744</v>
      </c>
      <c r="B252" s="16" t="n">
        <v>80.25064637</v>
      </c>
      <c r="C252" s="16" t="n">
        <v>26.3860164131653</v>
      </c>
      <c r="D252" s="6" t="s">
        <v>66</v>
      </c>
      <c r="E252" s="6" t="s">
        <v>57</v>
      </c>
      <c r="F252" s="6" t="s">
        <v>23</v>
      </c>
      <c r="G252" s="6" t="s">
        <v>61</v>
      </c>
      <c r="H252" s="6" t="s">
        <v>63</v>
      </c>
      <c r="I252" s="6" t="str">
        <f aca="false">IF(A252&lt;Outliers!$E$6,"Low",IF(A252&gt;Outliers!$F$6,"High",""))</f>
        <v/>
      </c>
      <c r="J252" s="6" t="str">
        <f aca="false">IF(B252&lt;Outliers!$E$7,"Low",IF(B252&gt;Outliers!$F$7,"High",""))</f>
        <v/>
      </c>
      <c r="K252" s="6" t="str">
        <f aca="false">IF(C252&lt;Outliers!$E$8,"Low",IF(C252&gt;Outliers!$F$8,"High",""))</f>
        <v/>
      </c>
      <c r="L252" s="6" t="str">
        <f aca="false">A252&amp;";"&amp;B252&amp;";"&amp;C252</f>
        <v>19.40751744;80.25064637;26.3860164131653</v>
      </c>
      <c r="M252" s="6" t="n">
        <f aca="false">IF(COUNTIF($L$2:$L$2201,L252)&gt;1,1,0)</f>
        <v>0</v>
      </c>
      <c r="N252" s="6" t="str">
        <f aca="false">IF(AND(C252&lt;Assumptions!$B$9,B252&lt;Assumptions!$B$10),"Irrigate Now",IF(AND(C252&gt;=Assumptions!$B$11,B252&gt;=Assumptions!$B$12),"No Irrigation Needed","Monitor"))</f>
        <v>Monitor</v>
      </c>
      <c r="O252" s="6" t="n">
        <f aca="false">IF(N252=G252,1,0)</f>
        <v>1</v>
      </c>
    </row>
    <row r="253" customFormat="false" ht="15" hidden="false" customHeight="false" outlineLevel="0" collapsed="false">
      <c r="A253" s="16" t="n">
        <v>20.18649426</v>
      </c>
      <c r="B253" s="16" t="n">
        <v>78.26039559</v>
      </c>
      <c r="C253" s="16" t="n">
        <v>19.6284626856677</v>
      </c>
      <c r="D253" s="6" t="s">
        <v>57</v>
      </c>
      <c r="E253" s="6" t="s">
        <v>57</v>
      </c>
      <c r="F253" s="6" t="s">
        <v>60</v>
      </c>
      <c r="G253" s="6" t="s">
        <v>61</v>
      </c>
      <c r="H253" s="6" t="s">
        <v>63</v>
      </c>
      <c r="I253" s="6" t="str">
        <f aca="false">IF(A253&lt;Outliers!$E$6,"Low",IF(A253&gt;Outliers!$F$6,"High",""))</f>
        <v/>
      </c>
      <c r="J253" s="6" t="str">
        <f aca="false">IF(B253&lt;Outliers!$E$7,"Low",IF(B253&gt;Outliers!$F$7,"High",""))</f>
        <v/>
      </c>
      <c r="K253" s="6" t="str">
        <f aca="false">IF(C253&lt;Outliers!$E$8,"Low",IF(C253&gt;Outliers!$F$8,"High",""))</f>
        <v/>
      </c>
      <c r="L253" s="6" t="str">
        <f aca="false">A253&amp;";"&amp;B253&amp;";"&amp;C253</f>
        <v>20.18649426;78.26039559;19.6284626856677</v>
      </c>
      <c r="M253" s="6" t="n">
        <f aca="false">IF(COUNTIF($L$2:$L$2201,L253)&gt;1,1,0)</f>
        <v>0</v>
      </c>
      <c r="N253" s="6" t="str">
        <f aca="false">IF(AND(C253&lt;Assumptions!$B$9,B253&lt;Assumptions!$B$10),"Irrigate Now",IF(AND(C253&gt;=Assumptions!$B$11,B253&gt;=Assumptions!$B$12),"No Irrigation Needed","Monitor"))</f>
        <v>Monitor</v>
      </c>
      <c r="O253" s="6" t="n">
        <f aca="false">IF(N253=G253,1,0)</f>
        <v>1</v>
      </c>
    </row>
    <row r="254" customFormat="false" ht="15" hidden="false" customHeight="false" outlineLevel="0" collapsed="false">
      <c r="A254" s="16" t="n">
        <v>17.30287885</v>
      </c>
      <c r="B254" s="16" t="n">
        <v>75.57790384</v>
      </c>
      <c r="C254" s="16" t="n">
        <v>18.5317864385955</v>
      </c>
      <c r="D254" s="6" t="s">
        <v>66</v>
      </c>
      <c r="E254" s="6" t="s">
        <v>57</v>
      </c>
      <c r="F254" s="6" t="s">
        <v>60</v>
      </c>
      <c r="G254" s="6" t="s">
        <v>61</v>
      </c>
      <c r="H254" s="6" t="s">
        <v>63</v>
      </c>
      <c r="I254" s="6" t="str">
        <f aca="false">IF(A254&lt;Outliers!$E$6,"Low",IF(A254&gt;Outliers!$F$6,"High",""))</f>
        <v/>
      </c>
      <c r="J254" s="6" t="str">
        <f aca="false">IF(B254&lt;Outliers!$E$7,"Low",IF(B254&gt;Outliers!$F$7,"High",""))</f>
        <v/>
      </c>
      <c r="K254" s="6" t="str">
        <f aca="false">IF(C254&lt;Outliers!$E$8,"Low",IF(C254&gt;Outliers!$F$8,"High",""))</f>
        <v/>
      </c>
      <c r="L254" s="6" t="str">
        <f aca="false">A254&amp;";"&amp;B254&amp;";"&amp;C254</f>
        <v>17.30287885;75.57790384;18.5317864385955</v>
      </c>
      <c r="M254" s="6" t="n">
        <f aca="false">IF(COUNTIF($L$2:$L$2201,L254)&gt;1,1,0)</f>
        <v>0</v>
      </c>
      <c r="N254" s="6" t="str">
        <f aca="false">IF(AND(C254&lt;Assumptions!$B$9,B254&lt;Assumptions!$B$10),"Irrigate Now",IF(AND(C254&gt;=Assumptions!$B$11,B254&gt;=Assumptions!$B$12),"No Irrigation Needed","Monitor"))</f>
        <v>Monitor</v>
      </c>
      <c r="O254" s="6" t="n">
        <f aca="false">IF(N254=G254,1,0)</f>
        <v>1</v>
      </c>
    </row>
    <row r="255" customFormat="false" ht="15" hidden="false" customHeight="false" outlineLevel="0" collapsed="false">
      <c r="A255" s="16" t="n">
        <v>17.50361137</v>
      </c>
      <c r="B255" s="16" t="n">
        <v>72.9446671</v>
      </c>
      <c r="C255" s="16" t="n">
        <v>21.738014197705</v>
      </c>
      <c r="D255" s="6" t="s">
        <v>66</v>
      </c>
      <c r="E255" s="6" t="s">
        <v>57</v>
      </c>
      <c r="F255" s="6" t="s">
        <v>60</v>
      </c>
      <c r="G255" s="6" t="s">
        <v>61</v>
      </c>
      <c r="H255" s="6" t="s">
        <v>63</v>
      </c>
      <c r="I255" s="6" t="str">
        <f aca="false">IF(A255&lt;Outliers!$E$6,"Low",IF(A255&gt;Outliers!$F$6,"High",""))</f>
        <v/>
      </c>
      <c r="J255" s="6" t="str">
        <f aca="false">IF(B255&lt;Outliers!$E$7,"Low",IF(B255&gt;Outliers!$F$7,"High",""))</f>
        <v/>
      </c>
      <c r="K255" s="6" t="str">
        <f aca="false">IF(C255&lt;Outliers!$E$8,"Low",IF(C255&gt;Outliers!$F$8,"High",""))</f>
        <v/>
      </c>
      <c r="L255" s="6" t="str">
        <f aca="false">A255&amp;";"&amp;B255&amp;";"&amp;C255</f>
        <v>17.50361137;72.9446671;21.738014197705</v>
      </c>
      <c r="M255" s="6" t="n">
        <f aca="false">IF(COUNTIF($L$2:$L$2201,L255)&gt;1,1,0)</f>
        <v>0</v>
      </c>
      <c r="N255" s="6" t="str">
        <f aca="false">IF(AND(C255&lt;Assumptions!$B$9,B255&lt;Assumptions!$B$10),"Irrigate Now",IF(AND(C255&gt;=Assumptions!$B$11,B255&gt;=Assumptions!$B$12),"No Irrigation Needed","Monitor"))</f>
        <v>Monitor</v>
      </c>
      <c r="O255" s="6" t="n">
        <f aca="false">IF(N255=G255,1,0)</f>
        <v>1</v>
      </c>
    </row>
    <row r="256" customFormat="false" ht="15" hidden="false" customHeight="false" outlineLevel="0" collapsed="false">
      <c r="A256" s="16" t="n">
        <v>18.17234999</v>
      </c>
      <c r="B256" s="16" t="n">
        <v>90.7760707</v>
      </c>
      <c r="C256" s="16" t="n">
        <v>22.0361447198616</v>
      </c>
      <c r="D256" s="6" t="s">
        <v>66</v>
      </c>
      <c r="E256" s="6" t="s">
        <v>57</v>
      </c>
      <c r="F256" s="6" t="s">
        <v>60</v>
      </c>
      <c r="G256" s="6" t="s">
        <v>61</v>
      </c>
      <c r="H256" s="6" t="s">
        <v>63</v>
      </c>
      <c r="I256" s="6" t="str">
        <f aca="false">IF(A256&lt;Outliers!$E$6,"Low",IF(A256&gt;Outliers!$F$6,"High",""))</f>
        <v/>
      </c>
      <c r="J256" s="6" t="str">
        <f aca="false">IF(B256&lt;Outliers!$E$7,"Low",IF(B256&gt;Outliers!$F$7,"High",""))</f>
        <v/>
      </c>
      <c r="K256" s="6" t="str">
        <f aca="false">IF(C256&lt;Outliers!$E$8,"Low",IF(C256&gt;Outliers!$F$8,"High",""))</f>
        <v/>
      </c>
      <c r="L256" s="6" t="str">
        <f aca="false">A256&amp;";"&amp;B256&amp;";"&amp;C256</f>
        <v>18.17234999;90.7760707;22.0361447198616</v>
      </c>
      <c r="M256" s="6" t="n">
        <f aca="false">IF(COUNTIF($L$2:$L$2201,L256)&gt;1,1,0)</f>
        <v>0</v>
      </c>
      <c r="N256" s="6" t="str">
        <f aca="false">IF(AND(C256&lt;Assumptions!$B$9,B256&lt;Assumptions!$B$10),"Irrigate Now",IF(AND(C256&gt;=Assumptions!$B$11,B256&gt;=Assumptions!$B$12),"No Irrigation Needed","Monitor"))</f>
        <v>Monitor</v>
      </c>
      <c r="O256" s="6" t="n">
        <f aca="false">IF(N256=G256,1,0)</f>
        <v>1</v>
      </c>
    </row>
    <row r="257" customFormat="false" ht="15" hidden="false" customHeight="false" outlineLevel="0" collapsed="false">
      <c r="A257" s="16" t="n">
        <v>17.57445618</v>
      </c>
      <c r="B257" s="16" t="n">
        <v>77.81891424</v>
      </c>
      <c r="C257" s="16" t="n">
        <v>21.059925818094</v>
      </c>
      <c r="D257" s="6" t="s">
        <v>66</v>
      </c>
      <c r="E257" s="6" t="s">
        <v>57</v>
      </c>
      <c r="F257" s="6" t="s">
        <v>60</v>
      </c>
      <c r="G257" s="6" t="s">
        <v>61</v>
      </c>
      <c r="H257" s="6" t="s">
        <v>63</v>
      </c>
      <c r="I257" s="6" t="str">
        <f aca="false">IF(A257&lt;Outliers!$E$6,"Low",IF(A257&gt;Outliers!$F$6,"High",""))</f>
        <v/>
      </c>
      <c r="J257" s="6" t="str">
        <f aca="false">IF(B257&lt;Outliers!$E$7,"Low",IF(B257&gt;Outliers!$F$7,"High",""))</f>
        <v/>
      </c>
      <c r="K257" s="6" t="str">
        <f aca="false">IF(C257&lt;Outliers!$E$8,"Low",IF(C257&gt;Outliers!$F$8,"High",""))</f>
        <v/>
      </c>
      <c r="L257" s="6" t="str">
        <f aca="false">A257&amp;";"&amp;B257&amp;";"&amp;C257</f>
        <v>17.57445618;77.81891424;21.059925818094</v>
      </c>
      <c r="M257" s="6" t="n">
        <f aca="false">IF(COUNTIF($L$2:$L$2201,L257)&gt;1,1,0)</f>
        <v>0</v>
      </c>
      <c r="N257" s="6" t="str">
        <f aca="false">IF(AND(C257&lt;Assumptions!$B$9,B257&lt;Assumptions!$B$10),"Irrigate Now",IF(AND(C257&gt;=Assumptions!$B$11,B257&gt;=Assumptions!$B$12),"No Irrigation Needed","Monitor"))</f>
        <v>Monitor</v>
      </c>
      <c r="O257" s="6" t="n">
        <f aca="false">IF(N257=G257,1,0)</f>
        <v>1</v>
      </c>
    </row>
    <row r="258" customFormat="false" ht="15" hidden="false" customHeight="false" outlineLevel="0" collapsed="false">
      <c r="A258" s="16" t="n">
        <v>20.93175255</v>
      </c>
      <c r="B258" s="16" t="n">
        <v>78.06910795</v>
      </c>
      <c r="C258" s="16" t="n">
        <v>24.822017865933</v>
      </c>
      <c r="D258" s="6" t="s">
        <v>57</v>
      </c>
      <c r="E258" s="6" t="s">
        <v>57</v>
      </c>
      <c r="F258" s="6" t="s">
        <v>23</v>
      </c>
      <c r="G258" s="6" t="s">
        <v>61</v>
      </c>
      <c r="H258" s="6" t="s">
        <v>63</v>
      </c>
      <c r="I258" s="6" t="str">
        <f aca="false">IF(A258&lt;Outliers!$E$6,"Low",IF(A258&gt;Outliers!$F$6,"High",""))</f>
        <v/>
      </c>
      <c r="J258" s="6" t="str">
        <f aca="false">IF(B258&lt;Outliers!$E$7,"Low",IF(B258&gt;Outliers!$F$7,"High",""))</f>
        <v/>
      </c>
      <c r="K258" s="6" t="str">
        <f aca="false">IF(C258&lt;Outliers!$E$8,"Low",IF(C258&gt;Outliers!$F$8,"High",""))</f>
        <v/>
      </c>
      <c r="L258" s="6" t="str">
        <f aca="false">A258&amp;";"&amp;B258&amp;";"&amp;C258</f>
        <v>20.93175255;78.06910795;24.822017865933</v>
      </c>
      <c r="M258" s="6" t="n">
        <f aca="false">IF(COUNTIF($L$2:$L$2201,L258)&gt;1,1,0)</f>
        <v>0</v>
      </c>
      <c r="N258" s="6" t="str">
        <f aca="false">IF(AND(C258&lt;Assumptions!$B$9,B258&lt;Assumptions!$B$10),"Irrigate Now",IF(AND(C258&gt;=Assumptions!$B$11,B258&gt;=Assumptions!$B$12),"No Irrigation Needed","Monitor"))</f>
        <v>Monitor</v>
      </c>
      <c r="O258" s="6" t="n">
        <f aca="false">IF(N258=G258,1,0)</f>
        <v>1</v>
      </c>
    </row>
    <row r="259" customFormat="false" ht="15" hidden="false" customHeight="false" outlineLevel="0" collapsed="false">
      <c r="A259" s="16" t="n">
        <v>19.71098332</v>
      </c>
      <c r="B259" s="16" t="n">
        <v>85.57925437</v>
      </c>
      <c r="C259" s="16" t="n">
        <v>29.9432114432551</v>
      </c>
      <c r="D259" s="6" t="s">
        <v>66</v>
      </c>
      <c r="E259" s="6" t="s">
        <v>57</v>
      </c>
      <c r="F259" s="6" t="s">
        <v>23</v>
      </c>
      <c r="G259" s="6" t="s">
        <v>61</v>
      </c>
      <c r="H259" s="6" t="s">
        <v>63</v>
      </c>
      <c r="I259" s="6" t="str">
        <f aca="false">IF(A259&lt;Outliers!$E$6,"Low",IF(A259&gt;Outliers!$F$6,"High",""))</f>
        <v/>
      </c>
      <c r="J259" s="6" t="str">
        <f aca="false">IF(B259&lt;Outliers!$E$7,"Low",IF(B259&gt;Outliers!$F$7,"High",""))</f>
        <v/>
      </c>
      <c r="K259" s="6" t="str">
        <f aca="false">IF(C259&lt;Outliers!$E$8,"Low",IF(C259&gt;Outliers!$F$8,"High",""))</f>
        <v/>
      </c>
      <c r="L259" s="6" t="str">
        <f aca="false">A259&amp;";"&amp;B259&amp;";"&amp;C259</f>
        <v>19.71098332;85.57925437;29.9432114432551</v>
      </c>
      <c r="M259" s="6" t="n">
        <f aca="false">IF(COUNTIF($L$2:$L$2201,L259)&gt;1,1,0)</f>
        <v>0</v>
      </c>
      <c r="N259" s="6" t="str">
        <f aca="false">IF(AND(C259&lt;Assumptions!$B$9,B259&lt;Assumptions!$B$10),"Irrigate Now",IF(AND(C259&gt;=Assumptions!$B$11,B259&gt;=Assumptions!$B$12),"No Irrigation Needed","Monitor"))</f>
        <v>Monitor</v>
      </c>
      <c r="O259" s="6" t="n">
        <f aca="false">IF(N259=G259,1,0)</f>
        <v>1</v>
      </c>
    </row>
    <row r="260" customFormat="false" ht="15" hidden="false" customHeight="false" outlineLevel="0" collapsed="false">
      <c r="A260" s="16" t="n">
        <v>19.07937684</v>
      </c>
      <c r="B260" s="16" t="n">
        <v>69.40619137</v>
      </c>
      <c r="C260" s="16" t="n">
        <v>29.0241727125213</v>
      </c>
      <c r="D260" s="6" t="s">
        <v>66</v>
      </c>
      <c r="E260" s="6" t="s">
        <v>57</v>
      </c>
      <c r="F260" s="6" t="s">
        <v>23</v>
      </c>
      <c r="G260" s="6" t="s">
        <v>61</v>
      </c>
      <c r="H260" s="6" t="s">
        <v>63</v>
      </c>
      <c r="I260" s="6" t="str">
        <f aca="false">IF(A260&lt;Outliers!$E$6,"Low",IF(A260&gt;Outliers!$F$6,"High",""))</f>
        <v/>
      </c>
      <c r="J260" s="6" t="str">
        <f aca="false">IF(B260&lt;Outliers!$E$7,"Low",IF(B260&gt;Outliers!$F$7,"High",""))</f>
        <v/>
      </c>
      <c r="K260" s="6" t="str">
        <f aca="false">IF(C260&lt;Outliers!$E$8,"Low",IF(C260&gt;Outliers!$F$8,"High",""))</f>
        <v/>
      </c>
      <c r="L260" s="6" t="str">
        <f aca="false">A260&amp;";"&amp;B260&amp;";"&amp;C260</f>
        <v>19.07937684;69.40619137;29.0241727125213</v>
      </c>
      <c r="M260" s="6" t="n">
        <f aca="false">IF(COUNTIF($L$2:$L$2201,L260)&gt;1,1,0)</f>
        <v>0</v>
      </c>
      <c r="N260" s="6" t="str">
        <f aca="false">IF(AND(C260&lt;Assumptions!$B$9,B260&lt;Assumptions!$B$10),"Irrigate Now",IF(AND(C260&gt;=Assumptions!$B$11,B260&gt;=Assumptions!$B$12),"No Irrigation Needed","Monitor"))</f>
        <v>Monitor</v>
      </c>
      <c r="O260" s="6" t="n">
        <f aca="false">IF(N260=G260,1,0)</f>
        <v>1</v>
      </c>
    </row>
    <row r="261" customFormat="false" ht="15" hidden="false" customHeight="false" outlineLevel="0" collapsed="false">
      <c r="A261" s="16" t="n">
        <v>18.54988627</v>
      </c>
      <c r="B261" s="16" t="n">
        <v>76.32565249</v>
      </c>
      <c r="C261" s="16" t="n">
        <v>11.6675797443666</v>
      </c>
      <c r="D261" s="6" t="s">
        <v>66</v>
      </c>
      <c r="E261" s="6" t="s">
        <v>57</v>
      </c>
      <c r="F261" s="6" t="s">
        <v>24</v>
      </c>
      <c r="G261" s="6" t="s">
        <v>64</v>
      </c>
      <c r="H261" s="6" t="s">
        <v>65</v>
      </c>
      <c r="I261" s="6" t="str">
        <f aca="false">IF(A261&lt;Outliers!$E$6,"Low",IF(A261&gt;Outliers!$F$6,"High",""))</f>
        <v/>
      </c>
      <c r="J261" s="6" t="str">
        <f aca="false">IF(B261&lt;Outliers!$E$7,"Low",IF(B261&gt;Outliers!$F$7,"High",""))</f>
        <v/>
      </c>
      <c r="K261" s="6" t="str">
        <f aca="false">IF(C261&lt;Outliers!$E$8,"Low",IF(C261&gt;Outliers!$F$8,"High",""))</f>
        <v/>
      </c>
      <c r="L261" s="6" t="str">
        <f aca="false">A261&amp;";"&amp;B261&amp;";"&amp;C261</f>
        <v>18.54988627;76.32565249;11.6675797443666</v>
      </c>
      <c r="M261" s="6" t="n">
        <f aca="false">IF(COUNTIF($L$2:$L$2201,L261)&gt;1,1,0)</f>
        <v>0</v>
      </c>
      <c r="N261" s="6" t="str">
        <f aca="false">IF(AND(C261&lt;Assumptions!$B$9,B261&lt;Assumptions!$B$10),"Irrigate Now",IF(AND(C261&gt;=Assumptions!$B$11,B261&gt;=Assumptions!$B$12),"No Irrigation Needed","Monitor"))</f>
        <v>Irrigate Now</v>
      </c>
      <c r="O261" s="6" t="n">
        <f aca="false">IF(N261=G261,1,0)</f>
        <v>1</v>
      </c>
    </row>
    <row r="262" customFormat="false" ht="15" hidden="false" customHeight="false" outlineLevel="0" collapsed="false">
      <c r="A262" s="16" t="n">
        <v>18.19903647</v>
      </c>
      <c r="B262" s="16" t="n">
        <v>80.6405403</v>
      </c>
      <c r="C262" s="16" t="n">
        <v>21.8000741378335</v>
      </c>
      <c r="D262" s="6" t="s">
        <v>66</v>
      </c>
      <c r="E262" s="6" t="s">
        <v>57</v>
      </c>
      <c r="F262" s="6" t="s">
        <v>60</v>
      </c>
      <c r="G262" s="6" t="s">
        <v>61</v>
      </c>
      <c r="H262" s="6" t="s">
        <v>63</v>
      </c>
      <c r="I262" s="6" t="str">
        <f aca="false">IF(A262&lt;Outliers!$E$6,"Low",IF(A262&gt;Outliers!$F$6,"High",""))</f>
        <v/>
      </c>
      <c r="J262" s="6" t="str">
        <f aca="false">IF(B262&lt;Outliers!$E$7,"Low",IF(B262&gt;Outliers!$F$7,"High",""))</f>
        <v/>
      </c>
      <c r="K262" s="6" t="str">
        <f aca="false">IF(C262&lt;Outliers!$E$8,"Low",IF(C262&gt;Outliers!$F$8,"High",""))</f>
        <v/>
      </c>
      <c r="L262" s="6" t="str">
        <f aca="false">A262&amp;";"&amp;B262&amp;";"&amp;C262</f>
        <v>18.19903647;80.6405403;21.8000741378335</v>
      </c>
      <c r="M262" s="6" t="n">
        <f aca="false">IF(COUNTIF($L$2:$L$2201,L262)&gt;1,1,0)</f>
        <v>0</v>
      </c>
      <c r="N262" s="6" t="str">
        <f aca="false">IF(AND(C262&lt;Assumptions!$B$9,B262&lt;Assumptions!$B$10),"Irrigate Now",IF(AND(C262&gt;=Assumptions!$B$11,B262&gt;=Assumptions!$B$12),"No Irrigation Needed","Monitor"))</f>
        <v>Monitor</v>
      </c>
      <c r="O262" s="6" t="n">
        <f aca="false">IF(N262=G262,1,0)</f>
        <v>1</v>
      </c>
    </row>
    <row r="263" customFormat="false" ht="15" hidden="false" customHeight="false" outlineLevel="0" collapsed="false">
      <c r="A263" s="16" t="n">
        <v>18.88852533</v>
      </c>
      <c r="B263" s="16" t="n">
        <v>80.1113384</v>
      </c>
      <c r="C263" s="16" t="n">
        <v>18.0674760262259</v>
      </c>
      <c r="D263" s="6" t="s">
        <v>66</v>
      </c>
      <c r="E263" s="6" t="s">
        <v>57</v>
      </c>
      <c r="F263" s="6" t="s">
        <v>60</v>
      </c>
      <c r="G263" s="6" t="s">
        <v>61</v>
      </c>
      <c r="H263" s="6" t="s">
        <v>63</v>
      </c>
      <c r="I263" s="6" t="str">
        <f aca="false">IF(A263&lt;Outliers!$E$6,"Low",IF(A263&gt;Outliers!$F$6,"High",""))</f>
        <v/>
      </c>
      <c r="J263" s="6" t="str">
        <f aca="false">IF(B263&lt;Outliers!$E$7,"Low",IF(B263&gt;Outliers!$F$7,"High",""))</f>
        <v/>
      </c>
      <c r="K263" s="6" t="str">
        <f aca="false">IF(C263&lt;Outliers!$E$8,"Low",IF(C263&gt;Outliers!$F$8,"High",""))</f>
        <v/>
      </c>
      <c r="L263" s="6" t="str">
        <f aca="false">A263&amp;";"&amp;B263&amp;";"&amp;C263</f>
        <v>18.88852533;80.1113384;18.0674760262259</v>
      </c>
      <c r="M263" s="6" t="n">
        <f aca="false">IF(COUNTIF($L$2:$L$2201,L263)&gt;1,1,0)</f>
        <v>0</v>
      </c>
      <c r="N263" s="6" t="str">
        <f aca="false">IF(AND(C263&lt;Assumptions!$B$9,B263&lt;Assumptions!$B$10),"Irrigate Now",IF(AND(C263&gt;=Assumptions!$B$11,B263&gt;=Assumptions!$B$12),"No Irrigation Needed","Monitor"))</f>
        <v>Monitor</v>
      </c>
      <c r="O263" s="6" t="n">
        <f aca="false">IF(N263=G263,1,0)</f>
        <v>1</v>
      </c>
    </row>
    <row r="264" customFormat="false" ht="15" hidden="false" customHeight="false" outlineLevel="0" collapsed="false">
      <c r="A264" s="16" t="n">
        <v>18.49311205</v>
      </c>
      <c r="B264" s="16" t="n">
        <v>91.94595352</v>
      </c>
      <c r="C264" s="16" t="n">
        <v>24.037268835277</v>
      </c>
      <c r="D264" s="6" t="s">
        <v>66</v>
      </c>
      <c r="E264" s="6" t="s">
        <v>57</v>
      </c>
      <c r="F264" s="6" t="s">
        <v>60</v>
      </c>
      <c r="G264" s="6" t="s">
        <v>61</v>
      </c>
      <c r="H264" s="6" t="s">
        <v>63</v>
      </c>
      <c r="I264" s="6" t="str">
        <f aca="false">IF(A264&lt;Outliers!$E$6,"Low",IF(A264&gt;Outliers!$F$6,"High",""))</f>
        <v/>
      </c>
      <c r="J264" s="6" t="str">
        <f aca="false">IF(B264&lt;Outliers!$E$7,"Low",IF(B264&gt;Outliers!$F$7,"High",""))</f>
        <v/>
      </c>
      <c r="K264" s="6" t="str">
        <f aca="false">IF(C264&lt;Outliers!$E$8,"Low",IF(C264&gt;Outliers!$F$8,"High",""))</f>
        <v/>
      </c>
      <c r="L264" s="6" t="str">
        <f aca="false">A264&amp;";"&amp;B264&amp;";"&amp;C264</f>
        <v>18.49311205;91.94595352;24.037268835277</v>
      </c>
      <c r="M264" s="6" t="n">
        <f aca="false">IF(COUNTIF($L$2:$L$2201,L264)&gt;1,1,0)</f>
        <v>0</v>
      </c>
      <c r="N264" s="6" t="str">
        <f aca="false">IF(AND(C264&lt;Assumptions!$B$9,B264&lt;Assumptions!$B$10),"Irrigate Now",IF(AND(C264&gt;=Assumptions!$B$11,B264&gt;=Assumptions!$B$12),"No Irrigation Needed","Monitor"))</f>
        <v>Monitor</v>
      </c>
      <c r="O264" s="6" t="n">
        <f aca="false">IF(N264=G264,1,0)</f>
        <v>1</v>
      </c>
    </row>
    <row r="265" customFormat="false" ht="15" hidden="false" customHeight="false" outlineLevel="0" collapsed="false">
      <c r="A265" s="16" t="n">
        <v>19.48974337</v>
      </c>
      <c r="B265" s="16" t="n">
        <v>87.51312796</v>
      </c>
      <c r="C265" s="16" t="n">
        <v>14.2390760353894</v>
      </c>
      <c r="D265" s="6" t="s">
        <v>66</v>
      </c>
      <c r="E265" s="6" t="s">
        <v>57</v>
      </c>
      <c r="F265" s="6" t="s">
        <v>24</v>
      </c>
      <c r="G265" s="6" t="s">
        <v>64</v>
      </c>
      <c r="H265" s="6" t="s">
        <v>65</v>
      </c>
      <c r="I265" s="6" t="str">
        <f aca="false">IF(A265&lt;Outliers!$E$6,"Low",IF(A265&gt;Outliers!$F$6,"High",""))</f>
        <v/>
      </c>
      <c r="J265" s="6" t="str">
        <f aca="false">IF(B265&lt;Outliers!$E$7,"Low",IF(B265&gt;Outliers!$F$7,"High",""))</f>
        <v/>
      </c>
      <c r="K265" s="6" t="str">
        <f aca="false">IF(C265&lt;Outliers!$E$8,"Low",IF(C265&gt;Outliers!$F$8,"High",""))</f>
        <v/>
      </c>
      <c r="L265" s="6" t="str">
        <f aca="false">A265&amp;";"&amp;B265&amp;";"&amp;C265</f>
        <v>19.48974337;87.51312796;14.2390760353894</v>
      </c>
      <c r="M265" s="6" t="n">
        <f aca="false">IF(COUNTIF($L$2:$L$2201,L265)&gt;1,1,0)</f>
        <v>0</v>
      </c>
      <c r="N265" s="6" t="str">
        <f aca="false">IF(AND(C265&lt;Assumptions!$B$9,B265&lt;Assumptions!$B$10),"Irrigate Now",IF(AND(C265&gt;=Assumptions!$B$11,B265&gt;=Assumptions!$B$12),"No Irrigation Needed","Monitor"))</f>
        <v>Irrigate Now</v>
      </c>
      <c r="O265" s="6" t="n">
        <f aca="false">IF(N265=G265,1,0)</f>
        <v>1</v>
      </c>
    </row>
    <row r="266" customFormat="false" ht="15" hidden="false" customHeight="false" outlineLevel="0" collapsed="false">
      <c r="A266" s="16" t="n">
        <v>17.25769499</v>
      </c>
      <c r="B266" s="16" t="n">
        <v>94.00287214</v>
      </c>
      <c r="C266" s="16" t="n">
        <v>11.8285937485254</v>
      </c>
      <c r="D266" s="6" t="s">
        <v>66</v>
      </c>
      <c r="E266" s="6" t="s">
        <v>57</v>
      </c>
      <c r="F266" s="6" t="s">
        <v>24</v>
      </c>
      <c r="G266" s="6" t="s">
        <v>64</v>
      </c>
      <c r="H266" s="6" t="s">
        <v>65</v>
      </c>
      <c r="I266" s="6" t="str">
        <f aca="false">IF(A266&lt;Outliers!$E$6,"Low",IF(A266&gt;Outliers!$F$6,"High",""))</f>
        <v/>
      </c>
      <c r="J266" s="6" t="str">
        <f aca="false">IF(B266&lt;Outliers!$E$7,"Low",IF(B266&gt;Outliers!$F$7,"High",""))</f>
        <v/>
      </c>
      <c r="K266" s="6" t="str">
        <f aca="false">IF(C266&lt;Outliers!$E$8,"Low",IF(C266&gt;Outliers!$F$8,"High",""))</f>
        <v/>
      </c>
      <c r="L266" s="6" t="str">
        <f aca="false">A266&amp;";"&amp;B266&amp;";"&amp;C266</f>
        <v>17.25769499;94.00287214;11.8285937485254</v>
      </c>
      <c r="M266" s="6" t="n">
        <f aca="false">IF(COUNTIF($L$2:$L$2201,L266)&gt;1,1,0)</f>
        <v>0</v>
      </c>
      <c r="N266" s="6" t="str">
        <f aca="false">IF(AND(C266&lt;Assumptions!$B$9,B266&lt;Assumptions!$B$10),"Irrigate Now",IF(AND(C266&gt;=Assumptions!$B$11,B266&gt;=Assumptions!$B$12),"No Irrigation Needed","Monitor"))</f>
        <v>Irrigate Now</v>
      </c>
      <c r="O266" s="6" t="n">
        <f aca="false">IF(N266=G266,1,0)</f>
        <v>1</v>
      </c>
    </row>
    <row r="267" customFormat="false" ht="15" hidden="false" customHeight="false" outlineLevel="0" collapsed="false">
      <c r="A267" s="16" t="n">
        <v>19.62416326</v>
      </c>
      <c r="B267" s="16" t="n">
        <v>88.4585692</v>
      </c>
      <c r="C267" s="16" t="n">
        <v>15.8970719747509</v>
      </c>
      <c r="D267" s="6" t="s">
        <v>66</v>
      </c>
      <c r="E267" s="6" t="s">
        <v>57</v>
      </c>
      <c r="F267" s="6" t="s">
        <v>24</v>
      </c>
      <c r="G267" s="6" t="s">
        <v>64</v>
      </c>
      <c r="H267" s="6" t="s">
        <v>65</v>
      </c>
      <c r="I267" s="6" t="str">
        <f aca="false">IF(A267&lt;Outliers!$E$6,"Low",IF(A267&gt;Outliers!$F$6,"High",""))</f>
        <v/>
      </c>
      <c r="J267" s="6" t="str">
        <f aca="false">IF(B267&lt;Outliers!$E$7,"Low",IF(B267&gt;Outliers!$F$7,"High",""))</f>
        <v/>
      </c>
      <c r="K267" s="6" t="str">
        <f aca="false">IF(C267&lt;Outliers!$E$8,"Low",IF(C267&gt;Outliers!$F$8,"High",""))</f>
        <v/>
      </c>
      <c r="L267" s="6" t="str">
        <f aca="false">A267&amp;";"&amp;B267&amp;";"&amp;C267</f>
        <v>19.62416326;88.4585692;15.8970719747509</v>
      </c>
      <c r="M267" s="6" t="n">
        <f aca="false">IF(COUNTIF($L$2:$L$2201,L267)&gt;1,1,0)</f>
        <v>0</v>
      </c>
      <c r="N267" s="6" t="str">
        <f aca="false">IF(AND(C267&lt;Assumptions!$B$9,B267&lt;Assumptions!$B$10),"Irrigate Now",IF(AND(C267&gt;=Assumptions!$B$11,B267&gt;=Assumptions!$B$12),"No Irrigation Needed","Monitor"))</f>
        <v>Irrigate Now</v>
      </c>
      <c r="O267" s="6" t="n">
        <f aca="false">IF(N267=G267,1,0)</f>
        <v>1</v>
      </c>
    </row>
    <row r="268" customFormat="false" ht="15" hidden="false" customHeight="false" outlineLevel="0" collapsed="false">
      <c r="A268" s="16" t="n">
        <v>20.67526473</v>
      </c>
      <c r="B268" s="16" t="n">
        <v>84.78344008</v>
      </c>
      <c r="C268" s="16" t="n">
        <v>19.9476213183675</v>
      </c>
      <c r="D268" s="6" t="s">
        <v>57</v>
      </c>
      <c r="E268" s="6" t="s">
        <v>57</v>
      </c>
      <c r="F268" s="6" t="s">
        <v>60</v>
      </c>
      <c r="G268" s="6" t="s">
        <v>61</v>
      </c>
      <c r="H268" s="6" t="s">
        <v>63</v>
      </c>
      <c r="I268" s="6" t="str">
        <f aca="false">IF(A268&lt;Outliers!$E$6,"Low",IF(A268&gt;Outliers!$F$6,"High",""))</f>
        <v/>
      </c>
      <c r="J268" s="6" t="str">
        <f aca="false">IF(B268&lt;Outliers!$E$7,"Low",IF(B268&gt;Outliers!$F$7,"High",""))</f>
        <v/>
      </c>
      <c r="K268" s="6" t="str">
        <f aca="false">IF(C268&lt;Outliers!$E$8,"Low",IF(C268&gt;Outliers!$F$8,"High",""))</f>
        <v/>
      </c>
      <c r="L268" s="6" t="str">
        <f aca="false">A268&amp;";"&amp;B268&amp;";"&amp;C268</f>
        <v>20.67526473;84.78344008;19.9476213183675</v>
      </c>
      <c r="M268" s="6" t="n">
        <f aca="false">IF(COUNTIF($L$2:$L$2201,L268)&gt;1,1,0)</f>
        <v>0</v>
      </c>
      <c r="N268" s="6" t="str">
        <f aca="false">IF(AND(C268&lt;Assumptions!$B$9,B268&lt;Assumptions!$B$10),"Irrigate Now",IF(AND(C268&gt;=Assumptions!$B$11,B268&gt;=Assumptions!$B$12),"No Irrigation Needed","Monitor"))</f>
        <v>Monitor</v>
      </c>
      <c r="O268" s="6" t="n">
        <f aca="false">IF(N268=G268,1,0)</f>
        <v>1</v>
      </c>
    </row>
    <row r="269" customFormat="false" ht="15" hidden="false" customHeight="false" outlineLevel="0" collapsed="false">
      <c r="A269" s="16" t="n">
        <v>20.02381489</v>
      </c>
      <c r="B269" s="16" t="n">
        <v>68.97806542</v>
      </c>
      <c r="C269" s="16" t="n">
        <v>28.250741125292</v>
      </c>
      <c r="D269" s="6" t="s">
        <v>57</v>
      </c>
      <c r="E269" s="6" t="s">
        <v>57</v>
      </c>
      <c r="F269" s="6" t="s">
        <v>23</v>
      </c>
      <c r="G269" s="6" t="s">
        <v>61</v>
      </c>
      <c r="H269" s="6" t="s">
        <v>63</v>
      </c>
      <c r="I269" s="6" t="str">
        <f aca="false">IF(A269&lt;Outliers!$E$6,"Low",IF(A269&gt;Outliers!$F$6,"High",""))</f>
        <v/>
      </c>
      <c r="J269" s="6" t="str">
        <f aca="false">IF(B269&lt;Outliers!$E$7,"Low",IF(B269&gt;Outliers!$F$7,"High",""))</f>
        <v/>
      </c>
      <c r="K269" s="6" t="str">
        <f aca="false">IF(C269&lt;Outliers!$E$8,"Low",IF(C269&gt;Outliers!$F$8,"High",""))</f>
        <v/>
      </c>
      <c r="L269" s="6" t="str">
        <f aca="false">A269&amp;";"&amp;B269&amp;";"&amp;C269</f>
        <v>20.02381489;68.97806542;28.250741125292</v>
      </c>
      <c r="M269" s="6" t="n">
        <f aca="false">IF(COUNTIF($L$2:$L$2201,L269)&gt;1,1,0)</f>
        <v>0</v>
      </c>
      <c r="N269" s="6" t="str">
        <f aca="false">IF(AND(C269&lt;Assumptions!$B$9,B269&lt;Assumptions!$B$10),"Irrigate Now",IF(AND(C269&gt;=Assumptions!$B$11,B269&gt;=Assumptions!$B$12),"No Irrigation Needed","Monitor"))</f>
        <v>Monitor</v>
      </c>
      <c r="O269" s="6" t="n">
        <f aca="false">IF(N269=G269,1,0)</f>
        <v>1</v>
      </c>
    </row>
    <row r="270" customFormat="false" ht="15" hidden="false" customHeight="false" outlineLevel="0" collapsed="false">
      <c r="A270" s="16" t="n">
        <v>20.1187446</v>
      </c>
      <c r="B270" s="16" t="n">
        <v>88.68168643</v>
      </c>
      <c r="C270" s="16" t="n">
        <v>11.6565471853564</v>
      </c>
      <c r="D270" s="6" t="s">
        <v>57</v>
      </c>
      <c r="E270" s="6" t="s">
        <v>57</v>
      </c>
      <c r="F270" s="6" t="s">
        <v>24</v>
      </c>
      <c r="G270" s="6" t="s">
        <v>64</v>
      </c>
      <c r="H270" s="6" t="s">
        <v>65</v>
      </c>
      <c r="I270" s="6" t="str">
        <f aca="false">IF(A270&lt;Outliers!$E$6,"Low",IF(A270&gt;Outliers!$F$6,"High",""))</f>
        <v/>
      </c>
      <c r="J270" s="6" t="str">
        <f aca="false">IF(B270&lt;Outliers!$E$7,"Low",IF(B270&gt;Outliers!$F$7,"High",""))</f>
        <v/>
      </c>
      <c r="K270" s="6" t="str">
        <f aca="false">IF(C270&lt;Outliers!$E$8,"Low",IF(C270&gt;Outliers!$F$8,"High",""))</f>
        <v/>
      </c>
      <c r="L270" s="6" t="str">
        <f aca="false">A270&amp;";"&amp;B270&amp;";"&amp;C270</f>
        <v>20.1187446;88.68168643;11.6565471853564</v>
      </c>
      <c r="M270" s="6" t="n">
        <f aca="false">IF(COUNTIF($L$2:$L$2201,L270)&gt;1,1,0)</f>
        <v>0</v>
      </c>
      <c r="N270" s="6" t="str">
        <f aca="false">IF(AND(C270&lt;Assumptions!$B$9,B270&lt;Assumptions!$B$10),"Irrigate Now",IF(AND(C270&gt;=Assumptions!$B$11,B270&gt;=Assumptions!$B$12),"No Irrigation Needed","Monitor"))</f>
        <v>Irrigate Now</v>
      </c>
      <c r="O270" s="6" t="n">
        <f aca="false">IF(N270=G270,1,0)</f>
        <v>1</v>
      </c>
    </row>
    <row r="271" customFormat="false" ht="15" hidden="false" customHeight="false" outlineLevel="0" collapsed="false">
      <c r="A271" s="16" t="n">
        <v>20.65691793</v>
      </c>
      <c r="B271" s="16" t="n">
        <v>65.23811143</v>
      </c>
      <c r="C271" s="16" t="n">
        <v>29.9799659833682</v>
      </c>
      <c r="D271" s="6" t="s">
        <v>57</v>
      </c>
      <c r="E271" s="6" t="s">
        <v>57</v>
      </c>
      <c r="F271" s="6" t="s">
        <v>23</v>
      </c>
      <c r="G271" s="6" t="s">
        <v>61</v>
      </c>
      <c r="H271" s="6" t="s">
        <v>63</v>
      </c>
      <c r="I271" s="6" t="str">
        <f aca="false">IF(A271&lt;Outliers!$E$6,"Low",IF(A271&gt;Outliers!$F$6,"High",""))</f>
        <v/>
      </c>
      <c r="J271" s="6" t="str">
        <f aca="false">IF(B271&lt;Outliers!$E$7,"Low",IF(B271&gt;Outliers!$F$7,"High",""))</f>
        <v/>
      </c>
      <c r="K271" s="6" t="str">
        <f aca="false">IF(C271&lt;Outliers!$E$8,"Low",IF(C271&gt;Outliers!$F$8,"High",""))</f>
        <v/>
      </c>
      <c r="L271" s="6" t="str">
        <f aca="false">A271&amp;";"&amp;B271&amp;";"&amp;C271</f>
        <v>20.65691793;65.23811143;29.9799659833682</v>
      </c>
      <c r="M271" s="6" t="n">
        <f aca="false">IF(COUNTIF($L$2:$L$2201,L271)&gt;1,1,0)</f>
        <v>0</v>
      </c>
      <c r="N271" s="6" t="str">
        <f aca="false">IF(AND(C271&lt;Assumptions!$B$9,B271&lt;Assumptions!$B$10),"Irrigate Now",IF(AND(C271&gt;=Assumptions!$B$11,B271&gt;=Assumptions!$B$12),"No Irrigation Needed","Monitor"))</f>
        <v>Monitor</v>
      </c>
      <c r="O271" s="6" t="n">
        <f aca="false">IF(N271=G271,1,0)</f>
        <v>1</v>
      </c>
    </row>
    <row r="272" customFormat="false" ht="15" hidden="false" customHeight="false" outlineLevel="0" collapsed="false">
      <c r="A272" s="16" t="n">
        <v>19.2582557</v>
      </c>
      <c r="B272" s="16" t="n">
        <v>65.78042032</v>
      </c>
      <c r="C272" s="16" t="n">
        <v>27.3934465892458</v>
      </c>
      <c r="D272" s="6" t="s">
        <v>66</v>
      </c>
      <c r="E272" s="6" t="s">
        <v>57</v>
      </c>
      <c r="F272" s="6" t="s">
        <v>23</v>
      </c>
      <c r="G272" s="6" t="s">
        <v>61</v>
      </c>
      <c r="H272" s="6" t="s">
        <v>63</v>
      </c>
      <c r="I272" s="6" t="str">
        <f aca="false">IF(A272&lt;Outliers!$E$6,"Low",IF(A272&gt;Outliers!$F$6,"High",""))</f>
        <v/>
      </c>
      <c r="J272" s="6" t="str">
        <f aca="false">IF(B272&lt;Outliers!$E$7,"Low",IF(B272&gt;Outliers!$F$7,"High",""))</f>
        <v/>
      </c>
      <c r="K272" s="6" t="str">
        <f aca="false">IF(C272&lt;Outliers!$E$8,"Low",IF(C272&gt;Outliers!$F$8,"High",""))</f>
        <v/>
      </c>
      <c r="L272" s="6" t="str">
        <f aca="false">A272&amp;";"&amp;B272&amp;";"&amp;C272</f>
        <v>19.2582557;65.78042032;27.3934465892458</v>
      </c>
      <c r="M272" s="6" t="n">
        <f aca="false">IF(COUNTIF($L$2:$L$2201,L272)&gt;1,1,0)</f>
        <v>0</v>
      </c>
      <c r="N272" s="6" t="str">
        <f aca="false">IF(AND(C272&lt;Assumptions!$B$9,B272&lt;Assumptions!$B$10),"Irrigate Now",IF(AND(C272&gt;=Assumptions!$B$11,B272&gt;=Assumptions!$B$12),"No Irrigation Needed","Monitor"))</f>
        <v>Monitor</v>
      </c>
      <c r="O272" s="6" t="n">
        <f aca="false">IF(N272=G272,1,0)</f>
        <v>1</v>
      </c>
    </row>
    <row r="273" customFormat="false" ht="15" hidden="false" customHeight="false" outlineLevel="0" collapsed="false">
      <c r="A273" s="16" t="n">
        <v>17.927806</v>
      </c>
      <c r="B273" s="16" t="n">
        <v>74.63872762</v>
      </c>
      <c r="C273" s="16" t="n">
        <v>26.4785819694198</v>
      </c>
      <c r="D273" s="6" t="s">
        <v>66</v>
      </c>
      <c r="E273" s="6" t="s">
        <v>57</v>
      </c>
      <c r="F273" s="6" t="s">
        <v>23</v>
      </c>
      <c r="G273" s="6" t="s">
        <v>61</v>
      </c>
      <c r="H273" s="6" t="s">
        <v>63</v>
      </c>
      <c r="I273" s="6" t="str">
        <f aca="false">IF(A273&lt;Outliers!$E$6,"Low",IF(A273&gt;Outliers!$F$6,"High",""))</f>
        <v/>
      </c>
      <c r="J273" s="6" t="str">
        <f aca="false">IF(B273&lt;Outliers!$E$7,"Low",IF(B273&gt;Outliers!$F$7,"High",""))</f>
        <v/>
      </c>
      <c r="K273" s="6" t="str">
        <f aca="false">IF(C273&lt;Outliers!$E$8,"Low",IF(C273&gt;Outliers!$F$8,"High",""))</f>
        <v/>
      </c>
      <c r="L273" s="6" t="str">
        <f aca="false">A273&amp;";"&amp;B273&amp;";"&amp;C273</f>
        <v>17.927806;74.63872762;26.4785819694198</v>
      </c>
      <c r="M273" s="6" t="n">
        <f aca="false">IF(COUNTIF($L$2:$L$2201,L273)&gt;1,1,0)</f>
        <v>0</v>
      </c>
      <c r="N273" s="6" t="str">
        <f aca="false">IF(AND(C273&lt;Assumptions!$B$9,B273&lt;Assumptions!$B$10),"Irrigate Now",IF(AND(C273&gt;=Assumptions!$B$11,B273&gt;=Assumptions!$B$12),"No Irrigation Needed","Monitor"))</f>
        <v>Monitor</v>
      </c>
      <c r="O273" s="6" t="n">
        <f aca="false">IF(N273=G273,1,0)</f>
        <v>1</v>
      </c>
    </row>
    <row r="274" customFormat="false" ht="15" hidden="false" customHeight="false" outlineLevel="0" collapsed="false">
      <c r="A274" s="16" t="n">
        <v>19.16288268</v>
      </c>
      <c r="B274" s="16" t="n">
        <v>82.69766829</v>
      </c>
      <c r="C274" s="16" t="n">
        <v>26.6785011124016</v>
      </c>
      <c r="D274" s="6" t="s">
        <v>66</v>
      </c>
      <c r="E274" s="6" t="s">
        <v>57</v>
      </c>
      <c r="F274" s="6" t="s">
        <v>23</v>
      </c>
      <c r="G274" s="6" t="s">
        <v>61</v>
      </c>
      <c r="H274" s="6" t="s">
        <v>63</v>
      </c>
      <c r="I274" s="6" t="str">
        <f aca="false">IF(A274&lt;Outliers!$E$6,"Low",IF(A274&gt;Outliers!$F$6,"High",""))</f>
        <v/>
      </c>
      <c r="J274" s="6" t="str">
        <f aca="false">IF(B274&lt;Outliers!$E$7,"Low",IF(B274&gt;Outliers!$F$7,"High",""))</f>
        <v/>
      </c>
      <c r="K274" s="6" t="str">
        <f aca="false">IF(C274&lt;Outliers!$E$8,"Low",IF(C274&gt;Outliers!$F$8,"High",""))</f>
        <v/>
      </c>
      <c r="L274" s="6" t="str">
        <f aca="false">A274&amp;";"&amp;B274&amp;";"&amp;C274</f>
        <v>19.16288268;82.69766829;26.6785011124016</v>
      </c>
      <c r="M274" s="6" t="n">
        <f aca="false">IF(COUNTIF($L$2:$L$2201,L274)&gt;1,1,0)</f>
        <v>0</v>
      </c>
      <c r="N274" s="6" t="str">
        <f aca="false">IF(AND(C274&lt;Assumptions!$B$9,B274&lt;Assumptions!$B$10),"Irrigate Now",IF(AND(C274&gt;=Assumptions!$B$11,B274&gt;=Assumptions!$B$12),"No Irrigation Needed","Monitor"))</f>
        <v>Monitor</v>
      </c>
      <c r="O274" s="6" t="n">
        <f aca="false">IF(N274=G274,1,0)</f>
        <v>1</v>
      </c>
    </row>
    <row r="275" customFormat="false" ht="15" hidden="false" customHeight="false" outlineLevel="0" collapsed="false">
      <c r="A275" s="16" t="n">
        <v>20.26942271</v>
      </c>
      <c r="B275" s="16" t="n">
        <v>69.64449182</v>
      </c>
      <c r="C275" s="16" t="n">
        <v>19.7385299865353</v>
      </c>
      <c r="D275" s="6" t="s">
        <v>57</v>
      </c>
      <c r="E275" s="6" t="s">
        <v>57</v>
      </c>
      <c r="F275" s="6" t="s">
        <v>60</v>
      </c>
      <c r="G275" s="6" t="s">
        <v>61</v>
      </c>
      <c r="H275" s="6" t="s">
        <v>63</v>
      </c>
      <c r="I275" s="6" t="str">
        <f aca="false">IF(A275&lt;Outliers!$E$6,"Low",IF(A275&gt;Outliers!$F$6,"High",""))</f>
        <v/>
      </c>
      <c r="J275" s="6" t="str">
        <f aca="false">IF(B275&lt;Outliers!$E$7,"Low",IF(B275&gt;Outliers!$F$7,"High",""))</f>
        <v/>
      </c>
      <c r="K275" s="6" t="str">
        <f aca="false">IF(C275&lt;Outliers!$E$8,"Low",IF(C275&gt;Outliers!$F$8,"High",""))</f>
        <v/>
      </c>
      <c r="L275" s="6" t="str">
        <f aca="false">A275&amp;";"&amp;B275&amp;";"&amp;C275</f>
        <v>20.26942271;69.64449182;19.7385299865353</v>
      </c>
      <c r="M275" s="6" t="n">
        <f aca="false">IF(COUNTIF($L$2:$L$2201,L275)&gt;1,1,0)</f>
        <v>0</v>
      </c>
      <c r="N275" s="6" t="str">
        <f aca="false">IF(AND(C275&lt;Assumptions!$B$9,B275&lt;Assumptions!$B$10),"Irrigate Now",IF(AND(C275&gt;=Assumptions!$B$11,B275&gt;=Assumptions!$B$12),"No Irrigation Needed","Monitor"))</f>
        <v>Monitor</v>
      </c>
      <c r="O275" s="6" t="n">
        <f aca="false">IF(N275=G275,1,0)</f>
        <v>1</v>
      </c>
    </row>
    <row r="276" customFormat="false" ht="15" hidden="false" customHeight="false" outlineLevel="0" collapsed="false">
      <c r="A276" s="16" t="n">
        <v>17.09104223</v>
      </c>
      <c r="B276" s="16" t="n">
        <v>87.27444866</v>
      </c>
      <c r="C276" s="16" t="n">
        <v>28.383699425159</v>
      </c>
      <c r="D276" s="6" t="s">
        <v>66</v>
      </c>
      <c r="E276" s="6" t="s">
        <v>57</v>
      </c>
      <c r="F276" s="6" t="s">
        <v>23</v>
      </c>
      <c r="G276" s="6" t="s">
        <v>61</v>
      </c>
      <c r="H276" s="6" t="s">
        <v>63</v>
      </c>
      <c r="I276" s="6" t="str">
        <f aca="false">IF(A276&lt;Outliers!$E$6,"Low",IF(A276&gt;Outliers!$F$6,"High",""))</f>
        <v/>
      </c>
      <c r="J276" s="6" t="str">
        <f aca="false">IF(B276&lt;Outliers!$E$7,"Low",IF(B276&gt;Outliers!$F$7,"High",""))</f>
        <v/>
      </c>
      <c r="K276" s="6" t="str">
        <f aca="false">IF(C276&lt;Outliers!$E$8,"Low",IF(C276&gt;Outliers!$F$8,"High",""))</f>
        <v/>
      </c>
      <c r="L276" s="6" t="str">
        <f aca="false">A276&amp;";"&amp;B276&amp;";"&amp;C276</f>
        <v>17.09104223;87.27444866;28.383699425159</v>
      </c>
      <c r="M276" s="6" t="n">
        <f aca="false">IF(COUNTIF($L$2:$L$2201,L276)&gt;1,1,0)</f>
        <v>0</v>
      </c>
      <c r="N276" s="6" t="str">
        <f aca="false">IF(AND(C276&lt;Assumptions!$B$9,B276&lt;Assumptions!$B$10),"Irrigate Now",IF(AND(C276&gt;=Assumptions!$B$11,B276&gt;=Assumptions!$B$12),"No Irrigation Needed","Monitor"))</f>
        <v>Monitor</v>
      </c>
      <c r="O276" s="6" t="n">
        <f aca="false">IF(N276=G276,1,0)</f>
        <v>1</v>
      </c>
    </row>
    <row r="277" customFormat="false" ht="15" hidden="false" customHeight="false" outlineLevel="0" collapsed="false">
      <c r="A277" s="16" t="n">
        <v>17.06579293</v>
      </c>
      <c r="B277" s="16" t="n">
        <v>70.87150577</v>
      </c>
      <c r="C277" s="16" t="n">
        <v>13.35789929662</v>
      </c>
      <c r="D277" s="6" t="s">
        <v>66</v>
      </c>
      <c r="E277" s="6" t="s">
        <v>57</v>
      </c>
      <c r="F277" s="6" t="s">
        <v>24</v>
      </c>
      <c r="G277" s="6" t="s">
        <v>64</v>
      </c>
      <c r="H277" s="6" t="s">
        <v>65</v>
      </c>
      <c r="I277" s="6" t="str">
        <f aca="false">IF(A277&lt;Outliers!$E$6,"Low",IF(A277&gt;Outliers!$F$6,"High",""))</f>
        <v/>
      </c>
      <c r="J277" s="6" t="str">
        <f aca="false">IF(B277&lt;Outliers!$E$7,"Low",IF(B277&gt;Outliers!$F$7,"High",""))</f>
        <v/>
      </c>
      <c r="K277" s="6" t="str">
        <f aca="false">IF(C277&lt;Outliers!$E$8,"Low",IF(C277&gt;Outliers!$F$8,"High",""))</f>
        <v/>
      </c>
      <c r="L277" s="6" t="str">
        <f aca="false">A277&amp;";"&amp;B277&amp;";"&amp;C277</f>
        <v>17.06579293;70.87150577;13.35789929662</v>
      </c>
      <c r="M277" s="6" t="n">
        <f aca="false">IF(COUNTIF($L$2:$L$2201,L277)&gt;1,1,0)</f>
        <v>0</v>
      </c>
      <c r="N277" s="6" t="str">
        <f aca="false">IF(AND(C277&lt;Assumptions!$B$9,B277&lt;Assumptions!$B$10),"Irrigate Now",IF(AND(C277&gt;=Assumptions!$B$11,B277&gt;=Assumptions!$B$12),"No Irrigation Needed","Monitor"))</f>
        <v>Irrigate Now</v>
      </c>
      <c r="O277" s="6" t="n">
        <f aca="false">IF(N277=G277,1,0)</f>
        <v>1</v>
      </c>
    </row>
    <row r="278" customFormat="false" ht="15" hidden="false" customHeight="false" outlineLevel="0" collapsed="false">
      <c r="A278" s="16" t="n">
        <v>20.62767492</v>
      </c>
      <c r="B278" s="16" t="n">
        <v>92.06630306</v>
      </c>
      <c r="C278" s="16" t="n">
        <v>26.9422512859608</v>
      </c>
      <c r="D278" s="6" t="s">
        <v>57</v>
      </c>
      <c r="E278" s="6" t="s">
        <v>57</v>
      </c>
      <c r="F278" s="6" t="s">
        <v>23</v>
      </c>
      <c r="G278" s="6" t="s">
        <v>61</v>
      </c>
      <c r="H278" s="6" t="s">
        <v>63</v>
      </c>
      <c r="I278" s="6" t="str">
        <f aca="false">IF(A278&lt;Outliers!$E$6,"Low",IF(A278&gt;Outliers!$F$6,"High",""))</f>
        <v/>
      </c>
      <c r="J278" s="6" t="str">
        <f aca="false">IF(B278&lt;Outliers!$E$7,"Low",IF(B278&gt;Outliers!$F$7,"High",""))</f>
        <v/>
      </c>
      <c r="K278" s="6" t="str">
        <f aca="false">IF(C278&lt;Outliers!$E$8,"Low",IF(C278&gt;Outliers!$F$8,"High",""))</f>
        <v/>
      </c>
      <c r="L278" s="6" t="str">
        <f aca="false">A278&amp;";"&amp;B278&amp;";"&amp;C278</f>
        <v>20.62767492;92.06630306;26.9422512859608</v>
      </c>
      <c r="M278" s="6" t="n">
        <f aca="false">IF(COUNTIF($L$2:$L$2201,L278)&gt;1,1,0)</f>
        <v>0</v>
      </c>
      <c r="N278" s="6" t="str">
        <f aca="false">IF(AND(C278&lt;Assumptions!$B$9,B278&lt;Assumptions!$B$10),"Irrigate Now",IF(AND(C278&gt;=Assumptions!$B$11,B278&gt;=Assumptions!$B$12),"No Irrigation Needed","Monitor"))</f>
        <v>Monitor</v>
      </c>
      <c r="O278" s="6" t="n">
        <f aca="false">IF(N278=G278,1,0)</f>
        <v>1</v>
      </c>
    </row>
    <row r="279" customFormat="false" ht="15" hidden="false" customHeight="false" outlineLevel="0" collapsed="false">
      <c r="A279" s="16" t="n">
        <v>20.8248451</v>
      </c>
      <c r="B279" s="16" t="n">
        <v>79.20509212</v>
      </c>
      <c r="C279" s="16" t="n">
        <v>12.7795467310614</v>
      </c>
      <c r="D279" s="6" t="s">
        <v>57</v>
      </c>
      <c r="E279" s="6" t="s">
        <v>57</v>
      </c>
      <c r="F279" s="6" t="s">
        <v>24</v>
      </c>
      <c r="G279" s="6" t="s">
        <v>64</v>
      </c>
      <c r="H279" s="6" t="s">
        <v>65</v>
      </c>
      <c r="I279" s="6" t="str">
        <f aca="false">IF(A279&lt;Outliers!$E$6,"Low",IF(A279&gt;Outliers!$F$6,"High",""))</f>
        <v/>
      </c>
      <c r="J279" s="6" t="str">
        <f aca="false">IF(B279&lt;Outliers!$E$7,"Low",IF(B279&gt;Outliers!$F$7,"High",""))</f>
        <v/>
      </c>
      <c r="K279" s="6" t="str">
        <f aca="false">IF(C279&lt;Outliers!$E$8,"Low",IF(C279&gt;Outliers!$F$8,"High",""))</f>
        <v/>
      </c>
      <c r="L279" s="6" t="str">
        <f aca="false">A279&amp;";"&amp;B279&amp;";"&amp;C279</f>
        <v>20.8248451;79.20509212;12.7795467310614</v>
      </c>
      <c r="M279" s="6" t="n">
        <f aca="false">IF(COUNTIF($L$2:$L$2201,L279)&gt;1,1,0)</f>
        <v>0</v>
      </c>
      <c r="N279" s="6" t="str">
        <f aca="false">IF(AND(C279&lt;Assumptions!$B$9,B279&lt;Assumptions!$B$10),"Irrigate Now",IF(AND(C279&gt;=Assumptions!$B$11,B279&gt;=Assumptions!$B$12),"No Irrigation Needed","Monitor"))</f>
        <v>Irrigate Now</v>
      </c>
      <c r="O279" s="6" t="n">
        <f aca="false">IF(N279=G279,1,0)</f>
        <v>1</v>
      </c>
    </row>
    <row r="280" customFormat="false" ht="15" hidden="false" customHeight="false" outlineLevel="0" collapsed="false">
      <c r="A280" s="16" t="n">
        <v>19.46210401</v>
      </c>
      <c r="B280" s="16" t="n">
        <v>68.81405149</v>
      </c>
      <c r="C280" s="16" t="n">
        <v>27.0969720900227</v>
      </c>
      <c r="D280" s="6" t="s">
        <v>66</v>
      </c>
      <c r="E280" s="6" t="s">
        <v>57</v>
      </c>
      <c r="F280" s="6" t="s">
        <v>23</v>
      </c>
      <c r="G280" s="6" t="s">
        <v>61</v>
      </c>
      <c r="H280" s="6" t="s">
        <v>63</v>
      </c>
      <c r="I280" s="6" t="str">
        <f aca="false">IF(A280&lt;Outliers!$E$6,"Low",IF(A280&gt;Outliers!$F$6,"High",""))</f>
        <v/>
      </c>
      <c r="J280" s="6" t="str">
        <f aca="false">IF(B280&lt;Outliers!$E$7,"Low",IF(B280&gt;Outliers!$F$7,"High",""))</f>
        <v/>
      </c>
      <c r="K280" s="6" t="str">
        <f aca="false">IF(C280&lt;Outliers!$E$8,"Low",IF(C280&gt;Outliers!$F$8,"High",""))</f>
        <v/>
      </c>
      <c r="L280" s="6" t="str">
        <f aca="false">A280&amp;";"&amp;B280&amp;";"&amp;C280</f>
        <v>19.46210401;68.81405149;27.0969720900227</v>
      </c>
      <c r="M280" s="6" t="n">
        <f aca="false">IF(COUNTIF($L$2:$L$2201,L280)&gt;1,1,0)</f>
        <v>0</v>
      </c>
      <c r="N280" s="6" t="str">
        <f aca="false">IF(AND(C280&lt;Assumptions!$B$9,B280&lt;Assumptions!$B$10),"Irrigate Now",IF(AND(C280&gt;=Assumptions!$B$11,B280&gt;=Assumptions!$B$12),"No Irrigation Needed","Monitor"))</f>
        <v>Monitor</v>
      </c>
      <c r="O280" s="6" t="n">
        <f aca="false">IF(N280=G280,1,0)</f>
        <v>1</v>
      </c>
    </row>
    <row r="281" customFormat="false" ht="15" hidden="false" customHeight="false" outlineLevel="0" collapsed="false">
      <c r="A281" s="16" t="n">
        <v>17.18248372</v>
      </c>
      <c r="B281" s="16" t="n">
        <v>72.85017344</v>
      </c>
      <c r="C281" s="16" t="n">
        <v>28.9011804793801</v>
      </c>
      <c r="D281" s="6" t="s">
        <v>66</v>
      </c>
      <c r="E281" s="6" t="s">
        <v>57</v>
      </c>
      <c r="F281" s="6" t="s">
        <v>23</v>
      </c>
      <c r="G281" s="6" t="s">
        <v>61</v>
      </c>
      <c r="H281" s="6" t="s">
        <v>63</v>
      </c>
      <c r="I281" s="6" t="str">
        <f aca="false">IF(A281&lt;Outliers!$E$6,"Low",IF(A281&gt;Outliers!$F$6,"High",""))</f>
        <v/>
      </c>
      <c r="J281" s="6" t="str">
        <f aca="false">IF(B281&lt;Outliers!$E$7,"Low",IF(B281&gt;Outliers!$F$7,"High",""))</f>
        <v/>
      </c>
      <c r="K281" s="6" t="str">
        <f aca="false">IF(C281&lt;Outliers!$E$8,"Low",IF(C281&gt;Outliers!$F$8,"High",""))</f>
        <v/>
      </c>
      <c r="L281" s="6" t="str">
        <f aca="false">A281&amp;";"&amp;B281&amp;";"&amp;C281</f>
        <v>17.18248372;72.85017344;28.9011804793801</v>
      </c>
      <c r="M281" s="6" t="n">
        <f aca="false">IF(COUNTIF($L$2:$L$2201,L281)&gt;1,1,0)</f>
        <v>0</v>
      </c>
      <c r="N281" s="6" t="str">
        <f aca="false">IF(AND(C281&lt;Assumptions!$B$9,B281&lt;Assumptions!$B$10),"Irrigate Now",IF(AND(C281&gt;=Assumptions!$B$11,B281&gt;=Assumptions!$B$12),"No Irrigation Needed","Monitor"))</f>
        <v>Monitor</v>
      </c>
      <c r="O281" s="6" t="n">
        <f aca="false">IF(N281=G281,1,0)</f>
        <v>1</v>
      </c>
    </row>
    <row r="282" customFormat="false" ht="15" hidden="false" customHeight="false" outlineLevel="0" collapsed="false">
      <c r="A282" s="16" t="n">
        <v>17.48911699</v>
      </c>
      <c r="B282" s="16" t="n">
        <v>79.45758333</v>
      </c>
      <c r="C282" s="16" t="n">
        <v>13.3207880580228</v>
      </c>
      <c r="D282" s="6" t="s">
        <v>66</v>
      </c>
      <c r="E282" s="6" t="s">
        <v>57</v>
      </c>
      <c r="F282" s="6" t="s">
        <v>24</v>
      </c>
      <c r="G282" s="6" t="s">
        <v>64</v>
      </c>
      <c r="H282" s="6" t="s">
        <v>65</v>
      </c>
      <c r="I282" s="6" t="str">
        <f aca="false">IF(A282&lt;Outliers!$E$6,"Low",IF(A282&gt;Outliers!$F$6,"High",""))</f>
        <v/>
      </c>
      <c r="J282" s="6" t="str">
        <f aca="false">IF(B282&lt;Outliers!$E$7,"Low",IF(B282&gt;Outliers!$F$7,"High",""))</f>
        <v/>
      </c>
      <c r="K282" s="6" t="str">
        <f aca="false">IF(C282&lt;Outliers!$E$8,"Low",IF(C282&gt;Outliers!$F$8,"High",""))</f>
        <v/>
      </c>
      <c r="L282" s="6" t="str">
        <f aca="false">A282&amp;";"&amp;B282&amp;";"&amp;C282</f>
        <v>17.48911699;79.45758333;13.3207880580228</v>
      </c>
      <c r="M282" s="6" t="n">
        <f aca="false">IF(COUNTIF($L$2:$L$2201,L282)&gt;1,1,0)</f>
        <v>0</v>
      </c>
      <c r="N282" s="6" t="str">
        <f aca="false">IF(AND(C282&lt;Assumptions!$B$9,B282&lt;Assumptions!$B$10),"Irrigate Now",IF(AND(C282&gt;=Assumptions!$B$11,B282&gt;=Assumptions!$B$12),"No Irrigation Needed","Monitor"))</f>
        <v>Irrigate Now</v>
      </c>
      <c r="O282" s="6" t="n">
        <f aca="false">IF(N282=G282,1,0)</f>
        <v>1</v>
      </c>
    </row>
    <row r="283" customFormat="false" ht="15" hidden="false" customHeight="false" outlineLevel="0" collapsed="false">
      <c r="A283" s="16" t="n">
        <v>17.48395377</v>
      </c>
      <c r="B283" s="16" t="n">
        <v>65.11365631</v>
      </c>
      <c r="C283" s="16" t="n">
        <v>27.2956044273484</v>
      </c>
      <c r="D283" s="6" t="s">
        <v>66</v>
      </c>
      <c r="E283" s="6" t="s">
        <v>57</v>
      </c>
      <c r="F283" s="6" t="s">
        <v>23</v>
      </c>
      <c r="G283" s="6" t="s">
        <v>61</v>
      </c>
      <c r="H283" s="6" t="s">
        <v>63</v>
      </c>
      <c r="I283" s="6" t="str">
        <f aca="false">IF(A283&lt;Outliers!$E$6,"Low",IF(A283&gt;Outliers!$F$6,"High",""))</f>
        <v/>
      </c>
      <c r="J283" s="6" t="str">
        <f aca="false">IF(B283&lt;Outliers!$E$7,"Low",IF(B283&gt;Outliers!$F$7,"High",""))</f>
        <v/>
      </c>
      <c r="K283" s="6" t="str">
        <f aca="false">IF(C283&lt;Outliers!$E$8,"Low",IF(C283&gt;Outliers!$F$8,"High",""))</f>
        <v/>
      </c>
      <c r="L283" s="6" t="str">
        <f aca="false">A283&amp;";"&amp;B283&amp;";"&amp;C283</f>
        <v>17.48395377;65.11365631;27.2956044273484</v>
      </c>
      <c r="M283" s="6" t="n">
        <f aca="false">IF(COUNTIF($L$2:$L$2201,L283)&gt;1,1,0)</f>
        <v>0</v>
      </c>
      <c r="N283" s="6" t="str">
        <f aca="false">IF(AND(C283&lt;Assumptions!$B$9,B283&lt;Assumptions!$B$10),"Irrigate Now",IF(AND(C283&gt;=Assumptions!$B$11,B283&gt;=Assumptions!$B$12),"No Irrigation Needed","Monitor"))</f>
        <v>Monitor</v>
      </c>
      <c r="O283" s="6" t="n">
        <f aca="false">IF(N283=G283,1,0)</f>
        <v>1</v>
      </c>
    </row>
    <row r="284" customFormat="false" ht="15" hidden="false" customHeight="false" outlineLevel="0" collapsed="false">
      <c r="A284" s="16" t="n">
        <v>19.48316794</v>
      </c>
      <c r="B284" s="16" t="n">
        <v>80.4986291</v>
      </c>
      <c r="C284" s="16" t="n">
        <v>12.9702844749546</v>
      </c>
      <c r="D284" s="6" t="s">
        <v>66</v>
      </c>
      <c r="E284" s="6" t="s">
        <v>57</v>
      </c>
      <c r="F284" s="6" t="s">
        <v>24</v>
      </c>
      <c r="G284" s="6" t="s">
        <v>64</v>
      </c>
      <c r="H284" s="6" t="s">
        <v>65</v>
      </c>
      <c r="I284" s="6" t="str">
        <f aca="false">IF(A284&lt;Outliers!$E$6,"Low",IF(A284&gt;Outliers!$F$6,"High",""))</f>
        <v/>
      </c>
      <c r="J284" s="6" t="str">
        <f aca="false">IF(B284&lt;Outliers!$E$7,"Low",IF(B284&gt;Outliers!$F$7,"High",""))</f>
        <v/>
      </c>
      <c r="K284" s="6" t="str">
        <f aca="false">IF(C284&lt;Outliers!$E$8,"Low",IF(C284&gt;Outliers!$F$8,"High",""))</f>
        <v/>
      </c>
      <c r="L284" s="6" t="str">
        <f aca="false">A284&amp;";"&amp;B284&amp;";"&amp;C284</f>
        <v>19.48316794;80.4986291;12.9702844749546</v>
      </c>
      <c r="M284" s="6" t="n">
        <f aca="false">IF(COUNTIF($L$2:$L$2201,L284)&gt;1,1,0)</f>
        <v>0</v>
      </c>
      <c r="N284" s="6" t="str">
        <f aca="false">IF(AND(C284&lt;Assumptions!$B$9,B284&lt;Assumptions!$B$10),"Irrigate Now",IF(AND(C284&gt;=Assumptions!$B$11,B284&gt;=Assumptions!$B$12),"No Irrigation Needed","Monitor"))</f>
        <v>Irrigate Now</v>
      </c>
      <c r="O284" s="6" t="n">
        <f aca="false">IF(N284=G284,1,0)</f>
        <v>1</v>
      </c>
    </row>
    <row r="285" customFormat="false" ht="15" hidden="false" customHeight="false" outlineLevel="0" collapsed="false">
      <c r="A285" s="16" t="n">
        <v>19.71359733</v>
      </c>
      <c r="B285" s="16" t="n">
        <v>73.64476535</v>
      </c>
      <c r="C285" s="16" t="n">
        <v>28.4832212090144</v>
      </c>
      <c r="D285" s="6" t="s">
        <v>66</v>
      </c>
      <c r="E285" s="6" t="s">
        <v>57</v>
      </c>
      <c r="F285" s="6" t="s">
        <v>23</v>
      </c>
      <c r="G285" s="6" t="s">
        <v>61</v>
      </c>
      <c r="H285" s="6" t="s">
        <v>63</v>
      </c>
      <c r="I285" s="6" t="str">
        <f aca="false">IF(A285&lt;Outliers!$E$6,"Low",IF(A285&gt;Outliers!$F$6,"High",""))</f>
        <v/>
      </c>
      <c r="J285" s="6" t="str">
        <f aca="false">IF(B285&lt;Outliers!$E$7,"Low",IF(B285&gt;Outliers!$F$7,"High",""))</f>
        <v/>
      </c>
      <c r="K285" s="6" t="str">
        <f aca="false">IF(C285&lt;Outliers!$E$8,"Low",IF(C285&gt;Outliers!$F$8,"High",""))</f>
        <v/>
      </c>
      <c r="L285" s="6" t="str">
        <f aca="false">A285&amp;";"&amp;B285&amp;";"&amp;C285</f>
        <v>19.71359733;73.64476535;28.4832212090144</v>
      </c>
      <c r="M285" s="6" t="n">
        <f aca="false">IF(COUNTIF($L$2:$L$2201,L285)&gt;1,1,0)</f>
        <v>0</v>
      </c>
      <c r="N285" s="6" t="str">
        <f aca="false">IF(AND(C285&lt;Assumptions!$B$9,B285&lt;Assumptions!$B$10),"Irrigate Now",IF(AND(C285&gt;=Assumptions!$B$11,B285&gt;=Assumptions!$B$12),"No Irrigation Needed","Monitor"))</f>
        <v>Monitor</v>
      </c>
      <c r="O285" s="6" t="n">
        <f aca="false">IF(N285=G285,1,0)</f>
        <v>1</v>
      </c>
    </row>
    <row r="286" customFormat="false" ht="15" hidden="false" customHeight="false" outlineLevel="0" collapsed="false">
      <c r="A286" s="16" t="n">
        <v>19.48649305</v>
      </c>
      <c r="B286" s="16" t="n">
        <v>81.5284269</v>
      </c>
      <c r="C286" s="16" t="n">
        <v>22.8447705900434</v>
      </c>
      <c r="D286" s="6" t="s">
        <v>66</v>
      </c>
      <c r="E286" s="6" t="s">
        <v>57</v>
      </c>
      <c r="F286" s="6" t="s">
        <v>60</v>
      </c>
      <c r="G286" s="6" t="s">
        <v>61</v>
      </c>
      <c r="H286" s="6" t="s">
        <v>63</v>
      </c>
      <c r="I286" s="6" t="str">
        <f aca="false">IF(A286&lt;Outliers!$E$6,"Low",IF(A286&gt;Outliers!$F$6,"High",""))</f>
        <v/>
      </c>
      <c r="J286" s="6" t="str">
        <f aca="false">IF(B286&lt;Outliers!$E$7,"Low",IF(B286&gt;Outliers!$F$7,"High",""))</f>
        <v/>
      </c>
      <c r="K286" s="6" t="str">
        <f aca="false">IF(C286&lt;Outliers!$E$8,"Low",IF(C286&gt;Outliers!$F$8,"High",""))</f>
        <v/>
      </c>
      <c r="L286" s="6" t="str">
        <f aca="false">A286&amp;";"&amp;B286&amp;";"&amp;C286</f>
        <v>19.48649305;81.5284269;22.8447705900434</v>
      </c>
      <c r="M286" s="6" t="n">
        <f aca="false">IF(COUNTIF($L$2:$L$2201,L286)&gt;1,1,0)</f>
        <v>0</v>
      </c>
      <c r="N286" s="6" t="str">
        <f aca="false">IF(AND(C286&lt;Assumptions!$B$9,B286&lt;Assumptions!$B$10),"Irrigate Now",IF(AND(C286&gt;=Assumptions!$B$11,B286&gt;=Assumptions!$B$12),"No Irrigation Needed","Monitor"))</f>
        <v>Monitor</v>
      </c>
      <c r="O286" s="6" t="n">
        <f aca="false">IF(N286=G286,1,0)</f>
        <v>1</v>
      </c>
    </row>
    <row r="287" customFormat="false" ht="15" hidden="false" customHeight="false" outlineLevel="0" collapsed="false">
      <c r="A287" s="16" t="n">
        <v>19.95264829</v>
      </c>
      <c r="B287" s="16" t="n">
        <v>88.6810311</v>
      </c>
      <c r="C287" s="16" t="n">
        <v>14.9013764353851</v>
      </c>
      <c r="D287" s="6" t="s">
        <v>66</v>
      </c>
      <c r="E287" s="6" t="s">
        <v>57</v>
      </c>
      <c r="F287" s="6" t="s">
        <v>24</v>
      </c>
      <c r="G287" s="6" t="s">
        <v>64</v>
      </c>
      <c r="H287" s="6" t="s">
        <v>65</v>
      </c>
      <c r="I287" s="6" t="str">
        <f aca="false">IF(A287&lt;Outliers!$E$6,"Low",IF(A287&gt;Outliers!$F$6,"High",""))</f>
        <v/>
      </c>
      <c r="J287" s="6" t="str">
        <f aca="false">IF(B287&lt;Outliers!$E$7,"Low",IF(B287&gt;Outliers!$F$7,"High",""))</f>
        <v/>
      </c>
      <c r="K287" s="6" t="str">
        <f aca="false">IF(C287&lt;Outliers!$E$8,"Low",IF(C287&gt;Outliers!$F$8,"High",""))</f>
        <v/>
      </c>
      <c r="L287" s="6" t="str">
        <f aca="false">A287&amp;";"&amp;B287&amp;";"&amp;C287</f>
        <v>19.95264829;88.6810311;14.9013764353851</v>
      </c>
      <c r="M287" s="6" t="n">
        <f aca="false">IF(COUNTIF($L$2:$L$2201,L287)&gt;1,1,0)</f>
        <v>0</v>
      </c>
      <c r="N287" s="6" t="str">
        <f aca="false">IF(AND(C287&lt;Assumptions!$B$9,B287&lt;Assumptions!$B$10),"Irrigate Now",IF(AND(C287&gt;=Assumptions!$B$11,B287&gt;=Assumptions!$B$12),"No Irrigation Needed","Monitor"))</f>
        <v>Irrigate Now</v>
      </c>
      <c r="O287" s="6" t="n">
        <f aca="false">IF(N287=G287,1,0)</f>
        <v>1</v>
      </c>
    </row>
    <row r="288" customFormat="false" ht="15" hidden="false" customHeight="false" outlineLevel="0" collapsed="false">
      <c r="A288" s="16" t="n">
        <v>19.41789736</v>
      </c>
      <c r="B288" s="16" t="n">
        <v>68.4951189</v>
      </c>
      <c r="C288" s="16" t="n">
        <v>11.2842878379104</v>
      </c>
      <c r="D288" s="6" t="s">
        <v>66</v>
      </c>
      <c r="E288" s="6" t="s">
        <v>57</v>
      </c>
      <c r="F288" s="6" t="s">
        <v>24</v>
      </c>
      <c r="G288" s="6" t="s">
        <v>64</v>
      </c>
      <c r="H288" s="6" t="s">
        <v>65</v>
      </c>
      <c r="I288" s="6" t="str">
        <f aca="false">IF(A288&lt;Outliers!$E$6,"Low",IF(A288&gt;Outliers!$F$6,"High",""))</f>
        <v/>
      </c>
      <c r="J288" s="6" t="str">
        <f aca="false">IF(B288&lt;Outliers!$E$7,"Low",IF(B288&gt;Outliers!$F$7,"High",""))</f>
        <v/>
      </c>
      <c r="K288" s="6" t="str">
        <f aca="false">IF(C288&lt;Outliers!$E$8,"Low",IF(C288&gt;Outliers!$F$8,"High",""))</f>
        <v/>
      </c>
      <c r="L288" s="6" t="str">
        <f aca="false">A288&amp;";"&amp;B288&amp;";"&amp;C288</f>
        <v>19.41789736;68.4951189;11.2842878379104</v>
      </c>
      <c r="M288" s="6" t="n">
        <f aca="false">IF(COUNTIF($L$2:$L$2201,L288)&gt;1,1,0)</f>
        <v>0</v>
      </c>
      <c r="N288" s="6" t="str">
        <f aca="false">IF(AND(C288&lt;Assumptions!$B$9,B288&lt;Assumptions!$B$10),"Irrigate Now",IF(AND(C288&gt;=Assumptions!$B$11,B288&gt;=Assumptions!$B$12),"No Irrigation Needed","Monitor"))</f>
        <v>Irrigate Now</v>
      </c>
      <c r="O288" s="6" t="n">
        <f aca="false">IF(N288=G288,1,0)</f>
        <v>1</v>
      </c>
    </row>
    <row r="289" customFormat="false" ht="15" hidden="false" customHeight="false" outlineLevel="0" collapsed="false">
      <c r="A289" s="16" t="n">
        <v>19.45591848</v>
      </c>
      <c r="B289" s="16" t="n">
        <v>78.44910564</v>
      </c>
      <c r="C289" s="16" t="n">
        <v>16.8657058575983</v>
      </c>
      <c r="D289" s="6" t="s">
        <v>66</v>
      </c>
      <c r="E289" s="6" t="s">
        <v>57</v>
      </c>
      <c r="F289" s="6" t="s">
        <v>24</v>
      </c>
      <c r="G289" s="6" t="s">
        <v>64</v>
      </c>
      <c r="H289" s="6" t="s">
        <v>65</v>
      </c>
      <c r="I289" s="6" t="str">
        <f aca="false">IF(A289&lt;Outliers!$E$6,"Low",IF(A289&gt;Outliers!$F$6,"High",""))</f>
        <v/>
      </c>
      <c r="J289" s="6" t="str">
        <f aca="false">IF(B289&lt;Outliers!$E$7,"Low",IF(B289&gt;Outliers!$F$7,"High",""))</f>
        <v/>
      </c>
      <c r="K289" s="6" t="str">
        <f aca="false">IF(C289&lt;Outliers!$E$8,"Low",IF(C289&gt;Outliers!$F$8,"High",""))</f>
        <v/>
      </c>
      <c r="L289" s="6" t="str">
        <f aca="false">A289&amp;";"&amp;B289&amp;";"&amp;C289</f>
        <v>19.45591848;78.44910564;16.8657058575983</v>
      </c>
      <c r="M289" s="6" t="n">
        <f aca="false">IF(COUNTIF($L$2:$L$2201,L289)&gt;1,1,0)</f>
        <v>0</v>
      </c>
      <c r="N289" s="6" t="str">
        <f aca="false">IF(AND(C289&lt;Assumptions!$B$9,B289&lt;Assumptions!$B$10),"Irrigate Now",IF(AND(C289&gt;=Assumptions!$B$11,B289&gt;=Assumptions!$B$12),"No Irrigation Needed","Monitor"))</f>
        <v>Irrigate Now</v>
      </c>
      <c r="O289" s="6" t="n">
        <f aca="false">IF(N289=G289,1,0)</f>
        <v>1</v>
      </c>
    </row>
    <row r="290" customFormat="false" ht="15" hidden="false" customHeight="false" outlineLevel="0" collapsed="false">
      <c r="A290" s="16" t="n">
        <v>20.19137759</v>
      </c>
      <c r="B290" s="16" t="n">
        <v>77.33795356</v>
      </c>
      <c r="C290" s="16" t="n">
        <v>13.2494835381642</v>
      </c>
      <c r="D290" s="6" t="s">
        <v>57</v>
      </c>
      <c r="E290" s="6" t="s">
        <v>57</v>
      </c>
      <c r="F290" s="6" t="s">
        <v>24</v>
      </c>
      <c r="G290" s="6" t="s">
        <v>64</v>
      </c>
      <c r="H290" s="6" t="s">
        <v>65</v>
      </c>
      <c r="I290" s="6" t="str">
        <f aca="false">IF(A290&lt;Outliers!$E$6,"Low",IF(A290&gt;Outliers!$F$6,"High",""))</f>
        <v/>
      </c>
      <c r="J290" s="6" t="str">
        <f aca="false">IF(B290&lt;Outliers!$E$7,"Low",IF(B290&gt;Outliers!$F$7,"High",""))</f>
        <v/>
      </c>
      <c r="K290" s="6" t="str">
        <f aca="false">IF(C290&lt;Outliers!$E$8,"Low",IF(C290&gt;Outliers!$F$8,"High",""))</f>
        <v/>
      </c>
      <c r="L290" s="6" t="str">
        <f aca="false">A290&amp;";"&amp;B290&amp;";"&amp;C290</f>
        <v>20.19137759;77.33795356;13.2494835381642</v>
      </c>
      <c r="M290" s="6" t="n">
        <f aca="false">IF(COUNTIF($L$2:$L$2201,L290)&gt;1,1,0)</f>
        <v>0</v>
      </c>
      <c r="N290" s="6" t="str">
        <f aca="false">IF(AND(C290&lt;Assumptions!$B$9,B290&lt;Assumptions!$B$10),"Irrigate Now",IF(AND(C290&gt;=Assumptions!$B$11,B290&gt;=Assumptions!$B$12),"No Irrigation Needed","Monitor"))</f>
        <v>Irrigate Now</v>
      </c>
      <c r="O290" s="6" t="n">
        <f aca="false">IF(N290=G290,1,0)</f>
        <v>1</v>
      </c>
    </row>
    <row r="291" customFormat="false" ht="15" hidden="false" customHeight="false" outlineLevel="0" collapsed="false">
      <c r="A291" s="16" t="n">
        <v>18.8392908</v>
      </c>
      <c r="B291" s="16" t="n">
        <v>94.78189594</v>
      </c>
      <c r="C291" s="16" t="n">
        <v>11.5310195431811</v>
      </c>
      <c r="D291" s="6" t="s">
        <v>66</v>
      </c>
      <c r="E291" s="6" t="s">
        <v>57</v>
      </c>
      <c r="F291" s="6" t="s">
        <v>24</v>
      </c>
      <c r="G291" s="6" t="s">
        <v>64</v>
      </c>
      <c r="H291" s="6" t="s">
        <v>65</v>
      </c>
      <c r="I291" s="6" t="str">
        <f aca="false">IF(A291&lt;Outliers!$E$6,"Low",IF(A291&gt;Outliers!$F$6,"High",""))</f>
        <v/>
      </c>
      <c r="J291" s="6" t="str">
        <f aca="false">IF(B291&lt;Outliers!$E$7,"Low",IF(B291&gt;Outliers!$F$7,"High",""))</f>
        <v/>
      </c>
      <c r="K291" s="6" t="str">
        <f aca="false">IF(C291&lt;Outliers!$E$8,"Low",IF(C291&gt;Outliers!$F$8,"High",""))</f>
        <v/>
      </c>
      <c r="L291" s="6" t="str">
        <f aca="false">A291&amp;";"&amp;B291&amp;";"&amp;C291</f>
        <v>18.8392908;94.78189594;11.5310195431811</v>
      </c>
      <c r="M291" s="6" t="n">
        <f aca="false">IF(COUNTIF($L$2:$L$2201,L291)&gt;1,1,0)</f>
        <v>0</v>
      </c>
      <c r="N291" s="6" t="str">
        <f aca="false">IF(AND(C291&lt;Assumptions!$B$9,B291&lt;Assumptions!$B$10),"Irrigate Now",IF(AND(C291&gt;=Assumptions!$B$11,B291&gt;=Assumptions!$B$12),"No Irrigation Needed","Monitor"))</f>
        <v>Irrigate Now</v>
      </c>
      <c r="O291" s="6" t="n">
        <f aca="false">IF(N291=G291,1,0)</f>
        <v>1</v>
      </c>
    </row>
    <row r="292" customFormat="false" ht="15" hidden="false" customHeight="false" outlineLevel="0" collapsed="false">
      <c r="A292" s="16" t="n">
        <v>20.71219282</v>
      </c>
      <c r="B292" s="16" t="n">
        <v>94.03659867</v>
      </c>
      <c r="C292" s="16" t="n">
        <v>11.107673771459</v>
      </c>
      <c r="D292" s="6" t="s">
        <v>57</v>
      </c>
      <c r="E292" s="6" t="s">
        <v>57</v>
      </c>
      <c r="F292" s="6" t="s">
        <v>24</v>
      </c>
      <c r="G292" s="6" t="s">
        <v>64</v>
      </c>
      <c r="H292" s="6" t="s">
        <v>65</v>
      </c>
      <c r="I292" s="6" t="str">
        <f aca="false">IF(A292&lt;Outliers!$E$6,"Low",IF(A292&gt;Outliers!$F$6,"High",""))</f>
        <v/>
      </c>
      <c r="J292" s="6" t="str">
        <f aca="false">IF(B292&lt;Outliers!$E$7,"Low",IF(B292&gt;Outliers!$F$7,"High",""))</f>
        <v/>
      </c>
      <c r="K292" s="6" t="str">
        <f aca="false">IF(C292&lt;Outliers!$E$8,"Low",IF(C292&gt;Outliers!$F$8,"High",""))</f>
        <v/>
      </c>
      <c r="L292" s="6" t="str">
        <f aca="false">A292&amp;";"&amp;B292&amp;";"&amp;C292</f>
        <v>20.71219282;94.03659867;11.107673771459</v>
      </c>
      <c r="M292" s="6" t="n">
        <f aca="false">IF(COUNTIF($L$2:$L$2201,L292)&gt;1,1,0)</f>
        <v>0</v>
      </c>
      <c r="N292" s="6" t="str">
        <f aca="false">IF(AND(C292&lt;Assumptions!$B$9,B292&lt;Assumptions!$B$10),"Irrigate Now",IF(AND(C292&gt;=Assumptions!$B$11,B292&gt;=Assumptions!$B$12),"No Irrigation Needed","Monitor"))</f>
        <v>Irrigate Now</v>
      </c>
      <c r="O292" s="6" t="n">
        <f aca="false">IF(N292=G292,1,0)</f>
        <v>1</v>
      </c>
    </row>
    <row r="293" customFormat="false" ht="15" hidden="false" customHeight="false" outlineLevel="0" collapsed="false">
      <c r="A293" s="16" t="n">
        <v>18.99424448</v>
      </c>
      <c r="B293" s="16" t="n">
        <v>78.69707199</v>
      </c>
      <c r="C293" s="16" t="n">
        <v>15.1760547905218</v>
      </c>
      <c r="D293" s="6" t="s">
        <v>66</v>
      </c>
      <c r="E293" s="6" t="s">
        <v>57</v>
      </c>
      <c r="F293" s="6" t="s">
        <v>24</v>
      </c>
      <c r="G293" s="6" t="s">
        <v>64</v>
      </c>
      <c r="H293" s="6" t="s">
        <v>65</v>
      </c>
      <c r="I293" s="6" t="str">
        <f aca="false">IF(A293&lt;Outliers!$E$6,"Low",IF(A293&gt;Outliers!$F$6,"High",""))</f>
        <v/>
      </c>
      <c r="J293" s="6" t="str">
        <f aca="false">IF(B293&lt;Outliers!$E$7,"Low",IF(B293&gt;Outliers!$F$7,"High",""))</f>
        <v/>
      </c>
      <c r="K293" s="6" t="str">
        <f aca="false">IF(C293&lt;Outliers!$E$8,"Low",IF(C293&gt;Outliers!$F$8,"High",""))</f>
        <v/>
      </c>
      <c r="L293" s="6" t="str">
        <f aca="false">A293&amp;";"&amp;B293&amp;";"&amp;C293</f>
        <v>18.99424448;78.69707199;15.1760547905218</v>
      </c>
      <c r="M293" s="6" t="n">
        <f aca="false">IF(COUNTIF($L$2:$L$2201,L293)&gt;1,1,0)</f>
        <v>0</v>
      </c>
      <c r="N293" s="6" t="str">
        <f aca="false">IF(AND(C293&lt;Assumptions!$B$9,B293&lt;Assumptions!$B$10),"Irrigate Now",IF(AND(C293&gt;=Assumptions!$B$11,B293&gt;=Assumptions!$B$12),"No Irrigation Needed","Monitor"))</f>
        <v>Irrigate Now</v>
      </c>
      <c r="O293" s="6" t="n">
        <f aca="false">IF(N293=G293,1,0)</f>
        <v>1</v>
      </c>
    </row>
    <row r="294" customFormat="false" ht="15" hidden="false" customHeight="false" outlineLevel="0" collapsed="false">
      <c r="A294" s="16" t="n">
        <v>19.96837462</v>
      </c>
      <c r="B294" s="16" t="n">
        <v>69.15759062</v>
      </c>
      <c r="C294" s="16" t="n">
        <v>22.3516587093306</v>
      </c>
      <c r="D294" s="6" t="s">
        <v>66</v>
      </c>
      <c r="E294" s="6" t="s">
        <v>57</v>
      </c>
      <c r="F294" s="6" t="s">
        <v>60</v>
      </c>
      <c r="G294" s="6" t="s">
        <v>61</v>
      </c>
      <c r="H294" s="6" t="s">
        <v>63</v>
      </c>
      <c r="I294" s="6" t="str">
        <f aca="false">IF(A294&lt;Outliers!$E$6,"Low",IF(A294&gt;Outliers!$F$6,"High",""))</f>
        <v/>
      </c>
      <c r="J294" s="6" t="str">
        <f aca="false">IF(B294&lt;Outliers!$E$7,"Low",IF(B294&gt;Outliers!$F$7,"High",""))</f>
        <v/>
      </c>
      <c r="K294" s="6" t="str">
        <f aca="false">IF(C294&lt;Outliers!$E$8,"Low",IF(C294&gt;Outliers!$F$8,"High",""))</f>
        <v/>
      </c>
      <c r="L294" s="6" t="str">
        <f aca="false">A294&amp;";"&amp;B294&amp;";"&amp;C294</f>
        <v>19.96837462;69.15759062;22.3516587093306</v>
      </c>
      <c r="M294" s="6" t="n">
        <f aca="false">IF(COUNTIF($L$2:$L$2201,L294)&gt;1,1,0)</f>
        <v>0</v>
      </c>
      <c r="N294" s="6" t="str">
        <f aca="false">IF(AND(C294&lt;Assumptions!$B$9,B294&lt;Assumptions!$B$10),"Irrigate Now",IF(AND(C294&gt;=Assumptions!$B$11,B294&gt;=Assumptions!$B$12),"No Irrigation Needed","Monitor"))</f>
        <v>Monitor</v>
      </c>
      <c r="O294" s="6" t="n">
        <f aca="false">IF(N294=G294,1,0)</f>
        <v>1</v>
      </c>
    </row>
    <row r="295" customFormat="false" ht="15" hidden="false" customHeight="false" outlineLevel="0" collapsed="false">
      <c r="A295" s="16" t="n">
        <v>17.81564548</v>
      </c>
      <c r="B295" s="16" t="n">
        <v>90.82097601</v>
      </c>
      <c r="C295" s="16" t="n">
        <v>22.8650621954324</v>
      </c>
      <c r="D295" s="6" t="s">
        <v>66</v>
      </c>
      <c r="E295" s="6" t="s">
        <v>57</v>
      </c>
      <c r="F295" s="6" t="s">
        <v>60</v>
      </c>
      <c r="G295" s="6" t="s">
        <v>61</v>
      </c>
      <c r="H295" s="6" t="s">
        <v>63</v>
      </c>
      <c r="I295" s="6" t="str">
        <f aca="false">IF(A295&lt;Outliers!$E$6,"Low",IF(A295&gt;Outliers!$F$6,"High",""))</f>
        <v/>
      </c>
      <c r="J295" s="6" t="str">
        <f aca="false">IF(B295&lt;Outliers!$E$7,"Low",IF(B295&gt;Outliers!$F$7,"High",""))</f>
        <v/>
      </c>
      <c r="K295" s="6" t="str">
        <f aca="false">IF(C295&lt;Outliers!$E$8,"Low",IF(C295&gt;Outliers!$F$8,"High",""))</f>
        <v/>
      </c>
      <c r="L295" s="6" t="str">
        <f aca="false">A295&amp;";"&amp;B295&amp;";"&amp;C295</f>
        <v>17.81564548;90.82097601;22.8650621954324</v>
      </c>
      <c r="M295" s="6" t="n">
        <f aca="false">IF(COUNTIF($L$2:$L$2201,L295)&gt;1,1,0)</f>
        <v>0</v>
      </c>
      <c r="N295" s="6" t="str">
        <f aca="false">IF(AND(C295&lt;Assumptions!$B$9,B295&lt;Assumptions!$B$10),"Irrigate Now",IF(AND(C295&gt;=Assumptions!$B$11,B295&gt;=Assumptions!$B$12),"No Irrigation Needed","Monitor"))</f>
        <v>Monitor</v>
      </c>
      <c r="O295" s="6" t="n">
        <f aca="false">IF(N295=G295,1,0)</f>
        <v>1</v>
      </c>
    </row>
    <row r="296" customFormat="false" ht="15" hidden="false" customHeight="false" outlineLevel="0" collapsed="false">
      <c r="A296" s="16" t="n">
        <v>20.71424384</v>
      </c>
      <c r="B296" s="16" t="n">
        <v>76.77888672</v>
      </c>
      <c r="C296" s="16" t="n">
        <v>10.7555134740474</v>
      </c>
      <c r="D296" s="6" t="s">
        <v>57</v>
      </c>
      <c r="E296" s="6" t="s">
        <v>57</v>
      </c>
      <c r="F296" s="6" t="s">
        <v>24</v>
      </c>
      <c r="G296" s="6" t="s">
        <v>64</v>
      </c>
      <c r="H296" s="6" t="s">
        <v>65</v>
      </c>
      <c r="I296" s="6" t="str">
        <f aca="false">IF(A296&lt;Outliers!$E$6,"Low",IF(A296&gt;Outliers!$F$6,"High",""))</f>
        <v/>
      </c>
      <c r="J296" s="6" t="str">
        <f aca="false">IF(B296&lt;Outliers!$E$7,"Low",IF(B296&gt;Outliers!$F$7,"High",""))</f>
        <v/>
      </c>
      <c r="K296" s="6" t="str">
        <f aca="false">IF(C296&lt;Outliers!$E$8,"Low",IF(C296&gt;Outliers!$F$8,"High",""))</f>
        <v/>
      </c>
      <c r="L296" s="6" t="str">
        <f aca="false">A296&amp;";"&amp;B296&amp;";"&amp;C296</f>
        <v>20.71424384;76.77888672;10.7555134740474</v>
      </c>
      <c r="M296" s="6" t="n">
        <f aca="false">IF(COUNTIF($L$2:$L$2201,L296)&gt;1,1,0)</f>
        <v>0</v>
      </c>
      <c r="N296" s="6" t="str">
        <f aca="false">IF(AND(C296&lt;Assumptions!$B$9,B296&lt;Assumptions!$B$10),"Irrigate Now",IF(AND(C296&gt;=Assumptions!$B$11,B296&gt;=Assumptions!$B$12),"No Irrigation Needed","Monitor"))</f>
        <v>Irrigate Now</v>
      </c>
      <c r="O296" s="6" t="n">
        <f aca="false">IF(N296=G296,1,0)</f>
        <v>1</v>
      </c>
    </row>
    <row r="297" customFormat="false" ht="15" hidden="false" customHeight="false" outlineLevel="0" collapsed="false">
      <c r="A297" s="16" t="n">
        <v>17.34150229</v>
      </c>
      <c r="B297" s="16" t="n">
        <v>67.9545435</v>
      </c>
      <c r="C297" s="16" t="n">
        <v>24.775945985932</v>
      </c>
      <c r="D297" s="6" t="s">
        <v>66</v>
      </c>
      <c r="E297" s="6" t="s">
        <v>57</v>
      </c>
      <c r="F297" s="6" t="s">
        <v>60</v>
      </c>
      <c r="G297" s="6" t="s">
        <v>61</v>
      </c>
      <c r="H297" s="6" t="s">
        <v>63</v>
      </c>
      <c r="I297" s="6" t="str">
        <f aca="false">IF(A297&lt;Outliers!$E$6,"Low",IF(A297&gt;Outliers!$F$6,"High",""))</f>
        <v/>
      </c>
      <c r="J297" s="6" t="str">
        <f aca="false">IF(B297&lt;Outliers!$E$7,"Low",IF(B297&gt;Outliers!$F$7,"High",""))</f>
        <v/>
      </c>
      <c r="K297" s="6" t="str">
        <f aca="false">IF(C297&lt;Outliers!$E$8,"Low",IF(C297&gt;Outliers!$F$8,"High",""))</f>
        <v/>
      </c>
      <c r="L297" s="6" t="str">
        <f aca="false">A297&amp;";"&amp;B297&amp;";"&amp;C297</f>
        <v>17.34150229;67.9545435;24.775945985932</v>
      </c>
      <c r="M297" s="6" t="n">
        <f aca="false">IF(COUNTIF($L$2:$L$2201,L297)&gt;1,1,0)</f>
        <v>0</v>
      </c>
      <c r="N297" s="6" t="str">
        <f aca="false">IF(AND(C297&lt;Assumptions!$B$9,B297&lt;Assumptions!$B$10),"Irrigate Now",IF(AND(C297&gt;=Assumptions!$B$11,B297&gt;=Assumptions!$B$12),"No Irrigation Needed","Monitor"))</f>
        <v>Monitor</v>
      </c>
      <c r="O297" s="6" t="n">
        <f aca="false">IF(N297=G297,1,0)</f>
        <v>1</v>
      </c>
    </row>
    <row r="298" customFormat="false" ht="15" hidden="false" customHeight="false" outlineLevel="0" collapsed="false">
      <c r="A298" s="16" t="n">
        <v>17.43732714</v>
      </c>
      <c r="B298" s="16" t="n">
        <v>73.0926704</v>
      </c>
      <c r="C298" s="16" t="n">
        <v>26.6733607252307</v>
      </c>
      <c r="D298" s="6" t="s">
        <v>66</v>
      </c>
      <c r="E298" s="6" t="s">
        <v>57</v>
      </c>
      <c r="F298" s="6" t="s">
        <v>23</v>
      </c>
      <c r="G298" s="6" t="s">
        <v>61</v>
      </c>
      <c r="H298" s="6" t="s">
        <v>63</v>
      </c>
      <c r="I298" s="6" t="str">
        <f aca="false">IF(A298&lt;Outliers!$E$6,"Low",IF(A298&gt;Outliers!$F$6,"High",""))</f>
        <v/>
      </c>
      <c r="J298" s="6" t="str">
        <f aca="false">IF(B298&lt;Outliers!$E$7,"Low",IF(B298&gt;Outliers!$F$7,"High",""))</f>
        <v/>
      </c>
      <c r="K298" s="6" t="str">
        <f aca="false">IF(C298&lt;Outliers!$E$8,"Low",IF(C298&gt;Outliers!$F$8,"High",""))</f>
        <v/>
      </c>
      <c r="L298" s="6" t="str">
        <f aca="false">A298&amp;";"&amp;B298&amp;";"&amp;C298</f>
        <v>17.43732714;73.0926704;26.6733607252307</v>
      </c>
      <c r="M298" s="6" t="n">
        <f aca="false">IF(COUNTIF($L$2:$L$2201,L298)&gt;1,1,0)</f>
        <v>0</v>
      </c>
      <c r="N298" s="6" t="str">
        <f aca="false">IF(AND(C298&lt;Assumptions!$B$9,B298&lt;Assumptions!$B$10),"Irrigate Now",IF(AND(C298&gt;=Assumptions!$B$11,B298&gt;=Assumptions!$B$12),"No Irrigation Needed","Monitor"))</f>
        <v>Monitor</v>
      </c>
      <c r="O298" s="6" t="n">
        <f aca="false">IF(N298=G298,1,0)</f>
        <v>1</v>
      </c>
    </row>
    <row r="299" customFormat="false" ht="15" hidden="false" customHeight="false" outlineLevel="0" collapsed="false">
      <c r="A299" s="16" t="n">
        <v>18.89780215</v>
      </c>
      <c r="B299" s="16" t="n">
        <v>69.09512477</v>
      </c>
      <c r="C299" s="16" t="n">
        <v>13.8385331613134</v>
      </c>
      <c r="D299" s="6" t="s">
        <v>66</v>
      </c>
      <c r="E299" s="6" t="s">
        <v>57</v>
      </c>
      <c r="F299" s="6" t="s">
        <v>24</v>
      </c>
      <c r="G299" s="6" t="s">
        <v>64</v>
      </c>
      <c r="H299" s="6" t="s">
        <v>65</v>
      </c>
      <c r="I299" s="6" t="str">
        <f aca="false">IF(A299&lt;Outliers!$E$6,"Low",IF(A299&gt;Outliers!$F$6,"High",""))</f>
        <v/>
      </c>
      <c r="J299" s="6" t="str">
        <f aca="false">IF(B299&lt;Outliers!$E$7,"Low",IF(B299&gt;Outliers!$F$7,"High",""))</f>
        <v/>
      </c>
      <c r="K299" s="6" t="str">
        <f aca="false">IF(C299&lt;Outliers!$E$8,"Low",IF(C299&gt;Outliers!$F$8,"High",""))</f>
        <v/>
      </c>
      <c r="L299" s="6" t="str">
        <f aca="false">A299&amp;";"&amp;B299&amp;";"&amp;C299</f>
        <v>18.89780215;69.09512477;13.8385331613134</v>
      </c>
      <c r="M299" s="6" t="n">
        <f aca="false">IF(COUNTIF($L$2:$L$2201,L299)&gt;1,1,0)</f>
        <v>0</v>
      </c>
      <c r="N299" s="6" t="str">
        <f aca="false">IF(AND(C299&lt;Assumptions!$B$9,B299&lt;Assumptions!$B$10),"Irrigate Now",IF(AND(C299&gt;=Assumptions!$B$11,B299&gt;=Assumptions!$B$12),"No Irrigation Needed","Monitor"))</f>
        <v>Irrigate Now</v>
      </c>
      <c r="O299" s="6" t="n">
        <f aca="false">IF(N299=G299,1,0)</f>
        <v>1</v>
      </c>
    </row>
    <row r="300" customFormat="false" ht="15" hidden="false" customHeight="false" outlineLevel="0" collapsed="false">
      <c r="A300" s="16" t="n">
        <v>18.59190771</v>
      </c>
      <c r="B300" s="16" t="n">
        <v>89.60982451</v>
      </c>
      <c r="C300" s="16" t="n">
        <v>16.8474275701624</v>
      </c>
      <c r="D300" s="6" t="s">
        <v>66</v>
      </c>
      <c r="E300" s="6" t="s">
        <v>57</v>
      </c>
      <c r="F300" s="6" t="s">
        <v>24</v>
      </c>
      <c r="G300" s="6" t="s">
        <v>64</v>
      </c>
      <c r="H300" s="6" t="s">
        <v>65</v>
      </c>
      <c r="I300" s="6" t="str">
        <f aca="false">IF(A300&lt;Outliers!$E$6,"Low",IF(A300&gt;Outliers!$F$6,"High",""))</f>
        <v/>
      </c>
      <c r="J300" s="6" t="str">
        <f aca="false">IF(B300&lt;Outliers!$E$7,"Low",IF(B300&gt;Outliers!$F$7,"High",""))</f>
        <v/>
      </c>
      <c r="K300" s="6" t="str">
        <f aca="false">IF(C300&lt;Outliers!$E$8,"Low",IF(C300&gt;Outliers!$F$8,"High",""))</f>
        <v/>
      </c>
      <c r="L300" s="6" t="str">
        <f aca="false">A300&amp;";"&amp;B300&amp;";"&amp;C300</f>
        <v>18.59190771;89.60982451;16.8474275701624</v>
      </c>
      <c r="M300" s="6" t="n">
        <f aca="false">IF(COUNTIF($L$2:$L$2201,L300)&gt;1,1,0)</f>
        <v>0</v>
      </c>
      <c r="N300" s="6" t="str">
        <f aca="false">IF(AND(C300&lt;Assumptions!$B$9,B300&lt;Assumptions!$B$10),"Irrigate Now",IF(AND(C300&gt;=Assumptions!$B$11,B300&gt;=Assumptions!$B$12),"No Irrigation Needed","Monitor"))</f>
        <v>Irrigate Now</v>
      </c>
      <c r="O300" s="6" t="n">
        <f aca="false">IF(N300=G300,1,0)</f>
        <v>1</v>
      </c>
    </row>
    <row r="301" customFormat="false" ht="15" hidden="false" customHeight="false" outlineLevel="0" collapsed="false">
      <c r="A301" s="16" t="n">
        <v>18.31561493</v>
      </c>
      <c r="B301" s="16" t="n">
        <v>81.78710463</v>
      </c>
      <c r="C301" s="16" t="n">
        <v>11.8170080696041</v>
      </c>
      <c r="D301" s="6" t="s">
        <v>66</v>
      </c>
      <c r="E301" s="6" t="s">
        <v>57</v>
      </c>
      <c r="F301" s="6" t="s">
        <v>24</v>
      </c>
      <c r="G301" s="6" t="s">
        <v>64</v>
      </c>
      <c r="H301" s="6" t="s">
        <v>65</v>
      </c>
      <c r="I301" s="6" t="str">
        <f aca="false">IF(A301&lt;Outliers!$E$6,"Low",IF(A301&gt;Outliers!$F$6,"High",""))</f>
        <v/>
      </c>
      <c r="J301" s="6" t="str">
        <f aca="false">IF(B301&lt;Outliers!$E$7,"Low",IF(B301&gt;Outliers!$F$7,"High",""))</f>
        <v/>
      </c>
      <c r="K301" s="6" t="str">
        <f aca="false">IF(C301&lt;Outliers!$E$8,"Low",IF(C301&gt;Outliers!$F$8,"High",""))</f>
        <v/>
      </c>
      <c r="L301" s="6" t="str">
        <f aca="false">A301&amp;";"&amp;B301&amp;";"&amp;C301</f>
        <v>18.31561493;81.78710463;11.8170080696041</v>
      </c>
      <c r="M301" s="6" t="n">
        <f aca="false">IF(COUNTIF($L$2:$L$2201,L301)&gt;1,1,0)</f>
        <v>0</v>
      </c>
      <c r="N301" s="6" t="str">
        <f aca="false">IF(AND(C301&lt;Assumptions!$B$9,B301&lt;Assumptions!$B$10),"Irrigate Now",IF(AND(C301&gt;=Assumptions!$B$11,B301&gt;=Assumptions!$B$12),"No Irrigation Needed","Monitor"))</f>
        <v>Irrigate Now</v>
      </c>
      <c r="O301" s="6" t="n">
        <f aca="false">IF(N301=G301,1,0)</f>
        <v>1</v>
      </c>
    </row>
    <row r="302" customFormat="false" ht="15" hidden="false" customHeight="false" outlineLevel="0" collapsed="false">
      <c r="A302" s="16" t="n">
        <v>17.13692774</v>
      </c>
      <c r="B302" s="16" t="n">
        <v>128.256862</v>
      </c>
      <c r="C302" s="16" t="n">
        <v>27.5124685818661</v>
      </c>
      <c r="D302" s="6" t="s">
        <v>66</v>
      </c>
      <c r="E302" s="6" t="s">
        <v>57</v>
      </c>
      <c r="F302" s="6" t="s">
        <v>23</v>
      </c>
      <c r="G302" s="6" t="s">
        <v>58</v>
      </c>
      <c r="H302" s="6" t="s">
        <v>59</v>
      </c>
      <c r="I302" s="6" t="str">
        <f aca="false">IF(A302&lt;Outliers!$E$6,"Low",IF(A302&gt;Outliers!$F$6,"High",""))</f>
        <v/>
      </c>
      <c r="J302" s="6" t="str">
        <f aca="false">IF(B302&lt;Outliers!$E$7,"Low",IF(B302&gt;Outliers!$F$7,"High",""))</f>
        <v/>
      </c>
      <c r="K302" s="6" t="str">
        <f aca="false">IF(C302&lt;Outliers!$E$8,"Low",IF(C302&gt;Outliers!$F$8,"High",""))</f>
        <v/>
      </c>
      <c r="L302" s="6" t="str">
        <f aca="false">A302&amp;";"&amp;B302&amp;";"&amp;C302</f>
        <v>17.13692774;128.256862;27.5124685818661</v>
      </c>
      <c r="M302" s="6" t="n">
        <f aca="false">IF(COUNTIF($L$2:$L$2201,L302)&gt;1,1,0)</f>
        <v>0</v>
      </c>
      <c r="N302" s="6" t="str">
        <f aca="false">IF(AND(C302&lt;Assumptions!$B$9,B302&lt;Assumptions!$B$10),"Irrigate Now",IF(AND(C302&gt;=Assumptions!$B$11,B302&gt;=Assumptions!$B$12),"No Irrigation Needed","Monitor"))</f>
        <v>No Irrigation Needed</v>
      </c>
      <c r="O302" s="6" t="n">
        <f aca="false">IF(N302=G302,1,0)</f>
        <v>1</v>
      </c>
    </row>
    <row r="303" customFormat="false" ht="15" hidden="false" customHeight="false" outlineLevel="0" collapsed="false">
      <c r="A303" s="16" t="n">
        <v>19.63474332</v>
      </c>
      <c r="B303" s="16" t="n">
        <v>106.3598183</v>
      </c>
      <c r="C303" s="16" t="n">
        <v>24.9634529958926</v>
      </c>
      <c r="D303" s="6" t="s">
        <v>66</v>
      </c>
      <c r="E303" s="6" t="s">
        <v>57</v>
      </c>
      <c r="F303" s="6" t="s">
        <v>23</v>
      </c>
      <c r="G303" s="6" t="s">
        <v>61</v>
      </c>
      <c r="H303" s="6" t="s">
        <v>63</v>
      </c>
      <c r="I303" s="6" t="str">
        <f aca="false">IF(A303&lt;Outliers!$E$6,"Low",IF(A303&gt;Outliers!$F$6,"High",""))</f>
        <v/>
      </c>
      <c r="J303" s="6" t="str">
        <f aca="false">IF(B303&lt;Outliers!$E$7,"Low",IF(B303&gt;Outliers!$F$7,"High",""))</f>
        <v/>
      </c>
      <c r="K303" s="6" t="str">
        <f aca="false">IF(C303&lt;Outliers!$E$8,"Low",IF(C303&gt;Outliers!$F$8,"High",""))</f>
        <v/>
      </c>
      <c r="L303" s="6" t="str">
        <f aca="false">A303&amp;";"&amp;B303&amp;";"&amp;C303</f>
        <v>19.63474332;106.3598183;24.9634529958926</v>
      </c>
      <c r="M303" s="6" t="n">
        <f aca="false">IF(COUNTIF($L$2:$L$2201,L303)&gt;1,1,0)</f>
        <v>0</v>
      </c>
      <c r="N303" s="6" t="str">
        <f aca="false">IF(AND(C303&lt;Assumptions!$B$9,B303&lt;Assumptions!$B$10),"Irrigate Now",IF(AND(C303&gt;=Assumptions!$B$11,B303&gt;=Assumptions!$B$12),"No Irrigation Needed","Monitor"))</f>
        <v>Monitor</v>
      </c>
      <c r="O303" s="6" t="n">
        <f aca="false">IF(N303=G303,1,0)</f>
        <v>1</v>
      </c>
    </row>
    <row r="304" customFormat="false" ht="15" hidden="false" customHeight="false" outlineLevel="0" collapsed="false">
      <c r="A304" s="16" t="n">
        <v>22.91350245</v>
      </c>
      <c r="B304" s="16" t="n">
        <v>109.225556</v>
      </c>
      <c r="C304" s="16" t="n">
        <v>17.8197316607199</v>
      </c>
      <c r="D304" s="6" t="s">
        <v>57</v>
      </c>
      <c r="E304" s="6" t="s">
        <v>57</v>
      </c>
      <c r="F304" s="6" t="s">
        <v>60</v>
      </c>
      <c r="G304" s="6" t="s">
        <v>61</v>
      </c>
      <c r="H304" s="6" t="s">
        <v>63</v>
      </c>
      <c r="I304" s="6" t="str">
        <f aca="false">IF(A304&lt;Outliers!$E$6,"Low",IF(A304&gt;Outliers!$F$6,"High",""))</f>
        <v/>
      </c>
      <c r="J304" s="6" t="str">
        <f aca="false">IF(B304&lt;Outliers!$E$7,"Low",IF(B304&gt;Outliers!$F$7,"High",""))</f>
        <v/>
      </c>
      <c r="K304" s="6" t="str">
        <f aca="false">IF(C304&lt;Outliers!$E$8,"Low",IF(C304&gt;Outliers!$F$8,"High",""))</f>
        <v/>
      </c>
      <c r="L304" s="6" t="str">
        <f aca="false">A304&amp;";"&amp;B304&amp;";"&amp;C304</f>
        <v>22.91350245;109.225556;17.8197316607199</v>
      </c>
      <c r="M304" s="6" t="n">
        <f aca="false">IF(COUNTIF($L$2:$L$2201,L304)&gt;1,1,0)</f>
        <v>0</v>
      </c>
      <c r="N304" s="6" t="str">
        <f aca="false">IF(AND(C304&lt;Assumptions!$B$9,B304&lt;Assumptions!$B$10),"Irrigate Now",IF(AND(C304&gt;=Assumptions!$B$11,B304&gt;=Assumptions!$B$12),"No Irrigation Needed","Monitor"))</f>
        <v>Monitor</v>
      </c>
      <c r="O304" s="6" t="n">
        <f aca="false">IF(N304=G304,1,0)</f>
        <v>1</v>
      </c>
    </row>
    <row r="305" customFormat="false" ht="15" hidden="false" customHeight="false" outlineLevel="0" collapsed="false">
      <c r="A305" s="16" t="n">
        <v>16.43340342</v>
      </c>
      <c r="B305" s="16" t="n">
        <v>140.3717815</v>
      </c>
      <c r="C305" s="16" t="n">
        <v>25.6518859749753</v>
      </c>
      <c r="D305" s="6" t="s">
        <v>66</v>
      </c>
      <c r="E305" s="6" t="s">
        <v>57</v>
      </c>
      <c r="F305" s="6" t="s">
        <v>23</v>
      </c>
      <c r="G305" s="6" t="s">
        <v>58</v>
      </c>
      <c r="H305" s="6" t="s">
        <v>59</v>
      </c>
      <c r="I305" s="6" t="str">
        <f aca="false">IF(A305&lt;Outliers!$E$6,"Low",IF(A305&gt;Outliers!$F$6,"High",""))</f>
        <v/>
      </c>
      <c r="J305" s="6" t="str">
        <f aca="false">IF(B305&lt;Outliers!$E$7,"Low",IF(B305&gt;Outliers!$F$7,"High",""))</f>
        <v/>
      </c>
      <c r="K305" s="6" t="str">
        <f aca="false">IF(C305&lt;Outliers!$E$8,"Low",IF(C305&gt;Outliers!$F$8,"High",""))</f>
        <v/>
      </c>
      <c r="L305" s="6" t="str">
        <f aca="false">A305&amp;";"&amp;B305&amp;";"&amp;C305</f>
        <v>16.43340342;140.3717815;25.6518859749753</v>
      </c>
      <c r="M305" s="6" t="n">
        <f aca="false">IF(COUNTIF($L$2:$L$2201,L305)&gt;1,1,0)</f>
        <v>0</v>
      </c>
      <c r="N305" s="6" t="str">
        <f aca="false">IF(AND(C305&lt;Assumptions!$B$9,B305&lt;Assumptions!$B$10),"Irrigate Now",IF(AND(C305&gt;=Assumptions!$B$11,B305&gt;=Assumptions!$B$12),"No Irrigation Needed","Monitor"))</f>
        <v>No Irrigation Needed</v>
      </c>
      <c r="O305" s="6" t="n">
        <f aca="false">IF(N305=G305,1,0)</f>
        <v>1</v>
      </c>
    </row>
    <row r="306" customFormat="false" ht="15" hidden="false" customHeight="false" outlineLevel="0" collapsed="false">
      <c r="A306" s="16" t="n">
        <v>22.13974653</v>
      </c>
      <c r="B306" s="16" t="n">
        <v>76.64128258</v>
      </c>
      <c r="C306" s="16" t="n">
        <v>26.5041257601699</v>
      </c>
      <c r="D306" s="6" t="s">
        <v>57</v>
      </c>
      <c r="E306" s="6" t="s">
        <v>57</v>
      </c>
      <c r="F306" s="6" t="s">
        <v>23</v>
      </c>
      <c r="G306" s="6" t="s">
        <v>61</v>
      </c>
      <c r="H306" s="6" t="s">
        <v>63</v>
      </c>
      <c r="I306" s="6" t="str">
        <f aca="false">IF(A306&lt;Outliers!$E$6,"Low",IF(A306&gt;Outliers!$F$6,"High",""))</f>
        <v/>
      </c>
      <c r="J306" s="6" t="str">
        <f aca="false">IF(B306&lt;Outliers!$E$7,"Low",IF(B306&gt;Outliers!$F$7,"High",""))</f>
        <v/>
      </c>
      <c r="K306" s="6" t="str">
        <f aca="false">IF(C306&lt;Outliers!$E$8,"Low",IF(C306&gt;Outliers!$F$8,"High",""))</f>
        <v/>
      </c>
      <c r="L306" s="6" t="str">
        <f aca="false">A306&amp;";"&amp;B306&amp;";"&amp;C306</f>
        <v>22.13974653;76.64128258;26.5041257601699</v>
      </c>
      <c r="M306" s="6" t="n">
        <f aca="false">IF(COUNTIF($L$2:$L$2201,L306)&gt;1,1,0)</f>
        <v>0</v>
      </c>
      <c r="N306" s="6" t="str">
        <f aca="false">IF(AND(C306&lt;Assumptions!$B$9,B306&lt;Assumptions!$B$10),"Irrigate Now",IF(AND(C306&gt;=Assumptions!$B$11,B306&gt;=Assumptions!$B$12),"No Irrigation Needed","Monitor"))</f>
        <v>Monitor</v>
      </c>
      <c r="O306" s="6" t="n">
        <f aca="false">IF(N306=G306,1,0)</f>
        <v>1</v>
      </c>
    </row>
    <row r="307" customFormat="false" ht="15" hidden="false" customHeight="false" outlineLevel="0" collapsed="false">
      <c r="A307" s="16" t="n">
        <v>17.84806561</v>
      </c>
      <c r="B307" s="16" t="n">
        <v>143.0984171</v>
      </c>
      <c r="C307" s="16" t="n">
        <v>10.0242604278505</v>
      </c>
      <c r="D307" s="6" t="s">
        <v>66</v>
      </c>
      <c r="E307" s="6" t="s">
        <v>57</v>
      </c>
      <c r="F307" s="6" t="s">
        <v>24</v>
      </c>
      <c r="G307" s="6" t="s">
        <v>61</v>
      </c>
      <c r="H307" s="6" t="s">
        <v>63</v>
      </c>
      <c r="I307" s="6" t="str">
        <f aca="false">IF(A307&lt;Outliers!$E$6,"Low",IF(A307&gt;Outliers!$F$6,"High",""))</f>
        <v/>
      </c>
      <c r="J307" s="6" t="str">
        <f aca="false">IF(B307&lt;Outliers!$E$7,"Low",IF(B307&gt;Outliers!$F$7,"High",""))</f>
        <v/>
      </c>
      <c r="K307" s="6" t="str">
        <f aca="false">IF(C307&lt;Outliers!$E$8,"Low",IF(C307&gt;Outliers!$F$8,"High",""))</f>
        <v/>
      </c>
      <c r="L307" s="6" t="str">
        <f aca="false">A307&amp;";"&amp;B307&amp;";"&amp;C307</f>
        <v>17.84806561;143.0984171;10.0242604278505</v>
      </c>
      <c r="M307" s="6" t="n">
        <f aca="false">IF(COUNTIF($L$2:$L$2201,L307)&gt;1,1,0)</f>
        <v>0</v>
      </c>
      <c r="N307" s="6" t="str">
        <f aca="false">IF(AND(C307&lt;Assumptions!$B$9,B307&lt;Assumptions!$B$10),"Irrigate Now",IF(AND(C307&gt;=Assumptions!$B$11,B307&gt;=Assumptions!$B$12),"No Irrigation Needed","Monitor"))</f>
        <v>Monitor</v>
      </c>
      <c r="O307" s="6" t="n">
        <f aca="false">IF(N307=G307,1,0)</f>
        <v>1</v>
      </c>
    </row>
    <row r="308" customFormat="false" ht="15" hidden="false" customHeight="false" outlineLevel="0" collapsed="false">
      <c r="A308" s="16" t="n">
        <v>19.88394011</v>
      </c>
      <c r="B308" s="16" t="n">
        <v>60.91974792</v>
      </c>
      <c r="C308" s="16" t="n">
        <v>16.5411973725352</v>
      </c>
      <c r="D308" s="6" t="s">
        <v>66</v>
      </c>
      <c r="E308" s="6" t="s">
        <v>57</v>
      </c>
      <c r="F308" s="6" t="s">
        <v>24</v>
      </c>
      <c r="G308" s="6" t="s">
        <v>64</v>
      </c>
      <c r="H308" s="6" t="s">
        <v>65</v>
      </c>
      <c r="I308" s="6" t="str">
        <f aca="false">IF(A308&lt;Outliers!$E$6,"Low",IF(A308&gt;Outliers!$F$6,"High",""))</f>
        <v/>
      </c>
      <c r="J308" s="6" t="str">
        <f aca="false">IF(B308&lt;Outliers!$E$7,"Low",IF(B308&gt;Outliers!$F$7,"High",""))</f>
        <v/>
      </c>
      <c r="K308" s="6" t="str">
        <f aca="false">IF(C308&lt;Outliers!$E$8,"Low",IF(C308&gt;Outliers!$F$8,"High",""))</f>
        <v/>
      </c>
      <c r="L308" s="6" t="str">
        <f aca="false">A308&amp;";"&amp;B308&amp;";"&amp;C308</f>
        <v>19.88394011;60.91974792;16.5411973725352</v>
      </c>
      <c r="M308" s="6" t="n">
        <f aca="false">IF(COUNTIF($L$2:$L$2201,L308)&gt;1,1,0)</f>
        <v>0</v>
      </c>
      <c r="N308" s="6" t="str">
        <f aca="false">IF(AND(C308&lt;Assumptions!$B$9,B308&lt;Assumptions!$B$10),"Irrigate Now",IF(AND(C308&gt;=Assumptions!$B$11,B308&gt;=Assumptions!$B$12),"No Irrigation Needed","Monitor"))</f>
        <v>Irrigate Now</v>
      </c>
      <c r="O308" s="6" t="n">
        <f aca="false">IF(N308=G308,1,0)</f>
        <v>1</v>
      </c>
    </row>
    <row r="309" customFormat="false" ht="15" hidden="false" customHeight="false" outlineLevel="0" collapsed="false">
      <c r="A309" s="16" t="n">
        <v>19.32509638</v>
      </c>
      <c r="B309" s="16" t="n">
        <v>104.7783947</v>
      </c>
      <c r="C309" s="16" t="n">
        <v>20.6036310398414</v>
      </c>
      <c r="D309" s="6" t="s">
        <v>66</v>
      </c>
      <c r="E309" s="6" t="s">
        <v>57</v>
      </c>
      <c r="F309" s="6" t="s">
        <v>60</v>
      </c>
      <c r="G309" s="6" t="s">
        <v>61</v>
      </c>
      <c r="H309" s="6" t="s">
        <v>63</v>
      </c>
      <c r="I309" s="6" t="str">
        <f aca="false">IF(A309&lt;Outliers!$E$6,"Low",IF(A309&gt;Outliers!$F$6,"High",""))</f>
        <v/>
      </c>
      <c r="J309" s="6" t="str">
        <f aca="false">IF(B309&lt;Outliers!$E$7,"Low",IF(B309&gt;Outliers!$F$7,"High",""))</f>
        <v/>
      </c>
      <c r="K309" s="6" t="str">
        <f aca="false">IF(C309&lt;Outliers!$E$8,"Low",IF(C309&gt;Outliers!$F$8,"High",""))</f>
        <v/>
      </c>
      <c r="L309" s="6" t="str">
        <f aca="false">A309&amp;";"&amp;B309&amp;";"&amp;C309</f>
        <v>19.32509638;104.7783947;20.6036310398414</v>
      </c>
      <c r="M309" s="6" t="n">
        <f aca="false">IF(COUNTIF($L$2:$L$2201,L309)&gt;1,1,0)</f>
        <v>0</v>
      </c>
      <c r="N309" s="6" t="str">
        <f aca="false">IF(AND(C309&lt;Assumptions!$B$9,B309&lt;Assumptions!$B$10),"Irrigate Now",IF(AND(C309&gt;=Assumptions!$B$11,B309&gt;=Assumptions!$B$12),"No Irrigation Needed","Monitor"))</f>
        <v>Monitor</v>
      </c>
      <c r="O309" s="6" t="n">
        <f aca="false">IF(N309=G309,1,0)</f>
        <v>1</v>
      </c>
    </row>
    <row r="310" customFormat="false" ht="15" hidden="false" customHeight="false" outlineLevel="0" collapsed="false">
      <c r="A310" s="16" t="n">
        <v>18.4167001</v>
      </c>
      <c r="B310" s="16" t="n">
        <v>132.9801054</v>
      </c>
      <c r="C310" s="16" t="n">
        <v>26.774617745085</v>
      </c>
      <c r="D310" s="6" t="s">
        <v>66</v>
      </c>
      <c r="E310" s="6" t="s">
        <v>57</v>
      </c>
      <c r="F310" s="6" t="s">
        <v>23</v>
      </c>
      <c r="G310" s="6" t="s">
        <v>58</v>
      </c>
      <c r="H310" s="6" t="s">
        <v>59</v>
      </c>
      <c r="I310" s="6" t="str">
        <f aca="false">IF(A310&lt;Outliers!$E$6,"Low",IF(A310&gt;Outliers!$F$6,"High",""))</f>
        <v/>
      </c>
      <c r="J310" s="6" t="str">
        <f aca="false">IF(B310&lt;Outliers!$E$7,"Low",IF(B310&gt;Outliers!$F$7,"High",""))</f>
        <v/>
      </c>
      <c r="K310" s="6" t="str">
        <f aca="false">IF(C310&lt;Outliers!$E$8,"Low",IF(C310&gt;Outliers!$F$8,"High",""))</f>
        <v/>
      </c>
      <c r="L310" s="6" t="str">
        <f aca="false">A310&amp;";"&amp;B310&amp;";"&amp;C310</f>
        <v>18.4167001;132.9801054;26.774617745085</v>
      </c>
      <c r="M310" s="6" t="n">
        <f aca="false">IF(COUNTIF($L$2:$L$2201,L310)&gt;1,1,0)</f>
        <v>0</v>
      </c>
      <c r="N310" s="6" t="str">
        <f aca="false">IF(AND(C310&lt;Assumptions!$B$9,B310&lt;Assumptions!$B$10),"Irrigate Now",IF(AND(C310&gt;=Assumptions!$B$11,B310&gt;=Assumptions!$B$12),"No Irrigation Needed","Monitor"))</f>
        <v>No Irrigation Needed</v>
      </c>
      <c r="O310" s="6" t="n">
        <f aca="false">IF(N310=G310,1,0)</f>
        <v>1</v>
      </c>
    </row>
    <row r="311" customFormat="false" ht="15" hidden="false" customHeight="false" outlineLevel="0" collapsed="false">
      <c r="A311" s="16" t="n">
        <v>21.81167649</v>
      </c>
      <c r="B311" s="16" t="n">
        <v>130.0608093</v>
      </c>
      <c r="C311" s="16" t="n">
        <v>18.4259325101156</v>
      </c>
      <c r="D311" s="6" t="s">
        <v>57</v>
      </c>
      <c r="E311" s="6" t="s">
        <v>57</v>
      </c>
      <c r="F311" s="6" t="s">
        <v>60</v>
      </c>
      <c r="G311" s="6" t="s">
        <v>61</v>
      </c>
      <c r="H311" s="6" t="s">
        <v>63</v>
      </c>
      <c r="I311" s="6" t="str">
        <f aca="false">IF(A311&lt;Outliers!$E$6,"Low",IF(A311&gt;Outliers!$F$6,"High",""))</f>
        <v/>
      </c>
      <c r="J311" s="6" t="str">
        <f aca="false">IF(B311&lt;Outliers!$E$7,"Low",IF(B311&gt;Outliers!$F$7,"High",""))</f>
        <v/>
      </c>
      <c r="K311" s="6" t="str">
        <f aca="false">IF(C311&lt;Outliers!$E$8,"Low",IF(C311&gt;Outliers!$F$8,"High",""))</f>
        <v/>
      </c>
      <c r="L311" s="6" t="str">
        <f aca="false">A311&amp;";"&amp;B311&amp;";"&amp;C311</f>
        <v>21.81167649;130.0608093;18.4259325101156</v>
      </c>
      <c r="M311" s="6" t="n">
        <f aca="false">IF(COUNTIF($L$2:$L$2201,L311)&gt;1,1,0)</f>
        <v>0</v>
      </c>
      <c r="N311" s="6" t="str">
        <f aca="false">IF(AND(C311&lt;Assumptions!$B$9,B311&lt;Assumptions!$B$10),"Irrigate Now",IF(AND(C311&gt;=Assumptions!$B$11,B311&gt;=Assumptions!$B$12),"No Irrigation Needed","Monitor"))</f>
        <v>Monitor</v>
      </c>
      <c r="O311" s="6" t="n">
        <f aca="false">IF(N311=G311,1,0)</f>
        <v>1</v>
      </c>
    </row>
    <row r="312" customFormat="false" ht="15" hidden="false" customHeight="false" outlineLevel="0" collapsed="false">
      <c r="A312" s="16" t="n">
        <v>19.72702528</v>
      </c>
      <c r="B312" s="16" t="n">
        <v>143.7630894</v>
      </c>
      <c r="C312" s="16" t="n">
        <v>24.9640315788525</v>
      </c>
      <c r="D312" s="6" t="s">
        <v>66</v>
      </c>
      <c r="E312" s="6" t="s">
        <v>57</v>
      </c>
      <c r="F312" s="6" t="s">
        <v>23</v>
      </c>
      <c r="G312" s="6" t="s">
        <v>61</v>
      </c>
      <c r="H312" s="6" t="s">
        <v>63</v>
      </c>
      <c r="I312" s="6" t="str">
        <f aca="false">IF(A312&lt;Outliers!$E$6,"Low",IF(A312&gt;Outliers!$F$6,"High",""))</f>
        <v/>
      </c>
      <c r="J312" s="6" t="str">
        <f aca="false">IF(B312&lt;Outliers!$E$7,"Low",IF(B312&gt;Outliers!$F$7,"High",""))</f>
        <v/>
      </c>
      <c r="K312" s="6" t="str">
        <f aca="false">IF(C312&lt;Outliers!$E$8,"Low",IF(C312&gt;Outliers!$F$8,"High",""))</f>
        <v/>
      </c>
      <c r="L312" s="6" t="str">
        <f aca="false">A312&amp;";"&amp;B312&amp;";"&amp;C312</f>
        <v>19.72702528;143.7630894;24.9640315788525</v>
      </c>
      <c r="M312" s="6" t="n">
        <f aca="false">IF(COUNTIF($L$2:$L$2201,L312)&gt;1,1,0)</f>
        <v>0</v>
      </c>
      <c r="N312" s="6" t="str">
        <f aca="false">IF(AND(C312&lt;Assumptions!$B$9,B312&lt;Assumptions!$B$10),"Irrigate Now",IF(AND(C312&gt;=Assumptions!$B$11,B312&gt;=Assumptions!$B$12),"No Irrigation Needed","Monitor"))</f>
        <v>Monitor</v>
      </c>
      <c r="O312" s="6" t="n">
        <f aca="false">IF(N312=G312,1,0)</f>
        <v>1</v>
      </c>
    </row>
    <row r="313" customFormat="false" ht="15" hidden="false" customHeight="false" outlineLevel="0" collapsed="false">
      <c r="A313" s="16" t="n">
        <v>17.15432954</v>
      </c>
      <c r="B313" s="16" t="n">
        <v>87.99669731</v>
      </c>
      <c r="C313" s="16" t="n">
        <v>13.6654922977922</v>
      </c>
      <c r="D313" s="6" t="s">
        <v>66</v>
      </c>
      <c r="E313" s="6" t="s">
        <v>57</v>
      </c>
      <c r="F313" s="6" t="s">
        <v>24</v>
      </c>
      <c r="G313" s="6" t="s">
        <v>64</v>
      </c>
      <c r="H313" s="6" t="s">
        <v>65</v>
      </c>
      <c r="I313" s="6" t="str">
        <f aca="false">IF(A313&lt;Outliers!$E$6,"Low",IF(A313&gt;Outliers!$F$6,"High",""))</f>
        <v/>
      </c>
      <c r="J313" s="6" t="str">
        <f aca="false">IF(B313&lt;Outliers!$E$7,"Low",IF(B313&gt;Outliers!$F$7,"High",""))</f>
        <v/>
      </c>
      <c r="K313" s="6" t="str">
        <f aca="false">IF(C313&lt;Outliers!$E$8,"Low",IF(C313&gt;Outliers!$F$8,"High",""))</f>
        <v/>
      </c>
      <c r="L313" s="6" t="str">
        <f aca="false">A313&amp;";"&amp;B313&amp;";"&amp;C313</f>
        <v>17.15432954;87.99669731;13.6654922977922</v>
      </c>
      <c r="M313" s="6" t="n">
        <f aca="false">IF(COUNTIF($L$2:$L$2201,L313)&gt;1,1,0)</f>
        <v>0</v>
      </c>
      <c r="N313" s="6" t="str">
        <f aca="false">IF(AND(C313&lt;Assumptions!$B$9,B313&lt;Assumptions!$B$10),"Irrigate Now",IF(AND(C313&gt;=Assumptions!$B$11,B313&gt;=Assumptions!$B$12),"No Irrigation Needed","Monitor"))</f>
        <v>Irrigate Now</v>
      </c>
      <c r="O313" s="6" t="n">
        <f aca="false">IF(N313=G313,1,0)</f>
        <v>1</v>
      </c>
    </row>
    <row r="314" customFormat="false" ht="15" hidden="false" customHeight="false" outlineLevel="0" collapsed="false">
      <c r="A314" s="16" t="n">
        <v>19.62207826</v>
      </c>
      <c r="B314" s="16" t="n">
        <v>144.1567454</v>
      </c>
      <c r="C314" s="16" t="n">
        <v>28.8326056362166</v>
      </c>
      <c r="D314" s="6" t="s">
        <v>66</v>
      </c>
      <c r="E314" s="6" t="s">
        <v>57</v>
      </c>
      <c r="F314" s="6" t="s">
        <v>23</v>
      </c>
      <c r="G314" s="6" t="s">
        <v>58</v>
      </c>
      <c r="H314" s="6" t="s">
        <v>59</v>
      </c>
      <c r="I314" s="6" t="str">
        <f aca="false">IF(A314&lt;Outliers!$E$6,"Low",IF(A314&gt;Outliers!$F$6,"High",""))</f>
        <v/>
      </c>
      <c r="J314" s="6" t="str">
        <f aca="false">IF(B314&lt;Outliers!$E$7,"Low",IF(B314&gt;Outliers!$F$7,"High",""))</f>
        <v/>
      </c>
      <c r="K314" s="6" t="str">
        <f aca="false">IF(C314&lt;Outliers!$E$8,"Low",IF(C314&gt;Outliers!$F$8,"High",""))</f>
        <v/>
      </c>
      <c r="L314" s="6" t="str">
        <f aca="false">A314&amp;";"&amp;B314&amp;";"&amp;C314</f>
        <v>19.62207826;144.1567454;28.8326056362166</v>
      </c>
      <c r="M314" s="6" t="n">
        <f aca="false">IF(COUNTIF($L$2:$L$2201,L314)&gt;1,1,0)</f>
        <v>0</v>
      </c>
      <c r="N314" s="6" t="str">
        <f aca="false">IF(AND(C314&lt;Assumptions!$B$9,B314&lt;Assumptions!$B$10),"Irrigate Now",IF(AND(C314&gt;=Assumptions!$B$11,B314&gt;=Assumptions!$B$12),"No Irrigation Needed","Monitor"))</f>
        <v>No Irrigation Needed</v>
      </c>
      <c r="O314" s="6" t="n">
        <f aca="false">IF(N314=G314,1,0)</f>
        <v>1</v>
      </c>
    </row>
    <row r="315" customFormat="false" ht="15" hidden="false" customHeight="false" outlineLevel="0" collapsed="false">
      <c r="A315" s="16" t="n">
        <v>21.63149148</v>
      </c>
      <c r="B315" s="16" t="n">
        <v>134.3649948</v>
      </c>
      <c r="C315" s="16" t="n">
        <v>16.427806932237</v>
      </c>
      <c r="D315" s="6" t="s">
        <v>57</v>
      </c>
      <c r="E315" s="6" t="s">
        <v>57</v>
      </c>
      <c r="F315" s="6" t="s">
        <v>60</v>
      </c>
      <c r="G315" s="6" t="s">
        <v>61</v>
      </c>
      <c r="H315" s="6" t="s">
        <v>63</v>
      </c>
      <c r="I315" s="6" t="str">
        <f aca="false">IF(A315&lt;Outliers!$E$6,"Low",IF(A315&gt;Outliers!$F$6,"High",""))</f>
        <v/>
      </c>
      <c r="J315" s="6" t="str">
        <f aca="false">IF(B315&lt;Outliers!$E$7,"Low",IF(B315&gt;Outliers!$F$7,"High",""))</f>
        <v/>
      </c>
      <c r="K315" s="6" t="str">
        <f aca="false">IF(C315&lt;Outliers!$E$8,"Low",IF(C315&gt;Outliers!$F$8,"High",""))</f>
        <v/>
      </c>
      <c r="L315" s="6" t="str">
        <f aca="false">A315&amp;";"&amp;B315&amp;";"&amp;C315</f>
        <v>21.63149148;134.3649948;16.427806932237</v>
      </c>
      <c r="M315" s="6" t="n">
        <f aca="false">IF(COUNTIF($L$2:$L$2201,L315)&gt;1,1,0)</f>
        <v>0</v>
      </c>
      <c r="N315" s="6" t="str">
        <f aca="false">IF(AND(C315&lt;Assumptions!$B$9,B315&lt;Assumptions!$B$10),"Irrigate Now",IF(AND(C315&gt;=Assumptions!$B$11,B315&gt;=Assumptions!$B$12),"No Irrigation Needed","Monitor"))</f>
        <v>Monitor</v>
      </c>
      <c r="O315" s="6" t="n">
        <f aca="false">IF(N315=G315,1,0)</f>
        <v>1</v>
      </c>
    </row>
    <row r="316" customFormat="false" ht="15" hidden="false" customHeight="false" outlineLevel="0" collapsed="false">
      <c r="A316" s="16" t="n">
        <v>16.06522754</v>
      </c>
      <c r="B316" s="16" t="n">
        <v>88.06638775</v>
      </c>
      <c r="C316" s="16" t="n">
        <v>14.4330448182967</v>
      </c>
      <c r="D316" s="6" t="s">
        <v>66</v>
      </c>
      <c r="E316" s="6" t="s">
        <v>57</v>
      </c>
      <c r="F316" s="6" t="s">
        <v>24</v>
      </c>
      <c r="G316" s="6" t="s">
        <v>64</v>
      </c>
      <c r="H316" s="6" t="s">
        <v>65</v>
      </c>
      <c r="I316" s="6" t="str">
        <f aca="false">IF(A316&lt;Outliers!$E$6,"Low",IF(A316&gt;Outliers!$F$6,"High",""))</f>
        <v/>
      </c>
      <c r="J316" s="6" t="str">
        <f aca="false">IF(B316&lt;Outliers!$E$7,"Low",IF(B316&gt;Outliers!$F$7,"High",""))</f>
        <v/>
      </c>
      <c r="K316" s="6" t="str">
        <f aca="false">IF(C316&lt;Outliers!$E$8,"Low",IF(C316&gt;Outliers!$F$8,"High",""))</f>
        <v/>
      </c>
      <c r="L316" s="6" t="str">
        <f aca="false">A316&amp;";"&amp;B316&amp;";"&amp;C316</f>
        <v>16.06522754;88.06638775;14.4330448182967</v>
      </c>
      <c r="M316" s="6" t="n">
        <f aca="false">IF(COUNTIF($L$2:$L$2201,L316)&gt;1,1,0)</f>
        <v>0</v>
      </c>
      <c r="N316" s="6" t="str">
        <f aca="false">IF(AND(C316&lt;Assumptions!$B$9,B316&lt;Assumptions!$B$10),"Irrigate Now",IF(AND(C316&gt;=Assumptions!$B$11,B316&gt;=Assumptions!$B$12),"No Irrigation Needed","Monitor"))</f>
        <v>Irrigate Now</v>
      </c>
      <c r="O316" s="6" t="n">
        <f aca="false">IF(N316=G316,1,0)</f>
        <v>1</v>
      </c>
    </row>
    <row r="317" customFormat="false" ht="15" hidden="false" customHeight="false" outlineLevel="0" collapsed="false">
      <c r="A317" s="16" t="n">
        <v>20.61162204</v>
      </c>
      <c r="B317" s="16" t="n">
        <v>69.63833855</v>
      </c>
      <c r="C317" s="16" t="n">
        <v>10.8057699794119</v>
      </c>
      <c r="D317" s="6" t="s">
        <v>57</v>
      </c>
      <c r="E317" s="6" t="s">
        <v>57</v>
      </c>
      <c r="F317" s="6" t="s">
        <v>24</v>
      </c>
      <c r="G317" s="6" t="s">
        <v>64</v>
      </c>
      <c r="H317" s="6" t="s">
        <v>65</v>
      </c>
      <c r="I317" s="6" t="str">
        <f aca="false">IF(A317&lt;Outliers!$E$6,"Low",IF(A317&gt;Outliers!$F$6,"High",""))</f>
        <v/>
      </c>
      <c r="J317" s="6" t="str">
        <f aca="false">IF(B317&lt;Outliers!$E$7,"Low",IF(B317&gt;Outliers!$F$7,"High",""))</f>
        <v/>
      </c>
      <c r="K317" s="6" t="str">
        <f aca="false">IF(C317&lt;Outliers!$E$8,"Low",IF(C317&gt;Outliers!$F$8,"High",""))</f>
        <v/>
      </c>
      <c r="L317" s="6" t="str">
        <f aca="false">A317&amp;";"&amp;B317&amp;";"&amp;C317</f>
        <v>20.61162204;69.63833855;10.8057699794119</v>
      </c>
      <c r="M317" s="6" t="n">
        <f aca="false">IF(COUNTIF($L$2:$L$2201,L317)&gt;1,1,0)</f>
        <v>0</v>
      </c>
      <c r="N317" s="6" t="str">
        <f aca="false">IF(AND(C317&lt;Assumptions!$B$9,B317&lt;Assumptions!$B$10),"Irrigate Now",IF(AND(C317&gt;=Assumptions!$B$11,B317&gt;=Assumptions!$B$12),"No Irrigation Needed","Monitor"))</f>
        <v>Irrigate Now</v>
      </c>
      <c r="O317" s="6" t="n">
        <f aca="false">IF(N317=G317,1,0)</f>
        <v>1</v>
      </c>
    </row>
    <row r="318" customFormat="false" ht="15" hidden="false" customHeight="false" outlineLevel="0" collapsed="false">
      <c r="A318" s="16" t="n">
        <v>21.42451099</v>
      </c>
      <c r="B318" s="16" t="n">
        <v>116.5206923</v>
      </c>
      <c r="C318" s="16" t="n">
        <v>14.1516824934058</v>
      </c>
      <c r="D318" s="6" t="s">
        <v>57</v>
      </c>
      <c r="E318" s="6" t="s">
        <v>57</v>
      </c>
      <c r="F318" s="6" t="s">
        <v>24</v>
      </c>
      <c r="G318" s="6" t="s">
        <v>61</v>
      </c>
      <c r="H318" s="6" t="s">
        <v>63</v>
      </c>
      <c r="I318" s="6" t="str">
        <f aca="false">IF(A318&lt;Outliers!$E$6,"Low",IF(A318&gt;Outliers!$F$6,"High",""))</f>
        <v/>
      </c>
      <c r="J318" s="6" t="str">
        <f aca="false">IF(B318&lt;Outliers!$E$7,"Low",IF(B318&gt;Outliers!$F$7,"High",""))</f>
        <v/>
      </c>
      <c r="K318" s="6" t="str">
        <f aca="false">IF(C318&lt;Outliers!$E$8,"Low",IF(C318&gt;Outliers!$F$8,"High",""))</f>
        <v/>
      </c>
      <c r="L318" s="6" t="str">
        <f aca="false">A318&amp;";"&amp;B318&amp;";"&amp;C318</f>
        <v>21.42451099;116.5206923;14.1516824934058</v>
      </c>
      <c r="M318" s="6" t="n">
        <f aca="false">IF(COUNTIF($L$2:$L$2201,L318)&gt;1,1,0)</f>
        <v>0</v>
      </c>
      <c r="N318" s="6" t="str">
        <f aca="false">IF(AND(C318&lt;Assumptions!$B$9,B318&lt;Assumptions!$B$10),"Irrigate Now",IF(AND(C318&gt;=Assumptions!$B$11,B318&gt;=Assumptions!$B$12),"No Irrigation Needed","Monitor"))</f>
        <v>Monitor</v>
      </c>
      <c r="O318" s="6" t="n">
        <f aca="false">IF(N318=G318,1,0)</f>
        <v>1</v>
      </c>
    </row>
    <row r="319" customFormat="false" ht="15" hidden="false" customHeight="false" outlineLevel="0" collapsed="false">
      <c r="A319" s="16" t="n">
        <v>19.07096165</v>
      </c>
      <c r="B319" s="16" t="n">
        <v>86.21917578</v>
      </c>
      <c r="C319" s="16" t="n">
        <v>28.7519747259533</v>
      </c>
      <c r="D319" s="6" t="s">
        <v>66</v>
      </c>
      <c r="E319" s="6" t="s">
        <v>57</v>
      </c>
      <c r="F319" s="6" t="s">
        <v>23</v>
      </c>
      <c r="G319" s="6" t="s">
        <v>61</v>
      </c>
      <c r="H319" s="6" t="s">
        <v>63</v>
      </c>
      <c r="I319" s="6" t="str">
        <f aca="false">IF(A319&lt;Outliers!$E$6,"Low",IF(A319&gt;Outliers!$F$6,"High",""))</f>
        <v/>
      </c>
      <c r="J319" s="6" t="str">
        <f aca="false">IF(B319&lt;Outliers!$E$7,"Low",IF(B319&gt;Outliers!$F$7,"High",""))</f>
        <v/>
      </c>
      <c r="K319" s="6" t="str">
        <f aca="false">IF(C319&lt;Outliers!$E$8,"Low",IF(C319&gt;Outliers!$F$8,"High",""))</f>
        <v/>
      </c>
      <c r="L319" s="6" t="str">
        <f aca="false">A319&amp;";"&amp;B319&amp;";"&amp;C319</f>
        <v>19.07096165;86.21917578;28.7519747259533</v>
      </c>
      <c r="M319" s="6" t="n">
        <f aca="false">IF(COUNTIF($L$2:$L$2201,L319)&gt;1,1,0)</f>
        <v>0</v>
      </c>
      <c r="N319" s="6" t="str">
        <f aca="false">IF(AND(C319&lt;Assumptions!$B$9,B319&lt;Assumptions!$B$10),"Irrigate Now",IF(AND(C319&gt;=Assumptions!$B$11,B319&gt;=Assumptions!$B$12),"No Irrigation Needed","Monitor"))</f>
        <v>Monitor</v>
      </c>
      <c r="O319" s="6" t="n">
        <f aca="false">IF(N319=G319,1,0)</f>
        <v>1</v>
      </c>
    </row>
    <row r="320" customFormat="false" ht="15" hidden="false" customHeight="false" outlineLevel="0" collapsed="false">
      <c r="A320" s="16" t="n">
        <v>21.18853178</v>
      </c>
      <c r="B320" s="16" t="n">
        <v>137.1948633</v>
      </c>
      <c r="C320" s="16" t="n">
        <v>16.0171199508269</v>
      </c>
      <c r="D320" s="6" t="s">
        <v>57</v>
      </c>
      <c r="E320" s="6" t="s">
        <v>57</v>
      </c>
      <c r="F320" s="6" t="s">
        <v>60</v>
      </c>
      <c r="G320" s="6" t="s">
        <v>61</v>
      </c>
      <c r="H320" s="6" t="s">
        <v>63</v>
      </c>
      <c r="I320" s="6" t="str">
        <f aca="false">IF(A320&lt;Outliers!$E$6,"Low",IF(A320&gt;Outliers!$F$6,"High",""))</f>
        <v/>
      </c>
      <c r="J320" s="6" t="str">
        <f aca="false">IF(B320&lt;Outliers!$E$7,"Low",IF(B320&gt;Outliers!$F$7,"High",""))</f>
        <v/>
      </c>
      <c r="K320" s="6" t="str">
        <f aca="false">IF(C320&lt;Outliers!$E$8,"Low",IF(C320&gt;Outliers!$F$8,"High",""))</f>
        <v/>
      </c>
      <c r="L320" s="6" t="str">
        <f aca="false">A320&amp;";"&amp;B320&amp;";"&amp;C320</f>
        <v>21.18853178;137.1948633;16.0171199508269</v>
      </c>
      <c r="M320" s="6" t="n">
        <f aca="false">IF(COUNTIF($L$2:$L$2201,L320)&gt;1,1,0)</f>
        <v>0</v>
      </c>
      <c r="N320" s="6" t="str">
        <f aca="false">IF(AND(C320&lt;Assumptions!$B$9,B320&lt;Assumptions!$B$10),"Irrigate Now",IF(AND(C320&gt;=Assumptions!$B$11,B320&gt;=Assumptions!$B$12),"No Irrigation Needed","Monitor"))</f>
        <v>Monitor</v>
      </c>
      <c r="O320" s="6" t="n">
        <f aca="false">IF(N320=G320,1,0)</f>
        <v>1</v>
      </c>
    </row>
    <row r="321" customFormat="false" ht="15" hidden="false" customHeight="false" outlineLevel="0" collapsed="false">
      <c r="A321" s="16" t="n">
        <v>23.0429097</v>
      </c>
      <c r="B321" s="16" t="n">
        <v>108.3684316</v>
      </c>
      <c r="C321" s="16" t="n">
        <v>10.0805681343751</v>
      </c>
      <c r="D321" s="6" t="s">
        <v>57</v>
      </c>
      <c r="E321" s="6" t="s">
        <v>57</v>
      </c>
      <c r="F321" s="6" t="s">
        <v>24</v>
      </c>
      <c r="G321" s="6" t="s">
        <v>61</v>
      </c>
      <c r="H321" s="6" t="s">
        <v>63</v>
      </c>
      <c r="I321" s="6" t="str">
        <f aca="false">IF(A321&lt;Outliers!$E$6,"Low",IF(A321&gt;Outliers!$F$6,"High",""))</f>
        <v/>
      </c>
      <c r="J321" s="6" t="str">
        <f aca="false">IF(B321&lt;Outliers!$E$7,"Low",IF(B321&gt;Outliers!$F$7,"High",""))</f>
        <v/>
      </c>
      <c r="K321" s="6" t="str">
        <f aca="false">IF(C321&lt;Outliers!$E$8,"Low",IF(C321&gt;Outliers!$F$8,"High",""))</f>
        <v/>
      </c>
      <c r="L321" s="6" t="str">
        <f aca="false">A321&amp;";"&amp;B321&amp;";"&amp;C321</f>
        <v>23.0429097;108.3684316;10.0805681343751</v>
      </c>
      <c r="M321" s="6" t="n">
        <f aca="false">IF(COUNTIF($L$2:$L$2201,L321)&gt;1,1,0)</f>
        <v>0</v>
      </c>
      <c r="N321" s="6" t="str">
        <f aca="false">IF(AND(C321&lt;Assumptions!$B$9,B321&lt;Assumptions!$B$10),"Irrigate Now",IF(AND(C321&gt;=Assumptions!$B$11,B321&gt;=Assumptions!$B$12),"No Irrigation Needed","Monitor"))</f>
        <v>Monitor</v>
      </c>
      <c r="O321" s="6" t="n">
        <f aca="false">IF(N321=G321,1,0)</f>
        <v>1</v>
      </c>
    </row>
    <row r="322" customFormat="false" ht="15" hidden="false" customHeight="false" outlineLevel="0" collapsed="false">
      <c r="A322" s="16" t="n">
        <v>20.65375833</v>
      </c>
      <c r="B322" s="16" t="n">
        <v>67.71768947</v>
      </c>
      <c r="C322" s="16" t="n">
        <v>13.9442490870678</v>
      </c>
      <c r="D322" s="6" t="s">
        <v>57</v>
      </c>
      <c r="E322" s="6" t="s">
        <v>57</v>
      </c>
      <c r="F322" s="6" t="s">
        <v>24</v>
      </c>
      <c r="G322" s="6" t="s">
        <v>64</v>
      </c>
      <c r="H322" s="6" t="s">
        <v>65</v>
      </c>
      <c r="I322" s="6" t="str">
        <f aca="false">IF(A322&lt;Outliers!$E$6,"Low",IF(A322&gt;Outliers!$F$6,"High",""))</f>
        <v/>
      </c>
      <c r="J322" s="6" t="str">
        <f aca="false">IF(B322&lt;Outliers!$E$7,"Low",IF(B322&gt;Outliers!$F$7,"High",""))</f>
        <v/>
      </c>
      <c r="K322" s="6" t="str">
        <f aca="false">IF(C322&lt;Outliers!$E$8,"Low",IF(C322&gt;Outliers!$F$8,"High",""))</f>
        <v/>
      </c>
      <c r="L322" s="6" t="str">
        <f aca="false">A322&amp;";"&amp;B322&amp;";"&amp;C322</f>
        <v>20.65375833;67.71768947;13.9442490870678</v>
      </c>
      <c r="M322" s="6" t="n">
        <f aca="false">IF(COUNTIF($L$2:$L$2201,L322)&gt;1,1,0)</f>
        <v>0</v>
      </c>
      <c r="N322" s="6" t="str">
        <f aca="false">IF(AND(C322&lt;Assumptions!$B$9,B322&lt;Assumptions!$B$10),"Irrigate Now",IF(AND(C322&gt;=Assumptions!$B$11,B322&gt;=Assumptions!$B$12),"No Irrigation Needed","Monitor"))</f>
        <v>Irrigate Now</v>
      </c>
      <c r="O322" s="6" t="n">
        <f aca="false">IF(N322=G322,1,0)</f>
        <v>1</v>
      </c>
    </row>
    <row r="323" customFormat="false" ht="15" hidden="false" customHeight="false" outlineLevel="0" collapsed="false">
      <c r="A323" s="16" t="n">
        <v>18.09551014</v>
      </c>
      <c r="B323" s="16" t="n">
        <v>144.7902323</v>
      </c>
      <c r="C323" s="16" t="n">
        <v>22.9137295566053</v>
      </c>
      <c r="D323" s="6" t="s">
        <v>66</v>
      </c>
      <c r="E323" s="6" t="s">
        <v>57</v>
      </c>
      <c r="F323" s="6" t="s">
        <v>23</v>
      </c>
      <c r="G323" s="6" t="s">
        <v>61</v>
      </c>
      <c r="H323" s="6" t="s">
        <v>63</v>
      </c>
      <c r="I323" s="6" t="str">
        <f aca="false">IF(A323&lt;Outliers!$E$6,"Low",IF(A323&gt;Outliers!$F$6,"High",""))</f>
        <v/>
      </c>
      <c r="J323" s="6" t="str">
        <f aca="false">IF(B323&lt;Outliers!$E$7,"Low",IF(B323&gt;Outliers!$F$7,"High",""))</f>
        <v/>
      </c>
      <c r="K323" s="6" t="str">
        <f aca="false">IF(C323&lt;Outliers!$E$8,"Low",IF(C323&gt;Outliers!$F$8,"High",""))</f>
        <v/>
      </c>
      <c r="L323" s="6" t="str">
        <f aca="false">A323&amp;";"&amp;B323&amp;";"&amp;C323</f>
        <v>18.09551014;144.7902323;22.9137295566053</v>
      </c>
      <c r="M323" s="6" t="n">
        <f aca="false">IF(COUNTIF($L$2:$L$2201,L323)&gt;1,1,0)</f>
        <v>0</v>
      </c>
      <c r="N323" s="6" t="str">
        <f aca="false">IF(AND(C323&lt;Assumptions!$B$9,B323&lt;Assumptions!$B$10),"Irrigate Now",IF(AND(C323&gt;=Assumptions!$B$11,B323&gt;=Assumptions!$B$12),"No Irrigation Needed","Monitor"))</f>
        <v>Monitor</v>
      </c>
      <c r="O323" s="6" t="n">
        <f aca="false">IF(N323=G323,1,0)</f>
        <v>1</v>
      </c>
    </row>
    <row r="324" customFormat="false" ht="15" hidden="false" customHeight="false" outlineLevel="0" collapsed="false">
      <c r="A324" s="16" t="n">
        <v>18.23775702</v>
      </c>
      <c r="B324" s="16" t="n">
        <v>69.44951585</v>
      </c>
      <c r="C324" s="16" t="n">
        <v>16.6167540250876</v>
      </c>
      <c r="D324" s="6" t="s">
        <v>66</v>
      </c>
      <c r="E324" s="6" t="s">
        <v>57</v>
      </c>
      <c r="F324" s="6" t="s">
        <v>24</v>
      </c>
      <c r="G324" s="6" t="s">
        <v>64</v>
      </c>
      <c r="H324" s="6" t="s">
        <v>65</v>
      </c>
      <c r="I324" s="6" t="str">
        <f aca="false">IF(A324&lt;Outliers!$E$6,"Low",IF(A324&gt;Outliers!$F$6,"High",""))</f>
        <v/>
      </c>
      <c r="J324" s="6" t="str">
        <f aca="false">IF(B324&lt;Outliers!$E$7,"Low",IF(B324&gt;Outliers!$F$7,"High",""))</f>
        <v/>
      </c>
      <c r="K324" s="6" t="str">
        <f aca="false">IF(C324&lt;Outliers!$E$8,"Low",IF(C324&gt;Outliers!$F$8,"High",""))</f>
        <v/>
      </c>
      <c r="L324" s="6" t="str">
        <f aca="false">A324&amp;";"&amp;B324&amp;";"&amp;C324</f>
        <v>18.23775702;69.44951585;16.6167540250876</v>
      </c>
      <c r="M324" s="6" t="n">
        <f aca="false">IF(COUNTIF($L$2:$L$2201,L324)&gt;1,1,0)</f>
        <v>0</v>
      </c>
      <c r="N324" s="6" t="str">
        <f aca="false">IF(AND(C324&lt;Assumptions!$B$9,B324&lt;Assumptions!$B$10),"Irrigate Now",IF(AND(C324&gt;=Assumptions!$B$11,B324&gt;=Assumptions!$B$12),"No Irrigation Needed","Monitor"))</f>
        <v>Irrigate Now</v>
      </c>
      <c r="O324" s="6" t="n">
        <f aca="false">IF(N324=G324,1,0)</f>
        <v>1</v>
      </c>
    </row>
    <row r="325" customFormat="false" ht="15" hidden="false" customHeight="false" outlineLevel="0" collapsed="false">
      <c r="A325" s="16" t="n">
        <v>17.48189735</v>
      </c>
      <c r="B325" s="16" t="n">
        <v>121.9401369</v>
      </c>
      <c r="C325" s="16" t="n">
        <v>20.7070599766965</v>
      </c>
      <c r="D325" s="6" t="s">
        <v>66</v>
      </c>
      <c r="E325" s="6" t="s">
        <v>57</v>
      </c>
      <c r="F325" s="6" t="s">
        <v>60</v>
      </c>
      <c r="G325" s="6" t="s">
        <v>61</v>
      </c>
      <c r="H325" s="6" t="s">
        <v>63</v>
      </c>
      <c r="I325" s="6" t="str">
        <f aca="false">IF(A325&lt;Outliers!$E$6,"Low",IF(A325&gt;Outliers!$F$6,"High",""))</f>
        <v/>
      </c>
      <c r="J325" s="6" t="str">
        <f aca="false">IF(B325&lt;Outliers!$E$7,"Low",IF(B325&gt;Outliers!$F$7,"High",""))</f>
        <v/>
      </c>
      <c r="K325" s="6" t="str">
        <f aca="false">IF(C325&lt;Outliers!$E$8,"Low",IF(C325&gt;Outliers!$F$8,"High",""))</f>
        <v/>
      </c>
      <c r="L325" s="6" t="str">
        <f aca="false">A325&amp;";"&amp;B325&amp;";"&amp;C325</f>
        <v>17.48189735;121.9401369;20.7070599766965</v>
      </c>
      <c r="M325" s="6" t="n">
        <f aca="false">IF(COUNTIF($L$2:$L$2201,L325)&gt;1,1,0)</f>
        <v>0</v>
      </c>
      <c r="N325" s="6" t="str">
        <f aca="false">IF(AND(C325&lt;Assumptions!$B$9,B325&lt;Assumptions!$B$10),"Irrigate Now",IF(AND(C325&gt;=Assumptions!$B$11,B325&gt;=Assumptions!$B$12),"No Irrigation Needed","Monitor"))</f>
        <v>Monitor</v>
      </c>
      <c r="O325" s="6" t="n">
        <f aca="false">IF(N325=G325,1,0)</f>
        <v>1</v>
      </c>
    </row>
    <row r="326" customFormat="false" ht="15" hidden="false" customHeight="false" outlineLevel="0" collapsed="false">
      <c r="A326" s="16" t="n">
        <v>19.9191786</v>
      </c>
      <c r="B326" s="16" t="n">
        <v>82.68554379</v>
      </c>
      <c r="C326" s="16" t="n">
        <v>26.7596987190545</v>
      </c>
      <c r="D326" s="6" t="s">
        <v>66</v>
      </c>
      <c r="E326" s="6" t="s">
        <v>57</v>
      </c>
      <c r="F326" s="6" t="s">
        <v>23</v>
      </c>
      <c r="G326" s="6" t="s">
        <v>61</v>
      </c>
      <c r="H326" s="6" t="s">
        <v>63</v>
      </c>
      <c r="I326" s="6" t="str">
        <f aca="false">IF(A326&lt;Outliers!$E$6,"Low",IF(A326&gt;Outliers!$F$6,"High",""))</f>
        <v/>
      </c>
      <c r="J326" s="6" t="str">
        <f aca="false">IF(B326&lt;Outliers!$E$7,"Low",IF(B326&gt;Outliers!$F$7,"High",""))</f>
        <v/>
      </c>
      <c r="K326" s="6" t="str">
        <f aca="false">IF(C326&lt;Outliers!$E$8,"Low",IF(C326&gt;Outliers!$F$8,"High",""))</f>
        <v/>
      </c>
      <c r="L326" s="6" t="str">
        <f aca="false">A326&amp;";"&amp;B326&amp;";"&amp;C326</f>
        <v>19.9191786;82.68554379;26.7596987190545</v>
      </c>
      <c r="M326" s="6" t="n">
        <f aca="false">IF(COUNTIF($L$2:$L$2201,L326)&gt;1,1,0)</f>
        <v>0</v>
      </c>
      <c r="N326" s="6" t="str">
        <f aca="false">IF(AND(C326&lt;Assumptions!$B$9,B326&lt;Assumptions!$B$10),"Irrigate Now",IF(AND(C326&gt;=Assumptions!$B$11,B326&gt;=Assumptions!$B$12),"No Irrigation Needed","Monitor"))</f>
        <v>Monitor</v>
      </c>
      <c r="O326" s="6" t="n">
        <f aca="false">IF(N326=G326,1,0)</f>
        <v>1</v>
      </c>
    </row>
    <row r="327" customFormat="false" ht="15" hidden="false" customHeight="false" outlineLevel="0" collapsed="false">
      <c r="A327" s="16" t="n">
        <v>20.27514686</v>
      </c>
      <c r="B327" s="16" t="n">
        <v>139.7521543</v>
      </c>
      <c r="C327" s="16" t="n">
        <v>14.4424147847044</v>
      </c>
      <c r="D327" s="6" t="s">
        <v>57</v>
      </c>
      <c r="E327" s="6" t="s">
        <v>57</v>
      </c>
      <c r="F327" s="6" t="s">
        <v>24</v>
      </c>
      <c r="G327" s="6" t="s">
        <v>61</v>
      </c>
      <c r="H327" s="6" t="s">
        <v>63</v>
      </c>
      <c r="I327" s="6" t="str">
        <f aca="false">IF(A327&lt;Outliers!$E$6,"Low",IF(A327&gt;Outliers!$F$6,"High",""))</f>
        <v/>
      </c>
      <c r="J327" s="6" t="str">
        <f aca="false">IF(B327&lt;Outliers!$E$7,"Low",IF(B327&gt;Outliers!$F$7,"High",""))</f>
        <v/>
      </c>
      <c r="K327" s="6" t="str">
        <f aca="false">IF(C327&lt;Outliers!$E$8,"Low",IF(C327&gt;Outliers!$F$8,"High",""))</f>
        <v/>
      </c>
      <c r="L327" s="6" t="str">
        <f aca="false">A327&amp;";"&amp;B327&amp;";"&amp;C327</f>
        <v>20.27514686;139.7521543;14.4424147847044</v>
      </c>
      <c r="M327" s="6" t="n">
        <f aca="false">IF(COUNTIF($L$2:$L$2201,L327)&gt;1,1,0)</f>
        <v>0</v>
      </c>
      <c r="N327" s="6" t="str">
        <f aca="false">IF(AND(C327&lt;Assumptions!$B$9,B327&lt;Assumptions!$B$10),"Irrigate Now",IF(AND(C327&gt;=Assumptions!$B$11,B327&gt;=Assumptions!$B$12),"No Irrigation Needed","Monitor"))</f>
        <v>Monitor</v>
      </c>
      <c r="O327" s="6" t="n">
        <f aca="false">IF(N327=G327,1,0)</f>
        <v>1</v>
      </c>
    </row>
    <row r="328" customFormat="false" ht="15" hidden="false" customHeight="false" outlineLevel="0" collapsed="false">
      <c r="A328" s="16" t="n">
        <v>15.77370214</v>
      </c>
      <c r="B328" s="16" t="n">
        <v>108.3441414</v>
      </c>
      <c r="C328" s="16" t="n">
        <v>28.342690862913</v>
      </c>
      <c r="D328" s="6" t="s">
        <v>66</v>
      </c>
      <c r="E328" s="6" t="s">
        <v>57</v>
      </c>
      <c r="F328" s="6" t="s">
        <v>23</v>
      </c>
      <c r="G328" s="6" t="s">
        <v>58</v>
      </c>
      <c r="H328" s="6" t="s">
        <v>59</v>
      </c>
      <c r="I328" s="6" t="str">
        <f aca="false">IF(A328&lt;Outliers!$E$6,"Low",IF(A328&gt;Outliers!$F$6,"High",""))</f>
        <v/>
      </c>
      <c r="J328" s="6" t="str">
        <f aca="false">IF(B328&lt;Outliers!$E$7,"Low",IF(B328&gt;Outliers!$F$7,"High",""))</f>
        <v/>
      </c>
      <c r="K328" s="6" t="str">
        <f aca="false">IF(C328&lt;Outliers!$E$8,"Low",IF(C328&gt;Outliers!$F$8,"High",""))</f>
        <v/>
      </c>
      <c r="L328" s="6" t="str">
        <f aca="false">A328&amp;";"&amp;B328&amp;";"&amp;C328</f>
        <v>15.77370214;108.3441414;28.342690862913</v>
      </c>
      <c r="M328" s="6" t="n">
        <f aca="false">IF(COUNTIF($L$2:$L$2201,L328)&gt;1,1,0)</f>
        <v>0</v>
      </c>
      <c r="N328" s="6" t="str">
        <f aca="false">IF(AND(C328&lt;Assumptions!$B$9,B328&lt;Assumptions!$B$10),"Irrigate Now",IF(AND(C328&gt;=Assumptions!$B$11,B328&gt;=Assumptions!$B$12),"No Irrigation Needed","Monitor"))</f>
        <v>No Irrigation Needed</v>
      </c>
      <c r="O328" s="6" t="n">
        <f aca="false">IF(N328=G328,1,0)</f>
        <v>1</v>
      </c>
    </row>
    <row r="329" customFormat="false" ht="15" hidden="false" customHeight="false" outlineLevel="0" collapsed="false">
      <c r="A329" s="16" t="n">
        <v>16.71170642</v>
      </c>
      <c r="B329" s="16" t="n">
        <v>96.77285817</v>
      </c>
      <c r="C329" s="16" t="n">
        <v>28.2694918197887</v>
      </c>
      <c r="D329" s="6" t="s">
        <v>66</v>
      </c>
      <c r="E329" s="6" t="s">
        <v>57</v>
      </c>
      <c r="F329" s="6" t="s">
        <v>23</v>
      </c>
      <c r="G329" s="6" t="s">
        <v>61</v>
      </c>
      <c r="H329" s="6" t="s">
        <v>63</v>
      </c>
      <c r="I329" s="6" t="str">
        <f aca="false">IF(A329&lt;Outliers!$E$6,"Low",IF(A329&gt;Outliers!$F$6,"High",""))</f>
        <v/>
      </c>
      <c r="J329" s="6" t="str">
        <f aca="false">IF(B329&lt;Outliers!$E$7,"Low",IF(B329&gt;Outliers!$F$7,"High",""))</f>
        <v/>
      </c>
      <c r="K329" s="6" t="str">
        <f aca="false">IF(C329&lt;Outliers!$E$8,"Low",IF(C329&gt;Outliers!$F$8,"High",""))</f>
        <v/>
      </c>
      <c r="L329" s="6" t="str">
        <f aca="false">A329&amp;";"&amp;B329&amp;";"&amp;C329</f>
        <v>16.71170642;96.77285817;28.2694918197887</v>
      </c>
      <c r="M329" s="6" t="n">
        <f aca="false">IF(COUNTIF($L$2:$L$2201,L329)&gt;1,1,0)</f>
        <v>0</v>
      </c>
      <c r="N329" s="6" t="str">
        <f aca="false">IF(AND(C329&lt;Assumptions!$B$9,B329&lt;Assumptions!$B$10),"Irrigate Now",IF(AND(C329&gt;=Assumptions!$B$11,B329&gt;=Assumptions!$B$12),"No Irrigation Needed","Monitor"))</f>
        <v>Monitor</v>
      </c>
      <c r="O329" s="6" t="n">
        <f aca="false">IF(N329=G329,1,0)</f>
        <v>1</v>
      </c>
    </row>
    <row r="330" customFormat="false" ht="15" hidden="false" customHeight="false" outlineLevel="0" collapsed="false">
      <c r="A330" s="16" t="n">
        <v>17.66148158</v>
      </c>
      <c r="B330" s="16" t="n">
        <v>100.6711761</v>
      </c>
      <c r="C330" s="16" t="n">
        <v>12.4535555366474</v>
      </c>
      <c r="D330" s="6" t="s">
        <v>66</v>
      </c>
      <c r="E330" s="6" t="s">
        <v>57</v>
      </c>
      <c r="F330" s="6" t="s">
        <v>24</v>
      </c>
      <c r="G330" s="6" t="s">
        <v>61</v>
      </c>
      <c r="H330" s="6" t="s">
        <v>63</v>
      </c>
      <c r="I330" s="6" t="str">
        <f aca="false">IF(A330&lt;Outliers!$E$6,"Low",IF(A330&gt;Outliers!$F$6,"High",""))</f>
        <v/>
      </c>
      <c r="J330" s="6" t="str">
        <f aca="false">IF(B330&lt;Outliers!$E$7,"Low",IF(B330&gt;Outliers!$F$7,"High",""))</f>
        <v/>
      </c>
      <c r="K330" s="6" t="str">
        <f aca="false">IF(C330&lt;Outliers!$E$8,"Low",IF(C330&gt;Outliers!$F$8,"High",""))</f>
        <v/>
      </c>
      <c r="L330" s="6" t="str">
        <f aca="false">A330&amp;";"&amp;B330&amp;";"&amp;C330</f>
        <v>17.66148158;100.6711761;12.4535555366474</v>
      </c>
      <c r="M330" s="6" t="n">
        <f aca="false">IF(COUNTIF($L$2:$L$2201,L330)&gt;1,1,0)</f>
        <v>0</v>
      </c>
      <c r="N330" s="6" t="str">
        <f aca="false">IF(AND(C330&lt;Assumptions!$B$9,B330&lt;Assumptions!$B$10),"Irrigate Now",IF(AND(C330&gt;=Assumptions!$B$11,B330&gt;=Assumptions!$B$12),"No Irrigation Needed","Monitor"))</f>
        <v>Monitor</v>
      </c>
      <c r="O330" s="6" t="n">
        <f aca="false">IF(N330=G330,1,0)</f>
        <v>1</v>
      </c>
    </row>
    <row r="331" customFormat="false" ht="15" hidden="false" customHeight="false" outlineLevel="0" collapsed="false">
      <c r="A331" s="16" t="n">
        <v>18.50692825</v>
      </c>
      <c r="B331" s="16" t="n">
        <v>87.0513289</v>
      </c>
      <c r="C331" s="16" t="n">
        <v>26.0892627045901</v>
      </c>
      <c r="D331" s="6" t="s">
        <v>66</v>
      </c>
      <c r="E331" s="6" t="s">
        <v>57</v>
      </c>
      <c r="F331" s="6" t="s">
        <v>23</v>
      </c>
      <c r="G331" s="6" t="s">
        <v>61</v>
      </c>
      <c r="H331" s="6" t="s">
        <v>63</v>
      </c>
      <c r="I331" s="6" t="str">
        <f aca="false">IF(A331&lt;Outliers!$E$6,"Low",IF(A331&gt;Outliers!$F$6,"High",""))</f>
        <v/>
      </c>
      <c r="J331" s="6" t="str">
        <f aca="false">IF(B331&lt;Outliers!$E$7,"Low",IF(B331&gt;Outliers!$F$7,"High",""))</f>
        <v/>
      </c>
      <c r="K331" s="6" t="str">
        <f aca="false">IF(C331&lt;Outliers!$E$8,"Low",IF(C331&gt;Outliers!$F$8,"High",""))</f>
        <v/>
      </c>
      <c r="L331" s="6" t="str">
        <f aca="false">A331&amp;";"&amp;B331&amp;";"&amp;C331</f>
        <v>18.50692825;87.0513289;26.0892627045901</v>
      </c>
      <c r="M331" s="6" t="n">
        <f aca="false">IF(COUNTIF($L$2:$L$2201,L331)&gt;1,1,0)</f>
        <v>0</v>
      </c>
      <c r="N331" s="6" t="str">
        <f aca="false">IF(AND(C331&lt;Assumptions!$B$9,B331&lt;Assumptions!$B$10),"Irrigate Now",IF(AND(C331&gt;=Assumptions!$B$11,B331&gt;=Assumptions!$B$12),"No Irrigation Needed","Monitor"))</f>
        <v>Monitor</v>
      </c>
      <c r="O331" s="6" t="n">
        <f aca="false">IF(N331=G331,1,0)</f>
        <v>1</v>
      </c>
    </row>
    <row r="332" customFormat="false" ht="15" hidden="false" customHeight="false" outlineLevel="0" collapsed="false">
      <c r="A332" s="16" t="n">
        <v>24.51324787</v>
      </c>
      <c r="B332" s="16" t="n">
        <v>64.19497947</v>
      </c>
      <c r="C332" s="16" t="n">
        <v>29.5989152266761</v>
      </c>
      <c r="D332" s="6" t="s">
        <v>57</v>
      </c>
      <c r="E332" s="6" t="s">
        <v>57</v>
      </c>
      <c r="F332" s="6" t="s">
        <v>23</v>
      </c>
      <c r="G332" s="6" t="s">
        <v>61</v>
      </c>
      <c r="H332" s="6" t="s">
        <v>63</v>
      </c>
      <c r="I332" s="6" t="str">
        <f aca="false">IF(A332&lt;Outliers!$E$6,"Low",IF(A332&gt;Outliers!$F$6,"High",""))</f>
        <v/>
      </c>
      <c r="J332" s="6" t="str">
        <f aca="false">IF(B332&lt;Outliers!$E$7,"Low",IF(B332&gt;Outliers!$F$7,"High",""))</f>
        <v/>
      </c>
      <c r="K332" s="6" t="str">
        <f aca="false">IF(C332&lt;Outliers!$E$8,"Low",IF(C332&gt;Outliers!$F$8,"High",""))</f>
        <v/>
      </c>
      <c r="L332" s="6" t="str">
        <f aca="false">A332&amp;";"&amp;B332&amp;";"&amp;C332</f>
        <v>24.51324787;64.19497947;29.5989152266761</v>
      </c>
      <c r="M332" s="6" t="n">
        <f aca="false">IF(COUNTIF($L$2:$L$2201,L332)&gt;1,1,0)</f>
        <v>0</v>
      </c>
      <c r="N332" s="6" t="str">
        <f aca="false">IF(AND(C332&lt;Assumptions!$B$9,B332&lt;Assumptions!$B$10),"Irrigate Now",IF(AND(C332&gt;=Assumptions!$B$11,B332&gt;=Assumptions!$B$12),"No Irrigation Needed","Monitor"))</f>
        <v>Monitor</v>
      </c>
      <c r="O332" s="6" t="n">
        <f aca="false">IF(N332=G332,1,0)</f>
        <v>1</v>
      </c>
    </row>
    <row r="333" customFormat="false" ht="15" hidden="false" customHeight="false" outlineLevel="0" collapsed="false">
      <c r="A333" s="16" t="n">
        <v>18.87614998</v>
      </c>
      <c r="B333" s="16" t="n">
        <v>105.4120514</v>
      </c>
      <c r="C333" s="16" t="n">
        <v>16.071083939229</v>
      </c>
      <c r="D333" s="6" t="s">
        <v>66</v>
      </c>
      <c r="E333" s="6" t="s">
        <v>57</v>
      </c>
      <c r="F333" s="6" t="s">
        <v>24</v>
      </c>
      <c r="G333" s="6" t="s">
        <v>61</v>
      </c>
      <c r="H333" s="6" t="s">
        <v>63</v>
      </c>
      <c r="I333" s="6" t="str">
        <f aca="false">IF(A333&lt;Outliers!$E$6,"Low",IF(A333&gt;Outliers!$F$6,"High",""))</f>
        <v/>
      </c>
      <c r="J333" s="6" t="str">
        <f aca="false">IF(B333&lt;Outliers!$E$7,"Low",IF(B333&gt;Outliers!$F$7,"High",""))</f>
        <v/>
      </c>
      <c r="K333" s="6" t="str">
        <f aca="false">IF(C333&lt;Outliers!$E$8,"Low",IF(C333&gt;Outliers!$F$8,"High",""))</f>
        <v/>
      </c>
      <c r="L333" s="6" t="str">
        <f aca="false">A333&amp;";"&amp;B333&amp;";"&amp;C333</f>
        <v>18.87614998;105.4120514;16.071083939229</v>
      </c>
      <c r="M333" s="6" t="n">
        <f aca="false">IF(COUNTIF($L$2:$L$2201,L333)&gt;1,1,0)</f>
        <v>0</v>
      </c>
      <c r="N333" s="6" t="str">
        <f aca="false">IF(AND(C333&lt;Assumptions!$B$9,B333&lt;Assumptions!$B$10),"Irrigate Now",IF(AND(C333&gt;=Assumptions!$B$11,B333&gt;=Assumptions!$B$12),"No Irrigation Needed","Monitor"))</f>
        <v>Monitor</v>
      </c>
      <c r="O333" s="6" t="n">
        <f aca="false">IF(N333=G333,1,0)</f>
        <v>1</v>
      </c>
    </row>
    <row r="334" customFormat="false" ht="15" hidden="false" customHeight="false" outlineLevel="0" collapsed="false">
      <c r="A334" s="16" t="n">
        <v>21.59343016</v>
      </c>
      <c r="B334" s="16" t="n">
        <v>61.13872036</v>
      </c>
      <c r="C334" s="16" t="n">
        <v>21.1029238155273</v>
      </c>
      <c r="D334" s="6" t="s">
        <v>57</v>
      </c>
      <c r="E334" s="6" t="s">
        <v>57</v>
      </c>
      <c r="F334" s="6" t="s">
        <v>60</v>
      </c>
      <c r="G334" s="6" t="s">
        <v>61</v>
      </c>
      <c r="H334" s="6" t="s">
        <v>63</v>
      </c>
      <c r="I334" s="6" t="str">
        <f aca="false">IF(A334&lt;Outliers!$E$6,"Low",IF(A334&gt;Outliers!$F$6,"High",""))</f>
        <v/>
      </c>
      <c r="J334" s="6" t="str">
        <f aca="false">IF(B334&lt;Outliers!$E$7,"Low",IF(B334&gt;Outliers!$F$7,"High",""))</f>
        <v/>
      </c>
      <c r="K334" s="6" t="str">
        <f aca="false">IF(C334&lt;Outliers!$E$8,"Low",IF(C334&gt;Outliers!$F$8,"High",""))</f>
        <v/>
      </c>
      <c r="L334" s="6" t="str">
        <f aca="false">A334&amp;";"&amp;B334&amp;";"&amp;C334</f>
        <v>21.59343016;61.13872036;21.1029238155273</v>
      </c>
      <c r="M334" s="6" t="n">
        <f aca="false">IF(COUNTIF($L$2:$L$2201,L334)&gt;1,1,0)</f>
        <v>0</v>
      </c>
      <c r="N334" s="6" t="str">
        <f aca="false">IF(AND(C334&lt;Assumptions!$B$9,B334&lt;Assumptions!$B$10),"Irrigate Now",IF(AND(C334&gt;=Assumptions!$B$11,B334&gt;=Assumptions!$B$12),"No Irrigation Needed","Monitor"))</f>
        <v>Monitor</v>
      </c>
      <c r="O334" s="6" t="n">
        <f aca="false">IF(N334=G334,1,0)</f>
        <v>1</v>
      </c>
    </row>
    <row r="335" customFormat="false" ht="15" hidden="false" customHeight="false" outlineLevel="0" collapsed="false">
      <c r="A335" s="16" t="n">
        <v>20.12373284</v>
      </c>
      <c r="B335" s="16" t="n">
        <v>106.158201</v>
      </c>
      <c r="C335" s="16" t="n">
        <v>25.9617316368606</v>
      </c>
      <c r="D335" s="6" t="s">
        <v>57</v>
      </c>
      <c r="E335" s="6" t="s">
        <v>57</v>
      </c>
      <c r="F335" s="6" t="s">
        <v>23</v>
      </c>
      <c r="G335" s="6" t="s">
        <v>58</v>
      </c>
      <c r="H335" s="6" t="s">
        <v>59</v>
      </c>
      <c r="I335" s="6" t="str">
        <f aca="false">IF(A335&lt;Outliers!$E$6,"Low",IF(A335&gt;Outliers!$F$6,"High",""))</f>
        <v/>
      </c>
      <c r="J335" s="6" t="str">
        <f aca="false">IF(B335&lt;Outliers!$E$7,"Low",IF(B335&gt;Outliers!$F$7,"High",""))</f>
        <v/>
      </c>
      <c r="K335" s="6" t="str">
        <f aca="false">IF(C335&lt;Outliers!$E$8,"Low",IF(C335&gt;Outliers!$F$8,"High",""))</f>
        <v/>
      </c>
      <c r="L335" s="6" t="str">
        <f aca="false">A335&amp;";"&amp;B335&amp;";"&amp;C335</f>
        <v>20.12373284;106.158201;25.9617316368606</v>
      </c>
      <c r="M335" s="6" t="n">
        <f aca="false">IF(COUNTIF($L$2:$L$2201,L335)&gt;1,1,0)</f>
        <v>0</v>
      </c>
      <c r="N335" s="6" t="str">
        <f aca="false">IF(AND(C335&lt;Assumptions!$B$9,B335&lt;Assumptions!$B$10),"Irrigate Now",IF(AND(C335&gt;=Assumptions!$B$11,B335&gt;=Assumptions!$B$12),"No Irrigation Needed","Monitor"))</f>
        <v>No Irrigation Needed</v>
      </c>
      <c r="O335" s="6" t="n">
        <f aca="false">IF(N335=G335,1,0)</f>
        <v>1</v>
      </c>
    </row>
    <row r="336" customFormat="false" ht="15" hidden="false" customHeight="false" outlineLevel="0" collapsed="false">
      <c r="A336" s="16" t="n">
        <v>15.43546065</v>
      </c>
      <c r="B336" s="16" t="n">
        <v>139.0302034</v>
      </c>
      <c r="C336" s="16" t="n">
        <v>22.5943981491755</v>
      </c>
      <c r="D336" s="6" t="s">
        <v>66</v>
      </c>
      <c r="E336" s="6" t="s">
        <v>57</v>
      </c>
      <c r="F336" s="6" t="s">
        <v>23</v>
      </c>
      <c r="G336" s="6" t="s">
        <v>61</v>
      </c>
      <c r="H336" s="6" t="s">
        <v>63</v>
      </c>
      <c r="I336" s="6" t="str">
        <f aca="false">IF(A336&lt;Outliers!$E$6,"Low",IF(A336&gt;Outliers!$F$6,"High",""))</f>
        <v/>
      </c>
      <c r="J336" s="6" t="str">
        <f aca="false">IF(B336&lt;Outliers!$E$7,"Low",IF(B336&gt;Outliers!$F$7,"High",""))</f>
        <v/>
      </c>
      <c r="K336" s="6" t="str">
        <f aca="false">IF(C336&lt;Outliers!$E$8,"Low",IF(C336&gt;Outliers!$F$8,"High",""))</f>
        <v/>
      </c>
      <c r="L336" s="6" t="str">
        <f aca="false">A336&amp;";"&amp;B336&amp;";"&amp;C336</f>
        <v>15.43546065;139.0302034;22.5943981491755</v>
      </c>
      <c r="M336" s="6" t="n">
        <f aca="false">IF(COUNTIF($L$2:$L$2201,L336)&gt;1,1,0)</f>
        <v>0</v>
      </c>
      <c r="N336" s="6" t="str">
        <f aca="false">IF(AND(C336&lt;Assumptions!$B$9,B336&lt;Assumptions!$B$10),"Irrigate Now",IF(AND(C336&gt;=Assumptions!$B$11,B336&gt;=Assumptions!$B$12),"No Irrigation Needed","Monitor"))</f>
        <v>Monitor</v>
      </c>
      <c r="O336" s="6" t="n">
        <f aca="false">IF(N336=G336,1,0)</f>
        <v>1</v>
      </c>
    </row>
    <row r="337" customFormat="false" ht="15" hidden="false" customHeight="false" outlineLevel="0" collapsed="false">
      <c r="A337" s="16" t="n">
        <v>22.64236876</v>
      </c>
      <c r="B337" s="16" t="n">
        <v>122.3886015</v>
      </c>
      <c r="C337" s="16" t="n">
        <v>11.9680960135736</v>
      </c>
      <c r="D337" s="6" t="s">
        <v>57</v>
      </c>
      <c r="E337" s="6" t="s">
        <v>57</v>
      </c>
      <c r="F337" s="6" t="s">
        <v>24</v>
      </c>
      <c r="G337" s="6" t="s">
        <v>61</v>
      </c>
      <c r="H337" s="6" t="s">
        <v>63</v>
      </c>
      <c r="I337" s="6" t="str">
        <f aca="false">IF(A337&lt;Outliers!$E$6,"Low",IF(A337&gt;Outliers!$F$6,"High",""))</f>
        <v/>
      </c>
      <c r="J337" s="6" t="str">
        <f aca="false">IF(B337&lt;Outliers!$E$7,"Low",IF(B337&gt;Outliers!$F$7,"High",""))</f>
        <v/>
      </c>
      <c r="K337" s="6" t="str">
        <f aca="false">IF(C337&lt;Outliers!$E$8,"Low",IF(C337&gt;Outliers!$F$8,"High",""))</f>
        <v/>
      </c>
      <c r="L337" s="6" t="str">
        <f aca="false">A337&amp;";"&amp;B337&amp;";"&amp;C337</f>
        <v>22.64236876;122.3886015;11.9680960135736</v>
      </c>
      <c r="M337" s="6" t="n">
        <f aca="false">IF(COUNTIF($L$2:$L$2201,L337)&gt;1,1,0)</f>
        <v>0</v>
      </c>
      <c r="N337" s="6" t="str">
        <f aca="false">IF(AND(C337&lt;Assumptions!$B$9,B337&lt;Assumptions!$B$10),"Irrigate Now",IF(AND(C337&gt;=Assumptions!$B$11,B337&gt;=Assumptions!$B$12),"No Irrigation Needed","Monitor"))</f>
        <v>Monitor</v>
      </c>
      <c r="O337" s="6" t="n">
        <f aca="false">IF(N337=G337,1,0)</f>
        <v>1</v>
      </c>
    </row>
    <row r="338" customFormat="false" ht="15" hidden="false" customHeight="false" outlineLevel="0" collapsed="false">
      <c r="A338" s="16" t="n">
        <v>21.98560799</v>
      </c>
      <c r="B338" s="16" t="n">
        <v>129.5650601</v>
      </c>
      <c r="C338" s="16" t="n">
        <v>29.1143323187919</v>
      </c>
      <c r="D338" s="6" t="s">
        <v>57</v>
      </c>
      <c r="E338" s="6" t="s">
        <v>57</v>
      </c>
      <c r="F338" s="6" t="s">
        <v>23</v>
      </c>
      <c r="G338" s="6" t="s">
        <v>58</v>
      </c>
      <c r="H338" s="6" t="s">
        <v>59</v>
      </c>
      <c r="I338" s="6" t="str">
        <f aca="false">IF(A338&lt;Outliers!$E$6,"Low",IF(A338&gt;Outliers!$F$6,"High",""))</f>
        <v/>
      </c>
      <c r="J338" s="6" t="str">
        <f aca="false">IF(B338&lt;Outliers!$E$7,"Low",IF(B338&gt;Outliers!$F$7,"High",""))</f>
        <v/>
      </c>
      <c r="K338" s="6" t="str">
        <f aca="false">IF(C338&lt;Outliers!$E$8,"Low",IF(C338&gt;Outliers!$F$8,"High",""))</f>
        <v/>
      </c>
      <c r="L338" s="6" t="str">
        <f aca="false">A338&amp;";"&amp;B338&amp;";"&amp;C338</f>
        <v>21.98560799;129.5650601;29.1143323187919</v>
      </c>
      <c r="M338" s="6" t="n">
        <f aca="false">IF(COUNTIF($L$2:$L$2201,L338)&gt;1,1,0)</f>
        <v>0</v>
      </c>
      <c r="N338" s="6" t="str">
        <f aca="false">IF(AND(C338&lt;Assumptions!$B$9,B338&lt;Assumptions!$B$10),"Irrigate Now",IF(AND(C338&gt;=Assumptions!$B$11,B338&gt;=Assumptions!$B$12),"No Irrigation Needed","Monitor"))</f>
        <v>No Irrigation Needed</v>
      </c>
      <c r="O338" s="6" t="n">
        <f aca="false">IF(N338=G338,1,0)</f>
        <v>1</v>
      </c>
    </row>
    <row r="339" customFormat="false" ht="15" hidden="false" customHeight="false" outlineLevel="0" collapsed="false">
      <c r="A339" s="16" t="n">
        <v>20.53052663</v>
      </c>
      <c r="B339" s="16" t="n">
        <v>120.4509288</v>
      </c>
      <c r="C339" s="16" t="n">
        <v>15.1185454963711</v>
      </c>
      <c r="D339" s="6" t="s">
        <v>57</v>
      </c>
      <c r="E339" s="6" t="s">
        <v>57</v>
      </c>
      <c r="F339" s="6" t="s">
        <v>24</v>
      </c>
      <c r="G339" s="6" t="s">
        <v>61</v>
      </c>
      <c r="H339" s="6" t="s">
        <v>63</v>
      </c>
      <c r="I339" s="6" t="str">
        <f aca="false">IF(A339&lt;Outliers!$E$6,"Low",IF(A339&gt;Outliers!$F$6,"High",""))</f>
        <v/>
      </c>
      <c r="J339" s="6" t="str">
        <f aca="false">IF(B339&lt;Outliers!$E$7,"Low",IF(B339&gt;Outliers!$F$7,"High",""))</f>
        <v/>
      </c>
      <c r="K339" s="6" t="str">
        <f aca="false">IF(C339&lt;Outliers!$E$8,"Low",IF(C339&gt;Outliers!$F$8,"High",""))</f>
        <v/>
      </c>
      <c r="L339" s="6" t="str">
        <f aca="false">A339&amp;";"&amp;B339&amp;";"&amp;C339</f>
        <v>20.53052663;120.4509288;15.1185454963711</v>
      </c>
      <c r="M339" s="6" t="n">
        <f aca="false">IF(COUNTIF($L$2:$L$2201,L339)&gt;1,1,0)</f>
        <v>0</v>
      </c>
      <c r="N339" s="6" t="str">
        <f aca="false">IF(AND(C339&lt;Assumptions!$B$9,B339&lt;Assumptions!$B$10),"Irrigate Now",IF(AND(C339&gt;=Assumptions!$B$11,B339&gt;=Assumptions!$B$12),"No Irrigation Needed","Monitor"))</f>
        <v>Monitor</v>
      </c>
      <c r="O339" s="6" t="n">
        <f aca="false">IF(N339=G339,1,0)</f>
        <v>1</v>
      </c>
    </row>
    <row r="340" customFormat="false" ht="15" hidden="false" customHeight="false" outlineLevel="0" collapsed="false">
      <c r="A340" s="16" t="n">
        <v>15.78601387</v>
      </c>
      <c r="B340" s="16" t="n">
        <v>95.17028129</v>
      </c>
      <c r="C340" s="16" t="n">
        <v>24.5839906998805</v>
      </c>
      <c r="D340" s="6" t="s">
        <v>66</v>
      </c>
      <c r="E340" s="6" t="s">
        <v>57</v>
      </c>
      <c r="F340" s="6" t="s">
        <v>23</v>
      </c>
      <c r="G340" s="6" t="s">
        <v>61</v>
      </c>
      <c r="H340" s="6" t="s">
        <v>63</v>
      </c>
      <c r="I340" s="6" t="str">
        <f aca="false">IF(A340&lt;Outliers!$E$6,"Low",IF(A340&gt;Outliers!$F$6,"High",""))</f>
        <v/>
      </c>
      <c r="J340" s="6" t="str">
        <f aca="false">IF(B340&lt;Outliers!$E$7,"Low",IF(B340&gt;Outliers!$F$7,"High",""))</f>
        <v/>
      </c>
      <c r="K340" s="6" t="str">
        <f aca="false">IF(C340&lt;Outliers!$E$8,"Low",IF(C340&gt;Outliers!$F$8,"High",""))</f>
        <v/>
      </c>
      <c r="L340" s="6" t="str">
        <f aca="false">A340&amp;";"&amp;B340&amp;";"&amp;C340</f>
        <v>15.78601387;95.17028129;24.5839906998805</v>
      </c>
      <c r="M340" s="6" t="n">
        <f aca="false">IF(COUNTIF($L$2:$L$2201,L340)&gt;1,1,0)</f>
        <v>0</v>
      </c>
      <c r="N340" s="6" t="str">
        <f aca="false">IF(AND(C340&lt;Assumptions!$B$9,B340&lt;Assumptions!$B$10),"Irrigate Now",IF(AND(C340&gt;=Assumptions!$B$11,B340&gt;=Assumptions!$B$12),"No Irrigation Needed","Monitor"))</f>
        <v>Monitor</v>
      </c>
      <c r="O340" s="6" t="n">
        <f aca="false">IF(N340=G340,1,0)</f>
        <v>1</v>
      </c>
    </row>
    <row r="341" customFormat="false" ht="15" hidden="false" customHeight="false" outlineLevel="0" collapsed="false">
      <c r="A341" s="16" t="n">
        <v>19.6365349</v>
      </c>
      <c r="B341" s="16" t="n">
        <v>96.65888933</v>
      </c>
      <c r="C341" s="16" t="n">
        <v>16.4755529730432</v>
      </c>
      <c r="D341" s="6" t="s">
        <v>66</v>
      </c>
      <c r="E341" s="6" t="s">
        <v>57</v>
      </c>
      <c r="F341" s="6" t="s">
        <v>24</v>
      </c>
      <c r="G341" s="6" t="s">
        <v>64</v>
      </c>
      <c r="H341" s="6" t="s">
        <v>65</v>
      </c>
      <c r="I341" s="6" t="str">
        <f aca="false">IF(A341&lt;Outliers!$E$6,"Low",IF(A341&gt;Outliers!$F$6,"High",""))</f>
        <v/>
      </c>
      <c r="J341" s="6" t="str">
        <f aca="false">IF(B341&lt;Outliers!$E$7,"Low",IF(B341&gt;Outliers!$F$7,"High",""))</f>
        <v/>
      </c>
      <c r="K341" s="6" t="str">
        <f aca="false">IF(C341&lt;Outliers!$E$8,"Low",IF(C341&gt;Outliers!$F$8,"High",""))</f>
        <v/>
      </c>
      <c r="L341" s="6" t="str">
        <f aca="false">A341&amp;";"&amp;B341&amp;";"&amp;C341</f>
        <v>19.6365349;96.65888933;16.4755529730432</v>
      </c>
      <c r="M341" s="6" t="n">
        <f aca="false">IF(COUNTIF($L$2:$L$2201,L341)&gt;1,1,0)</f>
        <v>0</v>
      </c>
      <c r="N341" s="6" t="str">
        <f aca="false">IF(AND(C341&lt;Assumptions!$B$9,B341&lt;Assumptions!$B$10),"Irrigate Now",IF(AND(C341&gt;=Assumptions!$B$11,B341&gt;=Assumptions!$B$12),"No Irrigation Needed","Monitor"))</f>
        <v>Irrigate Now</v>
      </c>
      <c r="O341" s="6" t="n">
        <f aca="false">IF(N341=G341,1,0)</f>
        <v>1</v>
      </c>
    </row>
    <row r="342" customFormat="false" ht="15" hidden="false" customHeight="false" outlineLevel="0" collapsed="false">
      <c r="A342" s="16" t="n">
        <v>20.57341244</v>
      </c>
      <c r="B342" s="16" t="n">
        <v>87.87869161</v>
      </c>
      <c r="C342" s="16" t="n">
        <v>16.247993900123</v>
      </c>
      <c r="D342" s="6" t="s">
        <v>57</v>
      </c>
      <c r="E342" s="6" t="s">
        <v>57</v>
      </c>
      <c r="F342" s="6" t="s">
        <v>24</v>
      </c>
      <c r="G342" s="6" t="s">
        <v>64</v>
      </c>
      <c r="H342" s="6" t="s">
        <v>65</v>
      </c>
      <c r="I342" s="6" t="str">
        <f aca="false">IF(A342&lt;Outliers!$E$6,"Low",IF(A342&gt;Outliers!$F$6,"High",""))</f>
        <v/>
      </c>
      <c r="J342" s="6" t="str">
        <f aca="false">IF(B342&lt;Outliers!$E$7,"Low",IF(B342&gt;Outliers!$F$7,"High",""))</f>
        <v/>
      </c>
      <c r="K342" s="6" t="str">
        <f aca="false">IF(C342&lt;Outliers!$E$8,"Low",IF(C342&gt;Outliers!$F$8,"High",""))</f>
        <v/>
      </c>
      <c r="L342" s="6" t="str">
        <f aca="false">A342&amp;";"&amp;B342&amp;";"&amp;C342</f>
        <v>20.57341244;87.87869161;16.247993900123</v>
      </c>
      <c r="M342" s="6" t="n">
        <f aca="false">IF(COUNTIF($L$2:$L$2201,L342)&gt;1,1,0)</f>
        <v>0</v>
      </c>
      <c r="N342" s="6" t="str">
        <f aca="false">IF(AND(C342&lt;Assumptions!$B$9,B342&lt;Assumptions!$B$10),"Irrigate Now",IF(AND(C342&gt;=Assumptions!$B$11,B342&gt;=Assumptions!$B$12),"No Irrigation Needed","Monitor"))</f>
        <v>Irrigate Now</v>
      </c>
      <c r="O342" s="6" t="n">
        <f aca="false">IF(N342=G342,1,0)</f>
        <v>1</v>
      </c>
    </row>
    <row r="343" customFormat="false" ht="15" hidden="false" customHeight="false" outlineLevel="0" collapsed="false">
      <c r="A343" s="16" t="n">
        <v>20.16080524</v>
      </c>
      <c r="B343" s="16" t="n">
        <v>138.2362122</v>
      </c>
      <c r="C343" s="16" t="n">
        <v>29.873518894736</v>
      </c>
      <c r="D343" s="6" t="s">
        <v>57</v>
      </c>
      <c r="E343" s="6" t="s">
        <v>57</v>
      </c>
      <c r="F343" s="6" t="s">
        <v>23</v>
      </c>
      <c r="G343" s="6" t="s">
        <v>58</v>
      </c>
      <c r="H343" s="6" t="s">
        <v>59</v>
      </c>
      <c r="I343" s="6" t="str">
        <f aca="false">IF(A343&lt;Outliers!$E$6,"Low",IF(A343&gt;Outliers!$F$6,"High",""))</f>
        <v/>
      </c>
      <c r="J343" s="6" t="str">
        <f aca="false">IF(B343&lt;Outliers!$E$7,"Low",IF(B343&gt;Outliers!$F$7,"High",""))</f>
        <v/>
      </c>
      <c r="K343" s="6" t="str">
        <f aca="false">IF(C343&lt;Outliers!$E$8,"Low",IF(C343&gt;Outliers!$F$8,"High",""))</f>
        <v/>
      </c>
      <c r="L343" s="6" t="str">
        <f aca="false">A343&amp;";"&amp;B343&amp;";"&amp;C343</f>
        <v>20.16080524;138.2362122;29.873518894736</v>
      </c>
      <c r="M343" s="6" t="n">
        <f aca="false">IF(COUNTIF($L$2:$L$2201,L343)&gt;1,1,0)</f>
        <v>0</v>
      </c>
      <c r="N343" s="6" t="str">
        <f aca="false">IF(AND(C343&lt;Assumptions!$B$9,B343&lt;Assumptions!$B$10),"Irrigate Now",IF(AND(C343&gt;=Assumptions!$B$11,B343&gt;=Assumptions!$B$12),"No Irrigation Needed","Monitor"))</f>
        <v>No Irrigation Needed</v>
      </c>
      <c r="O343" s="6" t="n">
        <f aca="false">IF(N343=G343,1,0)</f>
        <v>1</v>
      </c>
    </row>
    <row r="344" customFormat="false" ht="15" hidden="false" customHeight="false" outlineLevel="0" collapsed="false">
      <c r="A344" s="16" t="n">
        <v>21.53989176</v>
      </c>
      <c r="B344" s="16" t="n">
        <v>120.6913038</v>
      </c>
      <c r="C344" s="16" t="n">
        <v>19.8253219033782</v>
      </c>
      <c r="D344" s="6" t="s">
        <v>57</v>
      </c>
      <c r="E344" s="6" t="s">
        <v>57</v>
      </c>
      <c r="F344" s="6" t="s">
        <v>60</v>
      </c>
      <c r="G344" s="6" t="s">
        <v>61</v>
      </c>
      <c r="H344" s="6" t="s">
        <v>63</v>
      </c>
      <c r="I344" s="6" t="str">
        <f aca="false">IF(A344&lt;Outliers!$E$6,"Low",IF(A344&gt;Outliers!$F$6,"High",""))</f>
        <v/>
      </c>
      <c r="J344" s="6" t="str">
        <f aca="false">IF(B344&lt;Outliers!$E$7,"Low",IF(B344&gt;Outliers!$F$7,"High",""))</f>
        <v/>
      </c>
      <c r="K344" s="6" t="str">
        <f aca="false">IF(C344&lt;Outliers!$E$8,"Low",IF(C344&gt;Outliers!$F$8,"High",""))</f>
        <v/>
      </c>
      <c r="L344" s="6" t="str">
        <f aca="false">A344&amp;";"&amp;B344&amp;";"&amp;C344</f>
        <v>21.53989176;120.6913038;19.8253219033782</v>
      </c>
      <c r="M344" s="6" t="n">
        <f aca="false">IF(COUNTIF($L$2:$L$2201,L344)&gt;1,1,0)</f>
        <v>0</v>
      </c>
      <c r="N344" s="6" t="str">
        <f aca="false">IF(AND(C344&lt;Assumptions!$B$9,B344&lt;Assumptions!$B$10),"Irrigate Now",IF(AND(C344&gt;=Assumptions!$B$11,B344&gt;=Assumptions!$B$12),"No Irrigation Needed","Monitor"))</f>
        <v>Monitor</v>
      </c>
      <c r="O344" s="6" t="n">
        <f aca="false">IF(N344=G344,1,0)</f>
        <v>1</v>
      </c>
    </row>
    <row r="345" customFormat="false" ht="15" hidden="false" customHeight="false" outlineLevel="0" collapsed="false">
      <c r="A345" s="16" t="n">
        <v>15.53834801</v>
      </c>
      <c r="B345" s="16" t="n">
        <v>107.3850593</v>
      </c>
      <c r="C345" s="16" t="n">
        <v>26.7601664222457</v>
      </c>
      <c r="D345" s="6" t="s">
        <v>66</v>
      </c>
      <c r="E345" s="6" t="s">
        <v>57</v>
      </c>
      <c r="F345" s="6" t="s">
        <v>23</v>
      </c>
      <c r="G345" s="6" t="s">
        <v>58</v>
      </c>
      <c r="H345" s="6" t="s">
        <v>59</v>
      </c>
      <c r="I345" s="6" t="str">
        <f aca="false">IF(A345&lt;Outliers!$E$6,"Low",IF(A345&gt;Outliers!$F$6,"High",""))</f>
        <v/>
      </c>
      <c r="J345" s="6" t="str">
        <f aca="false">IF(B345&lt;Outliers!$E$7,"Low",IF(B345&gt;Outliers!$F$7,"High",""))</f>
        <v/>
      </c>
      <c r="K345" s="6" t="str">
        <f aca="false">IF(C345&lt;Outliers!$E$8,"Low",IF(C345&gt;Outliers!$F$8,"High",""))</f>
        <v/>
      </c>
      <c r="L345" s="6" t="str">
        <f aca="false">A345&amp;";"&amp;B345&amp;";"&amp;C345</f>
        <v>15.53834801;107.3850593;26.7601664222457</v>
      </c>
      <c r="M345" s="6" t="n">
        <f aca="false">IF(COUNTIF($L$2:$L$2201,L345)&gt;1,1,0)</f>
        <v>0</v>
      </c>
      <c r="N345" s="6" t="str">
        <f aca="false">IF(AND(C345&lt;Assumptions!$B$9,B345&lt;Assumptions!$B$10),"Irrigate Now",IF(AND(C345&gt;=Assumptions!$B$11,B345&gt;=Assumptions!$B$12),"No Irrigation Needed","Monitor"))</f>
        <v>No Irrigation Needed</v>
      </c>
      <c r="O345" s="6" t="n">
        <f aca="false">IF(N345=G345,1,0)</f>
        <v>1</v>
      </c>
    </row>
    <row r="346" customFormat="false" ht="15" hidden="false" customHeight="false" outlineLevel="0" collapsed="false">
      <c r="A346" s="16" t="n">
        <v>19.91853092</v>
      </c>
      <c r="B346" s="16" t="n">
        <v>108.6434544</v>
      </c>
      <c r="C346" s="16" t="n">
        <v>27.762002719534</v>
      </c>
      <c r="D346" s="6" t="s">
        <v>66</v>
      </c>
      <c r="E346" s="6" t="s">
        <v>57</v>
      </c>
      <c r="F346" s="6" t="s">
        <v>23</v>
      </c>
      <c r="G346" s="6" t="s">
        <v>58</v>
      </c>
      <c r="H346" s="6" t="s">
        <v>59</v>
      </c>
      <c r="I346" s="6" t="str">
        <f aca="false">IF(A346&lt;Outliers!$E$6,"Low",IF(A346&gt;Outliers!$F$6,"High",""))</f>
        <v/>
      </c>
      <c r="J346" s="6" t="str">
        <f aca="false">IF(B346&lt;Outliers!$E$7,"Low",IF(B346&gt;Outliers!$F$7,"High",""))</f>
        <v/>
      </c>
      <c r="K346" s="6" t="str">
        <f aca="false">IF(C346&lt;Outliers!$E$8,"Low",IF(C346&gt;Outliers!$F$8,"High",""))</f>
        <v/>
      </c>
      <c r="L346" s="6" t="str">
        <f aca="false">A346&amp;";"&amp;B346&amp;";"&amp;C346</f>
        <v>19.91853092;108.6434544;27.762002719534</v>
      </c>
      <c r="M346" s="6" t="n">
        <f aca="false">IF(COUNTIF($L$2:$L$2201,L346)&gt;1,1,0)</f>
        <v>0</v>
      </c>
      <c r="N346" s="6" t="str">
        <f aca="false">IF(AND(C346&lt;Assumptions!$B$9,B346&lt;Assumptions!$B$10),"Irrigate Now",IF(AND(C346&gt;=Assumptions!$B$11,B346&gt;=Assumptions!$B$12),"No Irrigation Needed","Monitor"))</f>
        <v>No Irrigation Needed</v>
      </c>
      <c r="O346" s="6" t="n">
        <f aca="false">IF(N346=G346,1,0)</f>
        <v>1</v>
      </c>
    </row>
    <row r="347" customFormat="false" ht="15" hidden="false" customHeight="false" outlineLevel="0" collapsed="false">
      <c r="A347" s="16" t="n">
        <v>20.76952209</v>
      </c>
      <c r="B347" s="16" t="n">
        <v>109.0193712</v>
      </c>
      <c r="C347" s="16" t="n">
        <v>26.198335805296</v>
      </c>
      <c r="D347" s="6" t="s">
        <v>57</v>
      </c>
      <c r="E347" s="6" t="s">
        <v>57</v>
      </c>
      <c r="F347" s="6" t="s">
        <v>23</v>
      </c>
      <c r="G347" s="6" t="s">
        <v>58</v>
      </c>
      <c r="H347" s="6" t="s">
        <v>59</v>
      </c>
      <c r="I347" s="6" t="str">
        <f aca="false">IF(A347&lt;Outliers!$E$6,"Low",IF(A347&gt;Outliers!$F$6,"High",""))</f>
        <v/>
      </c>
      <c r="J347" s="6" t="str">
        <f aca="false">IF(B347&lt;Outliers!$E$7,"Low",IF(B347&gt;Outliers!$F$7,"High",""))</f>
        <v/>
      </c>
      <c r="K347" s="6" t="str">
        <f aca="false">IF(C347&lt;Outliers!$E$8,"Low",IF(C347&gt;Outliers!$F$8,"High",""))</f>
        <v/>
      </c>
      <c r="L347" s="6" t="str">
        <f aca="false">A347&amp;";"&amp;B347&amp;";"&amp;C347</f>
        <v>20.76952209;109.0193712;26.198335805296</v>
      </c>
      <c r="M347" s="6" t="n">
        <f aca="false">IF(COUNTIF($L$2:$L$2201,L347)&gt;1,1,0)</f>
        <v>0</v>
      </c>
      <c r="N347" s="6" t="str">
        <f aca="false">IF(AND(C347&lt;Assumptions!$B$9,B347&lt;Assumptions!$B$10),"Irrigate Now",IF(AND(C347&gt;=Assumptions!$B$11,B347&gt;=Assumptions!$B$12),"No Irrigation Needed","Monitor"))</f>
        <v>No Irrigation Needed</v>
      </c>
      <c r="O347" s="6" t="n">
        <f aca="false">IF(N347=G347,1,0)</f>
        <v>1</v>
      </c>
    </row>
    <row r="348" customFormat="false" ht="15" hidden="false" customHeight="false" outlineLevel="0" collapsed="false">
      <c r="A348" s="16" t="n">
        <v>23.46168338</v>
      </c>
      <c r="B348" s="16" t="n">
        <v>95.84253438</v>
      </c>
      <c r="C348" s="16" t="n">
        <v>20.4724345177384</v>
      </c>
      <c r="D348" s="6" t="s">
        <v>57</v>
      </c>
      <c r="E348" s="6" t="s">
        <v>57</v>
      </c>
      <c r="F348" s="6" t="s">
        <v>60</v>
      </c>
      <c r="G348" s="6" t="s">
        <v>61</v>
      </c>
      <c r="H348" s="6" t="s">
        <v>63</v>
      </c>
      <c r="I348" s="6" t="str">
        <f aca="false">IF(A348&lt;Outliers!$E$6,"Low",IF(A348&gt;Outliers!$F$6,"High",""))</f>
        <v/>
      </c>
      <c r="J348" s="6" t="str">
        <f aca="false">IF(B348&lt;Outliers!$E$7,"Low",IF(B348&gt;Outliers!$F$7,"High",""))</f>
        <v/>
      </c>
      <c r="K348" s="6" t="str">
        <f aca="false">IF(C348&lt;Outliers!$E$8,"Low",IF(C348&gt;Outliers!$F$8,"High",""))</f>
        <v/>
      </c>
      <c r="L348" s="6" t="str">
        <f aca="false">A348&amp;";"&amp;B348&amp;";"&amp;C348</f>
        <v>23.46168338;95.84253438;20.4724345177384</v>
      </c>
      <c r="M348" s="6" t="n">
        <f aca="false">IF(COUNTIF($L$2:$L$2201,L348)&gt;1,1,0)</f>
        <v>0</v>
      </c>
      <c r="N348" s="6" t="str">
        <f aca="false">IF(AND(C348&lt;Assumptions!$B$9,B348&lt;Assumptions!$B$10),"Irrigate Now",IF(AND(C348&gt;=Assumptions!$B$11,B348&gt;=Assumptions!$B$12),"No Irrigation Needed","Monitor"))</f>
        <v>Monitor</v>
      </c>
      <c r="O348" s="6" t="n">
        <f aca="false">IF(N348=G348,1,0)</f>
        <v>1</v>
      </c>
    </row>
    <row r="349" customFormat="false" ht="15" hidden="false" customHeight="false" outlineLevel="0" collapsed="false">
      <c r="A349" s="16" t="n">
        <v>24.32116642</v>
      </c>
      <c r="B349" s="16" t="n">
        <v>60.27552528</v>
      </c>
      <c r="C349" s="16" t="n">
        <v>16.0708349473171</v>
      </c>
      <c r="D349" s="6" t="s">
        <v>57</v>
      </c>
      <c r="E349" s="6" t="s">
        <v>57</v>
      </c>
      <c r="F349" s="6" t="s">
        <v>24</v>
      </c>
      <c r="G349" s="6" t="s">
        <v>64</v>
      </c>
      <c r="H349" s="6" t="s">
        <v>65</v>
      </c>
      <c r="I349" s="6" t="str">
        <f aca="false">IF(A349&lt;Outliers!$E$6,"Low",IF(A349&gt;Outliers!$F$6,"High",""))</f>
        <v/>
      </c>
      <c r="J349" s="6" t="str">
        <f aca="false">IF(B349&lt;Outliers!$E$7,"Low",IF(B349&gt;Outliers!$F$7,"High",""))</f>
        <v/>
      </c>
      <c r="K349" s="6" t="str">
        <f aca="false">IF(C349&lt;Outliers!$E$8,"Low",IF(C349&gt;Outliers!$F$8,"High",""))</f>
        <v/>
      </c>
      <c r="L349" s="6" t="str">
        <f aca="false">A349&amp;";"&amp;B349&amp;";"&amp;C349</f>
        <v>24.32116642;60.27552528;16.0708349473171</v>
      </c>
      <c r="M349" s="6" t="n">
        <f aca="false">IF(COUNTIF($L$2:$L$2201,L349)&gt;1,1,0)</f>
        <v>0</v>
      </c>
      <c r="N349" s="6" t="str">
        <f aca="false">IF(AND(C349&lt;Assumptions!$B$9,B349&lt;Assumptions!$B$10),"Irrigate Now",IF(AND(C349&gt;=Assumptions!$B$11,B349&gt;=Assumptions!$B$12),"No Irrigation Needed","Monitor"))</f>
        <v>Irrigate Now</v>
      </c>
      <c r="O349" s="6" t="n">
        <f aca="false">IF(N349=G349,1,0)</f>
        <v>1</v>
      </c>
    </row>
    <row r="350" customFormat="false" ht="15" hidden="false" customHeight="false" outlineLevel="0" collapsed="false">
      <c r="A350" s="16" t="n">
        <v>20.12574053</v>
      </c>
      <c r="B350" s="16" t="n">
        <v>100.0497183</v>
      </c>
      <c r="C350" s="16" t="n">
        <v>15.6912262281487</v>
      </c>
      <c r="D350" s="6" t="s">
        <v>57</v>
      </c>
      <c r="E350" s="6" t="s">
        <v>57</v>
      </c>
      <c r="F350" s="6" t="s">
        <v>24</v>
      </c>
      <c r="G350" s="6" t="s">
        <v>61</v>
      </c>
      <c r="H350" s="6" t="s">
        <v>63</v>
      </c>
      <c r="I350" s="6" t="str">
        <f aca="false">IF(A350&lt;Outliers!$E$6,"Low",IF(A350&gt;Outliers!$F$6,"High",""))</f>
        <v/>
      </c>
      <c r="J350" s="6" t="str">
        <f aca="false">IF(B350&lt;Outliers!$E$7,"Low",IF(B350&gt;Outliers!$F$7,"High",""))</f>
        <v/>
      </c>
      <c r="K350" s="6" t="str">
        <f aca="false">IF(C350&lt;Outliers!$E$8,"Low",IF(C350&gt;Outliers!$F$8,"High",""))</f>
        <v/>
      </c>
      <c r="L350" s="6" t="str">
        <f aca="false">A350&amp;";"&amp;B350&amp;";"&amp;C350</f>
        <v>20.12574053;100.0497183;15.6912262281487</v>
      </c>
      <c r="M350" s="6" t="n">
        <f aca="false">IF(COUNTIF($L$2:$L$2201,L350)&gt;1,1,0)</f>
        <v>0</v>
      </c>
      <c r="N350" s="6" t="str">
        <f aca="false">IF(AND(C350&lt;Assumptions!$B$9,B350&lt;Assumptions!$B$10),"Irrigate Now",IF(AND(C350&gt;=Assumptions!$B$11,B350&gt;=Assumptions!$B$12),"No Irrigation Needed","Monitor"))</f>
        <v>Monitor</v>
      </c>
      <c r="O350" s="6" t="n">
        <f aca="false">IF(N350=G350,1,0)</f>
        <v>1</v>
      </c>
    </row>
    <row r="351" customFormat="false" ht="15" hidden="false" customHeight="false" outlineLevel="0" collapsed="false">
      <c r="A351" s="16" t="n">
        <v>21.80619564</v>
      </c>
      <c r="B351" s="16" t="n">
        <v>125.0972687</v>
      </c>
      <c r="C351" s="16" t="n">
        <v>21.3543038448891</v>
      </c>
      <c r="D351" s="6" t="s">
        <v>57</v>
      </c>
      <c r="E351" s="6" t="s">
        <v>57</v>
      </c>
      <c r="F351" s="6" t="s">
        <v>60</v>
      </c>
      <c r="G351" s="6" t="s">
        <v>61</v>
      </c>
      <c r="H351" s="6" t="s">
        <v>63</v>
      </c>
      <c r="I351" s="6" t="str">
        <f aca="false">IF(A351&lt;Outliers!$E$6,"Low",IF(A351&gt;Outliers!$F$6,"High",""))</f>
        <v/>
      </c>
      <c r="J351" s="6" t="str">
        <f aca="false">IF(B351&lt;Outliers!$E$7,"Low",IF(B351&gt;Outliers!$F$7,"High",""))</f>
        <v/>
      </c>
      <c r="K351" s="6" t="str">
        <f aca="false">IF(C351&lt;Outliers!$E$8,"Low",IF(C351&gt;Outliers!$F$8,"High",""))</f>
        <v/>
      </c>
      <c r="L351" s="6" t="str">
        <f aca="false">A351&amp;";"&amp;B351&amp;";"&amp;C351</f>
        <v>21.80619564;125.0972687;21.3543038448891</v>
      </c>
      <c r="M351" s="6" t="n">
        <f aca="false">IF(COUNTIF($L$2:$L$2201,L351)&gt;1,1,0)</f>
        <v>0</v>
      </c>
      <c r="N351" s="6" t="str">
        <f aca="false">IF(AND(C351&lt;Assumptions!$B$9,B351&lt;Assumptions!$B$10),"Irrigate Now",IF(AND(C351&gt;=Assumptions!$B$11,B351&gt;=Assumptions!$B$12),"No Irrigation Needed","Monitor"))</f>
        <v>Monitor</v>
      </c>
      <c r="O351" s="6" t="n">
        <f aca="false">IF(N351=G351,1,0)</f>
        <v>1</v>
      </c>
    </row>
    <row r="352" customFormat="false" ht="15" hidden="false" customHeight="false" outlineLevel="0" collapsed="false">
      <c r="A352" s="16" t="n">
        <v>19.52226241</v>
      </c>
      <c r="B352" s="16" t="n">
        <v>113.334026</v>
      </c>
      <c r="C352" s="16" t="n">
        <v>12.0289810628646</v>
      </c>
      <c r="D352" s="6" t="s">
        <v>66</v>
      </c>
      <c r="E352" s="6" t="s">
        <v>57</v>
      </c>
      <c r="F352" s="6" t="s">
        <v>24</v>
      </c>
      <c r="G352" s="6" t="s">
        <v>61</v>
      </c>
      <c r="H352" s="6" t="s">
        <v>63</v>
      </c>
      <c r="I352" s="6" t="str">
        <f aca="false">IF(A352&lt;Outliers!$E$6,"Low",IF(A352&gt;Outliers!$F$6,"High",""))</f>
        <v/>
      </c>
      <c r="J352" s="6" t="str">
        <f aca="false">IF(B352&lt;Outliers!$E$7,"Low",IF(B352&gt;Outliers!$F$7,"High",""))</f>
        <v/>
      </c>
      <c r="K352" s="6" t="str">
        <f aca="false">IF(C352&lt;Outliers!$E$8,"Low",IF(C352&gt;Outliers!$F$8,"High",""))</f>
        <v/>
      </c>
      <c r="L352" s="6" t="str">
        <f aca="false">A352&amp;";"&amp;B352&amp;";"&amp;C352</f>
        <v>19.52226241;113.334026;12.0289810628646</v>
      </c>
      <c r="M352" s="6" t="n">
        <f aca="false">IF(COUNTIF($L$2:$L$2201,L352)&gt;1,1,0)</f>
        <v>0</v>
      </c>
      <c r="N352" s="6" t="str">
        <f aca="false">IF(AND(C352&lt;Assumptions!$B$9,B352&lt;Assumptions!$B$10),"Irrigate Now",IF(AND(C352&gt;=Assumptions!$B$11,B352&gt;=Assumptions!$B$12),"No Irrigation Needed","Monitor"))</f>
        <v>Monitor</v>
      </c>
      <c r="O352" s="6" t="n">
        <f aca="false">IF(N352=G352,1,0)</f>
        <v>1</v>
      </c>
    </row>
    <row r="353" customFormat="false" ht="15" hidden="false" customHeight="false" outlineLevel="0" collapsed="false">
      <c r="A353" s="16" t="n">
        <v>17.00067625</v>
      </c>
      <c r="B353" s="16" t="n">
        <v>103.2926407</v>
      </c>
      <c r="C353" s="16" t="n">
        <v>22.4429668581017</v>
      </c>
      <c r="D353" s="6" t="s">
        <v>66</v>
      </c>
      <c r="E353" s="6" t="s">
        <v>57</v>
      </c>
      <c r="F353" s="6" t="s">
        <v>60</v>
      </c>
      <c r="G353" s="6" t="s">
        <v>61</v>
      </c>
      <c r="H353" s="6" t="s">
        <v>63</v>
      </c>
      <c r="I353" s="6" t="str">
        <f aca="false">IF(A353&lt;Outliers!$E$6,"Low",IF(A353&gt;Outliers!$F$6,"High",""))</f>
        <v/>
      </c>
      <c r="J353" s="6" t="str">
        <f aca="false">IF(B353&lt;Outliers!$E$7,"Low",IF(B353&gt;Outliers!$F$7,"High",""))</f>
        <v/>
      </c>
      <c r="K353" s="6" t="str">
        <f aca="false">IF(C353&lt;Outliers!$E$8,"Low",IF(C353&gt;Outliers!$F$8,"High",""))</f>
        <v/>
      </c>
      <c r="L353" s="6" t="str">
        <f aca="false">A353&amp;";"&amp;B353&amp;";"&amp;C353</f>
        <v>17.00067625;103.2926407;22.4429668581017</v>
      </c>
      <c r="M353" s="6" t="n">
        <f aca="false">IF(COUNTIF($L$2:$L$2201,L353)&gt;1,1,0)</f>
        <v>0</v>
      </c>
      <c r="N353" s="6" t="str">
        <f aca="false">IF(AND(C353&lt;Assumptions!$B$9,B353&lt;Assumptions!$B$10),"Irrigate Now",IF(AND(C353&gt;=Assumptions!$B$11,B353&gt;=Assumptions!$B$12),"No Irrigation Needed","Monitor"))</f>
        <v>Monitor</v>
      </c>
      <c r="O353" s="6" t="n">
        <f aca="false">IF(N353=G353,1,0)</f>
        <v>1</v>
      </c>
    </row>
    <row r="354" customFormat="false" ht="15" hidden="false" customHeight="false" outlineLevel="0" collapsed="false">
      <c r="A354" s="16" t="n">
        <v>16.78791503</v>
      </c>
      <c r="B354" s="16" t="n">
        <v>75.45328039</v>
      </c>
      <c r="C354" s="16" t="n">
        <v>18.4334236778456</v>
      </c>
      <c r="D354" s="6" t="s">
        <v>66</v>
      </c>
      <c r="E354" s="6" t="s">
        <v>57</v>
      </c>
      <c r="F354" s="6" t="s">
        <v>60</v>
      </c>
      <c r="G354" s="6" t="s">
        <v>61</v>
      </c>
      <c r="H354" s="6" t="s">
        <v>63</v>
      </c>
      <c r="I354" s="6" t="str">
        <f aca="false">IF(A354&lt;Outliers!$E$6,"Low",IF(A354&gt;Outliers!$F$6,"High",""))</f>
        <v/>
      </c>
      <c r="J354" s="6" t="str">
        <f aca="false">IF(B354&lt;Outliers!$E$7,"Low",IF(B354&gt;Outliers!$F$7,"High",""))</f>
        <v/>
      </c>
      <c r="K354" s="6" t="str">
        <f aca="false">IF(C354&lt;Outliers!$E$8,"Low",IF(C354&gt;Outliers!$F$8,"High",""))</f>
        <v/>
      </c>
      <c r="L354" s="6" t="str">
        <f aca="false">A354&amp;";"&amp;B354&amp;";"&amp;C354</f>
        <v>16.78791503;75.45328039;18.4334236778456</v>
      </c>
      <c r="M354" s="6" t="n">
        <f aca="false">IF(COUNTIF($L$2:$L$2201,L354)&gt;1,1,0)</f>
        <v>0</v>
      </c>
      <c r="N354" s="6" t="str">
        <f aca="false">IF(AND(C354&lt;Assumptions!$B$9,B354&lt;Assumptions!$B$10),"Irrigate Now",IF(AND(C354&gt;=Assumptions!$B$11,B354&gt;=Assumptions!$B$12),"No Irrigation Needed","Monitor"))</f>
        <v>Monitor</v>
      </c>
      <c r="O354" s="6" t="n">
        <f aca="false">IF(N354=G354,1,0)</f>
        <v>1</v>
      </c>
    </row>
    <row r="355" customFormat="false" ht="15" hidden="false" customHeight="false" outlineLevel="0" collapsed="false">
      <c r="A355" s="16" t="n">
        <v>24.84906168</v>
      </c>
      <c r="B355" s="16" t="n">
        <v>62.21292186</v>
      </c>
      <c r="C355" s="16" t="n">
        <v>13.9427909755968</v>
      </c>
      <c r="D355" s="6" t="s">
        <v>57</v>
      </c>
      <c r="E355" s="6" t="s">
        <v>57</v>
      </c>
      <c r="F355" s="6" t="s">
        <v>24</v>
      </c>
      <c r="G355" s="6" t="s">
        <v>64</v>
      </c>
      <c r="H355" s="6" t="s">
        <v>65</v>
      </c>
      <c r="I355" s="6" t="str">
        <f aca="false">IF(A355&lt;Outliers!$E$6,"Low",IF(A355&gt;Outliers!$F$6,"High",""))</f>
        <v/>
      </c>
      <c r="J355" s="6" t="str">
        <f aca="false">IF(B355&lt;Outliers!$E$7,"Low",IF(B355&gt;Outliers!$F$7,"High",""))</f>
        <v/>
      </c>
      <c r="K355" s="6" t="str">
        <f aca="false">IF(C355&lt;Outliers!$E$8,"Low",IF(C355&gt;Outliers!$F$8,"High",""))</f>
        <v/>
      </c>
      <c r="L355" s="6" t="str">
        <f aca="false">A355&amp;";"&amp;B355&amp;";"&amp;C355</f>
        <v>24.84906168;62.21292186;13.9427909755968</v>
      </c>
      <c r="M355" s="6" t="n">
        <f aca="false">IF(COUNTIF($L$2:$L$2201,L355)&gt;1,1,0)</f>
        <v>0</v>
      </c>
      <c r="N355" s="6" t="str">
        <f aca="false">IF(AND(C355&lt;Assumptions!$B$9,B355&lt;Assumptions!$B$10),"Irrigate Now",IF(AND(C355&gt;=Assumptions!$B$11,B355&gt;=Assumptions!$B$12),"No Irrigation Needed","Monitor"))</f>
        <v>Irrigate Now</v>
      </c>
      <c r="O355" s="6" t="n">
        <f aca="false">IF(N355=G355,1,0)</f>
        <v>1</v>
      </c>
    </row>
    <row r="356" customFormat="false" ht="15" hidden="false" customHeight="false" outlineLevel="0" collapsed="false">
      <c r="A356" s="16" t="n">
        <v>16.51783455</v>
      </c>
      <c r="B356" s="16" t="n">
        <v>98.77794225</v>
      </c>
      <c r="C356" s="16" t="n">
        <v>17.946604234832</v>
      </c>
      <c r="D356" s="6" t="s">
        <v>66</v>
      </c>
      <c r="E356" s="6" t="s">
        <v>57</v>
      </c>
      <c r="F356" s="6" t="s">
        <v>60</v>
      </c>
      <c r="G356" s="6" t="s">
        <v>64</v>
      </c>
      <c r="H356" s="6" t="s">
        <v>65</v>
      </c>
      <c r="I356" s="6" t="str">
        <f aca="false">IF(A356&lt;Outliers!$E$6,"Low",IF(A356&gt;Outliers!$F$6,"High",""))</f>
        <v/>
      </c>
      <c r="J356" s="6" t="str">
        <f aca="false">IF(B356&lt;Outliers!$E$7,"Low",IF(B356&gt;Outliers!$F$7,"High",""))</f>
        <v/>
      </c>
      <c r="K356" s="6" t="str">
        <f aca="false">IF(C356&lt;Outliers!$E$8,"Low",IF(C356&gt;Outliers!$F$8,"High",""))</f>
        <v/>
      </c>
      <c r="L356" s="6" t="str">
        <f aca="false">A356&amp;";"&amp;B356&amp;";"&amp;C356</f>
        <v>16.51783455;98.77794225;17.946604234832</v>
      </c>
      <c r="M356" s="6" t="n">
        <f aca="false">IF(COUNTIF($L$2:$L$2201,L356)&gt;1,1,0)</f>
        <v>0</v>
      </c>
      <c r="N356" s="6" t="str">
        <f aca="false">IF(AND(C356&lt;Assumptions!$B$9,B356&lt;Assumptions!$B$10),"Irrigate Now",IF(AND(C356&gt;=Assumptions!$B$11,B356&gt;=Assumptions!$B$12),"No Irrigation Needed","Monitor"))</f>
        <v>Irrigate Now</v>
      </c>
      <c r="O356" s="6" t="n">
        <f aca="false">IF(N356=G356,1,0)</f>
        <v>1</v>
      </c>
    </row>
    <row r="357" customFormat="false" ht="15" hidden="false" customHeight="false" outlineLevel="0" collapsed="false">
      <c r="A357" s="16" t="n">
        <v>18.15300153</v>
      </c>
      <c r="B357" s="16" t="n">
        <v>107.6907964</v>
      </c>
      <c r="C357" s="16" t="n">
        <v>18.9228621754093</v>
      </c>
      <c r="D357" s="6" t="s">
        <v>66</v>
      </c>
      <c r="E357" s="6" t="s">
        <v>57</v>
      </c>
      <c r="F357" s="6" t="s">
        <v>60</v>
      </c>
      <c r="G357" s="6" t="s">
        <v>61</v>
      </c>
      <c r="H357" s="6" t="s">
        <v>63</v>
      </c>
      <c r="I357" s="6" t="str">
        <f aca="false">IF(A357&lt;Outliers!$E$6,"Low",IF(A357&gt;Outliers!$F$6,"High",""))</f>
        <v/>
      </c>
      <c r="J357" s="6" t="str">
        <f aca="false">IF(B357&lt;Outliers!$E$7,"Low",IF(B357&gt;Outliers!$F$7,"High",""))</f>
        <v/>
      </c>
      <c r="K357" s="6" t="str">
        <f aca="false">IF(C357&lt;Outliers!$E$8,"Low",IF(C357&gt;Outliers!$F$8,"High",""))</f>
        <v/>
      </c>
      <c r="L357" s="6" t="str">
        <f aca="false">A357&amp;";"&amp;B357&amp;";"&amp;C357</f>
        <v>18.15300153;107.6907964;18.9228621754093</v>
      </c>
      <c r="M357" s="6" t="n">
        <f aca="false">IF(COUNTIF($L$2:$L$2201,L357)&gt;1,1,0)</f>
        <v>0</v>
      </c>
      <c r="N357" s="6" t="str">
        <f aca="false">IF(AND(C357&lt;Assumptions!$B$9,B357&lt;Assumptions!$B$10),"Irrigate Now",IF(AND(C357&gt;=Assumptions!$B$11,B357&gt;=Assumptions!$B$12),"No Irrigation Needed","Monitor"))</f>
        <v>Monitor</v>
      </c>
      <c r="O357" s="6" t="n">
        <f aca="false">IF(N357=G357,1,0)</f>
        <v>1</v>
      </c>
    </row>
    <row r="358" customFormat="false" ht="15" hidden="false" customHeight="false" outlineLevel="0" collapsed="false">
      <c r="A358" s="16" t="n">
        <v>23.18864385</v>
      </c>
      <c r="B358" s="16" t="n">
        <v>63.38208822</v>
      </c>
      <c r="C358" s="16" t="n">
        <v>10.9719197048957</v>
      </c>
      <c r="D358" s="6" t="s">
        <v>57</v>
      </c>
      <c r="E358" s="6" t="s">
        <v>57</v>
      </c>
      <c r="F358" s="6" t="s">
        <v>24</v>
      </c>
      <c r="G358" s="6" t="s">
        <v>64</v>
      </c>
      <c r="H358" s="6" t="s">
        <v>65</v>
      </c>
      <c r="I358" s="6" t="str">
        <f aca="false">IF(A358&lt;Outliers!$E$6,"Low",IF(A358&gt;Outliers!$F$6,"High",""))</f>
        <v/>
      </c>
      <c r="J358" s="6" t="str">
        <f aca="false">IF(B358&lt;Outliers!$E$7,"Low",IF(B358&gt;Outliers!$F$7,"High",""))</f>
        <v/>
      </c>
      <c r="K358" s="6" t="str">
        <f aca="false">IF(C358&lt;Outliers!$E$8,"Low",IF(C358&gt;Outliers!$F$8,"High",""))</f>
        <v/>
      </c>
      <c r="L358" s="6" t="str">
        <f aca="false">A358&amp;";"&amp;B358&amp;";"&amp;C358</f>
        <v>23.18864385;63.38208822;10.9719197048957</v>
      </c>
      <c r="M358" s="6" t="n">
        <f aca="false">IF(COUNTIF($L$2:$L$2201,L358)&gt;1,1,0)</f>
        <v>0</v>
      </c>
      <c r="N358" s="6" t="str">
        <f aca="false">IF(AND(C358&lt;Assumptions!$B$9,B358&lt;Assumptions!$B$10),"Irrigate Now",IF(AND(C358&gt;=Assumptions!$B$11,B358&gt;=Assumptions!$B$12),"No Irrigation Needed","Monitor"))</f>
        <v>Irrigate Now</v>
      </c>
      <c r="O358" s="6" t="n">
        <f aca="false">IF(N358=G358,1,0)</f>
        <v>1</v>
      </c>
    </row>
    <row r="359" customFormat="false" ht="15" hidden="false" customHeight="false" outlineLevel="0" collapsed="false">
      <c r="A359" s="16" t="n">
        <v>23.38002569</v>
      </c>
      <c r="B359" s="16" t="n">
        <v>87.66898664</v>
      </c>
      <c r="C359" s="16" t="n">
        <v>26.5661908551908</v>
      </c>
      <c r="D359" s="6" t="s">
        <v>57</v>
      </c>
      <c r="E359" s="6" t="s">
        <v>57</v>
      </c>
      <c r="F359" s="6" t="s">
        <v>23</v>
      </c>
      <c r="G359" s="6" t="s">
        <v>61</v>
      </c>
      <c r="H359" s="6" t="s">
        <v>63</v>
      </c>
      <c r="I359" s="6" t="str">
        <f aca="false">IF(A359&lt;Outliers!$E$6,"Low",IF(A359&gt;Outliers!$F$6,"High",""))</f>
        <v/>
      </c>
      <c r="J359" s="6" t="str">
        <f aca="false">IF(B359&lt;Outliers!$E$7,"Low",IF(B359&gt;Outliers!$F$7,"High",""))</f>
        <v/>
      </c>
      <c r="K359" s="6" t="str">
        <f aca="false">IF(C359&lt;Outliers!$E$8,"Low",IF(C359&gt;Outliers!$F$8,"High",""))</f>
        <v/>
      </c>
      <c r="L359" s="6" t="str">
        <f aca="false">A359&amp;";"&amp;B359&amp;";"&amp;C359</f>
        <v>23.38002569;87.66898664;26.5661908551908</v>
      </c>
      <c r="M359" s="6" t="n">
        <f aca="false">IF(COUNTIF($L$2:$L$2201,L359)&gt;1,1,0)</f>
        <v>0</v>
      </c>
      <c r="N359" s="6" t="str">
        <f aca="false">IF(AND(C359&lt;Assumptions!$B$9,B359&lt;Assumptions!$B$10),"Irrigate Now",IF(AND(C359&gt;=Assumptions!$B$11,B359&gt;=Assumptions!$B$12),"No Irrigation Needed","Monitor"))</f>
        <v>Monitor</v>
      </c>
      <c r="O359" s="6" t="n">
        <f aca="false">IF(N359=G359,1,0)</f>
        <v>1</v>
      </c>
    </row>
    <row r="360" customFormat="false" ht="15" hidden="false" customHeight="false" outlineLevel="0" collapsed="false">
      <c r="A360" s="16" t="n">
        <v>18.358923</v>
      </c>
      <c r="B360" s="16" t="n">
        <v>138.414764</v>
      </c>
      <c r="C360" s="16" t="n">
        <v>17.6181950551448</v>
      </c>
      <c r="D360" s="6" t="s">
        <v>66</v>
      </c>
      <c r="E360" s="6" t="s">
        <v>57</v>
      </c>
      <c r="F360" s="6" t="s">
        <v>60</v>
      </c>
      <c r="G360" s="6" t="s">
        <v>61</v>
      </c>
      <c r="H360" s="6" t="s">
        <v>63</v>
      </c>
      <c r="I360" s="6" t="str">
        <f aca="false">IF(A360&lt;Outliers!$E$6,"Low",IF(A360&gt;Outliers!$F$6,"High",""))</f>
        <v/>
      </c>
      <c r="J360" s="6" t="str">
        <f aca="false">IF(B360&lt;Outliers!$E$7,"Low",IF(B360&gt;Outliers!$F$7,"High",""))</f>
        <v/>
      </c>
      <c r="K360" s="6" t="str">
        <f aca="false">IF(C360&lt;Outliers!$E$8,"Low",IF(C360&gt;Outliers!$F$8,"High",""))</f>
        <v/>
      </c>
      <c r="L360" s="6" t="str">
        <f aca="false">A360&amp;";"&amp;B360&amp;";"&amp;C360</f>
        <v>18.358923;138.414764;17.6181950551448</v>
      </c>
      <c r="M360" s="6" t="n">
        <f aca="false">IF(COUNTIF($L$2:$L$2201,L360)&gt;1,1,0)</f>
        <v>0</v>
      </c>
      <c r="N360" s="6" t="str">
        <f aca="false">IF(AND(C360&lt;Assumptions!$B$9,B360&lt;Assumptions!$B$10),"Irrigate Now",IF(AND(C360&gt;=Assumptions!$B$11,B360&gt;=Assumptions!$B$12),"No Irrigation Needed","Monitor"))</f>
        <v>Monitor</v>
      </c>
      <c r="O360" s="6" t="n">
        <f aca="false">IF(N360=G360,1,0)</f>
        <v>1</v>
      </c>
    </row>
    <row r="361" customFormat="false" ht="15" hidden="false" customHeight="false" outlineLevel="0" collapsed="false">
      <c r="A361" s="16" t="n">
        <v>19.25975367</v>
      </c>
      <c r="B361" s="16" t="n">
        <v>94.9533526</v>
      </c>
      <c r="C361" s="16" t="n">
        <v>21.3578830244087</v>
      </c>
      <c r="D361" s="6" t="s">
        <v>66</v>
      </c>
      <c r="E361" s="6" t="s">
        <v>57</v>
      </c>
      <c r="F361" s="6" t="s">
        <v>60</v>
      </c>
      <c r="G361" s="6" t="s">
        <v>61</v>
      </c>
      <c r="H361" s="6" t="s">
        <v>63</v>
      </c>
      <c r="I361" s="6" t="str">
        <f aca="false">IF(A361&lt;Outliers!$E$6,"Low",IF(A361&gt;Outliers!$F$6,"High",""))</f>
        <v/>
      </c>
      <c r="J361" s="6" t="str">
        <f aca="false">IF(B361&lt;Outliers!$E$7,"Low",IF(B361&gt;Outliers!$F$7,"High",""))</f>
        <v/>
      </c>
      <c r="K361" s="6" t="str">
        <f aca="false">IF(C361&lt;Outliers!$E$8,"Low",IF(C361&gt;Outliers!$F$8,"High",""))</f>
        <v/>
      </c>
      <c r="L361" s="6" t="str">
        <f aca="false">A361&amp;";"&amp;B361&amp;";"&amp;C361</f>
        <v>19.25975367;94.9533526;21.3578830244087</v>
      </c>
      <c r="M361" s="6" t="n">
        <f aca="false">IF(COUNTIF($L$2:$L$2201,L361)&gt;1,1,0)</f>
        <v>0</v>
      </c>
      <c r="N361" s="6" t="str">
        <f aca="false">IF(AND(C361&lt;Assumptions!$B$9,B361&lt;Assumptions!$B$10),"Irrigate Now",IF(AND(C361&gt;=Assumptions!$B$11,B361&gt;=Assumptions!$B$12),"No Irrigation Needed","Monitor"))</f>
        <v>Monitor</v>
      </c>
      <c r="O361" s="6" t="n">
        <f aca="false">IF(N361=G361,1,0)</f>
        <v>1</v>
      </c>
    </row>
    <row r="362" customFormat="false" ht="15" hidden="false" customHeight="false" outlineLevel="0" collapsed="false">
      <c r="A362" s="16" t="n">
        <v>22.95458237</v>
      </c>
      <c r="B362" s="16" t="n">
        <v>107.7315386</v>
      </c>
      <c r="C362" s="16" t="n">
        <v>23.4693965416715</v>
      </c>
      <c r="D362" s="6" t="s">
        <v>57</v>
      </c>
      <c r="E362" s="6" t="s">
        <v>57</v>
      </c>
      <c r="F362" s="6" t="s">
        <v>23</v>
      </c>
      <c r="G362" s="6" t="s">
        <v>61</v>
      </c>
      <c r="H362" s="6" t="s">
        <v>63</v>
      </c>
      <c r="I362" s="6" t="str">
        <f aca="false">IF(A362&lt;Outliers!$E$6,"Low",IF(A362&gt;Outliers!$F$6,"High",""))</f>
        <v/>
      </c>
      <c r="J362" s="6" t="str">
        <f aca="false">IF(B362&lt;Outliers!$E$7,"Low",IF(B362&gt;Outliers!$F$7,"High",""))</f>
        <v/>
      </c>
      <c r="K362" s="6" t="str">
        <f aca="false">IF(C362&lt;Outliers!$E$8,"Low",IF(C362&gt;Outliers!$F$8,"High",""))</f>
        <v/>
      </c>
      <c r="L362" s="6" t="str">
        <f aca="false">A362&amp;";"&amp;B362&amp;";"&amp;C362</f>
        <v>22.95458237;107.7315386;23.4693965416715</v>
      </c>
      <c r="M362" s="6" t="n">
        <f aca="false">IF(COUNTIF($L$2:$L$2201,L362)&gt;1,1,0)</f>
        <v>0</v>
      </c>
      <c r="N362" s="6" t="str">
        <f aca="false">IF(AND(C362&lt;Assumptions!$B$9,B362&lt;Assumptions!$B$10),"Irrigate Now",IF(AND(C362&gt;=Assumptions!$B$11,B362&gt;=Assumptions!$B$12),"No Irrigation Needed","Monitor"))</f>
        <v>Monitor</v>
      </c>
      <c r="O362" s="6" t="n">
        <f aca="false">IF(N362=G362,1,0)</f>
        <v>1</v>
      </c>
    </row>
    <row r="363" customFormat="false" ht="15" hidden="false" customHeight="false" outlineLevel="0" collapsed="false">
      <c r="A363" s="16" t="n">
        <v>20.120043</v>
      </c>
      <c r="B363" s="16" t="n">
        <v>104.6252153</v>
      </c>
      <c r="C363" s="16" t="n">
        <v>15.4534912040895</v>
      </c>
      <c r="D363" s="6" t="s">
        <v>57</v>
      </c>
      <c r="E363" s="6" t="s">
        <v>57</v>
      </c>
      <c r="F363" s="6" t="s">
        <v>24</v>
      </c>
      <c r="G363" s="6" t="s">
        <v>61</v>
      </c>
      <c r="H363" s="6" t="s">
        <v>63</v>
      </c>
      <c r="I363" s="6" t="str">
        <f aca="false">IF(A363&lt;Outliers!$E$6,"Low",IF(A363&gt;Outliers!$F$6,"High",""))</f>
        <v/>
      </c>
      <c r="J363" s="6" t="str">
        <f aca="false">IF(B363&lt;Outliers!$E$7,"Low",IF(B363&gt;Outliers!$F$7,"High",""))</f>
        <v/>
      </c>
      <c r="K363" s="6" t="str">
        <f aca="false">IF(C363&lt;Outliers!$E$8,"Low",IF(C363&gt;Outliers!$F$8,"High",""))</f>
        <v/>
      </c>
      <c r="L363" s="6" t="str">
        <f aca="false">A363&amp;";"&amp;B363&amp;";"&amp;C363</f>
        <v>20.120043;104.6252153;15.4534912040895</v>
      </c>
      <c r="M363" s="6" t="n">
        <f aca="false">IF(COUNTIF($L$2:$L$2201,L363)&gt;1,1,0)</f>
        <v>0</v>
      </c>
      <c r="N363" s="6" t="str">
        <f aca="false">IF(AND(C363&lt;Assumptions!$B$9,B363&lt;Assumptions!$B$10),"Irrigate Now",IF(AND(C363&gt;=Assumptions!$B$11,B363&gt;=Assumptions!$B$12),"No Irrigation Needed","Monitor"))</f>
        <v>Monitor</v>
      </c>
      <c r="O363" s="6" t="n">
        <f aca="false">IF(N363=G363,1,0)</f>
        <v>1</v>
      </c>
    </row>
    <row r="364" customFormat="false" ht="15" hidden="false" customHeight="false" outlineLevel="0" collapsed="false">
      <c r="A364" s="16" t="n">
        <v>21.14011423</v>
      </c>
      <c r="B364" s="16" t="n">
        <v>141.6056722</v>
      </c>
      <c r="C364" s="16" t="n">
        <v>11.8955611059745</v>
      </c>
      <c r="D364" s="6" t="s">
        <v>57</v>
      </c>
      <c r="E364" s="6" t="s">
        <v>57</v>
      </c>
      <c r="F364" s="6" t="s">
        <v>24</v>
      </c>
      <c r="G364" s="6" t="s">
        <v>61</v>
      </c>
      <c r="H364" s="6" t="s">
        <v>63</v>
      </c>
      <c r="I364" s="6" t="str">
        <f aca="false">IF(A364&lt;Outliers!$E$6,"Low",IF(A364&gt;Outliers!$F$6,"High",""))</f>
        <v/>
      </c>
      <c r="J364" s="6" t="str">
        <f aca="false">IF(B364&lt;Outliers!$E$7,"Low",IF(B364&gt;Outliers!$F$7,"High",""))</f>
        <v/>
      </c>
      <c r="K364" s="6" t="str">
        <f aca="false">IF(C364&lt;Outliers!$E$8,"Low",IF(C364&gt;Outliers!$F$8,"High",""))</f>
        <v/>
      </c>
      <c r="L364" s="6" t="str">
        <f aca="false">A364&amp;";"&amp;B364&amp;";"&amp;C364</f>
        <v>21.14011423;141.6056722;11.8955611059745</v>
      </c>
      <c r="M364" s="6" t="n">
        <f aca="false">IF(COUNTIF($L$2:$L$2201,L364)&gt;1,1,0)</f>
        <v>0</v>
      </c>
      <c r="N364" s="6" t="str">
        <f aca="false">IF(AND(C364&lt;Assumptions!$B$9,B364&lt;Assumptions!$B$10),"Irrigate Now",IF(AND(C364&gt;=Assumptions!$B$11,B364&gt;=Assumptions!$B$12),"No Irrigation Needed","Monitor"))</f>
        <v>Monitor</v>
      </c>
      <c r="O364" s="6" t="n">
        <f aca="false">IF(N364=G364,1,0)</f>
        <v>1</v>
      </c>
    </row>
    <row r="365" customFormat="false" ht="15" hidden="false" customHeight="false" outlineLevel="0" collapsed="false">
      <c r="A365" s="16" t="n">
        <v>24.92360104</v>
      </c>
      <c r="B365" s="16" t="n">
        <v>62.7089169</v>
      </c>
      <c r="C365" s="16" t="n">
        <v>24.5429752894386</v>
      </c>
      <c r="D365" s="6" t="s">
        <v>57</v>
      </c>
      <c r="E365" s="6" t="s">
        <v>57</v>
      </c>
      <c r="F365" s="6" t="s">
        <v>60</v>
      </c>
      <c r="G365" s="6" t="s">
        <v>61</v>
      </c>
      <c r="H365" s="6" t="s">
        <v>63</v>
      </c>
      <c r="I365" s="6" t="str">
        <f aca="false">IF(A365&lt;Outliers!$E$6,"Low",IF(A365&gt;Outliers!$F$6,"High",""))</f>
        <v/>
      </c>
      <c r="J365" s="6" t="str">
        <f aca="false">IF(B365&lt;Outliers!$E$7,"Low",IF(B365&gt;Outliers!$F$7,"High",""))</f>
        <v/>
      </c>
      <c r="K365" s="6" t="str">
        <f aca="false">IF(C365&lt;Outliers!$E$8,"Low",IF(C365&gt;Outliers!$F$8,"High",""))</f>
        <v/>
      </c>
      <c r="L365" s="6" t="str">
        <f aca="false">A365&amp;";"&amp;B365&amp;";"&amp;C365</f>
        <v>24.92360104;62.7089169;24.5429752894386</v>
      </c>
      <c r="M365" s="6" t="n">
        <f aca="false">IF(COUNTIF($L$2:$L$2201,L365)&gt;1,1,0)</f>
        <v>0</v>
      </c>
      <c r="N365" s="6" t="str">
        <f aca="false">IF(AND(C365&lt;Assumptions!$B$9,B365&lt;Assumptions!$B$10),"Irrigate Now",IF(AND(C365&gt;=Assumptions!$B$11,B365&gt;=Assumptions!$B$12),"No Irrigation Needed","Monitor"))</f>
        <v>Monitor</v>
      </c>
      <c r="O365" s="6" t="n">
        <f aca="false">IF(N365=G365,1,0)</f>
        <v>1</v>
      </c>
    </row>
    <row r="366" customFormat="false" ht="15" hidden="false" customHeight="false" outlineLevel="0" collapsed="false">
      <c r="A366" s="16" t="n">
        <v>15.33042636</v>
      </c>
      <c r="B366" s="16" t="n">
        <v>135.3315583</v>
      </c>
      <c r="C366" s="16" t="n">
        <v>24.8340774052744</v>
      </c>
      <c r="D366" s="6" t="s">
        <v>66</v>
      </c>
      <c r="E366" s="6" t="s">
        <v>57</v>
      </c>
      <c r="F366" s="6" t="s">
        <v>23</v>
      </c>
      <c r="G366" s="6" t="s">
        <v>61</v>
      </c>
      <c r="H366" s="6" t="s">
        <v>63</v>
      </c>
      <c r="I366" s="6" t="str">
        <f aca="false">IF(A366&lt;Outliers!$E$6,"Low",IF(A366&gt;Outliers!$F$6,"High",""))</f>
        <v/>
      </c>
      <c r="J366" s="6" t="str">
        <f aca="false">IF(B366&lt;Outliers!$E$7,"Low",IF(B366&gt;Outliers!$F$7,"High",""))</f>
        <v/>
      </c>
      <c r="K366" s="6" t="str">
        <f aca="false">IF(C366&lt;Outliers!$E$8,"Low",IF(C366&gt;Outliers!$F$8,"High",""))</f>
        <v/>
      </c>
      <c r="L366" s="6" t="str">
        <f aca="false">A366&amp;";"&amp;B366&amp;";"&amp;C366</f>
        <v>15.33042636;135.3315583;24.8340774052744</v>
      </c>
      <c r="M366" s="6" t="n">
        <f aca="false">IF(COUNTIF($L$2:$L$2201,L366)&gt;1,1,0)</f>
        <v>0</v>
      </c>
      <c r="N366" s="6" t="str">
        <f aca="false">IF(AND(C366&lt;Assumptions!$B$9,B366&lt;Assumptions!$B$10),"Irrigate Now",IF(AND(C366&gt;=Assumptions!$B$11,B366&gt;=Assumptions!$B$12),"No Irrigation Needed","Monitor"))</f>
        <v>Monitor</v>
      </c>
      <c r="O366" s="6" t="n">
        <f aca="false">IF(N366=G366,1,0)</f>
        <v>1</v>
      </c>
    </row>
    <row r="367" customFormat="false" ht="15" hidden="false" customHeight="false" outlineLevel="0" collapsed="false">
      <c r="A367" s="16" t="n">
        <v>18.81097271</v>
      </c>
      <c r="B367" s="16" t="n">
        <v>125.084915</v>
      </c>
      <c r="C367" s="16" t="n">
        <v>21.1763323520212</v>
      </c>
      <c r="D367" s="6" t="s">
        <v>66</v>
      </c>
      <c r="E367" s="6" t="s">
        <v>57</v>
      </c>
      <c r="F367" s="6" t="s">
        <v>60</v>
      </c>
      <c r="G367" s="6" t="s">
        <v>61</v>
      </c>
      <c r="H367" s="6" t="s">
        <v>63</v>
      </c>
      <c r="I367" s="6" t="str">
        <f aca="false">IF(A367&lt;Outliers!$E$6,"Low",IF(A367&gt;Outliers!$F$6,"High",""))</f>
        <v/>
      </c>
      <c r="J367" s="6" t="str">
        <f aca="false">IF(B367&lt;Outliers!$E$7,"Low",IF(B367&gt;Outliers!$F$7,"High",""))</f>
        <v/>
      </c>
      <c r="K367" s="6" t="str">
        <f aca="false">IF(C367&lt;Outliers!$E$8,"Low",IF(C367&gt;Outliers!$F$8,"High",""))</f>
        <v/>
      </c>
      <c r="L367" s="6" t="str">
        <f aca="false">A367&amp;";"&amp;B367&amp;";"&amp;C367</f>
        <v>18.81097271;125.084915;21.1763323520212</v>
      </c>
      <c r="M367" s="6" t="n">
        <f aca="false">IF(COUNTIF($L$2:$L$2201,L367)&gt;1,1,0)</f>
        <v>0</v>
      </c>
      <c r="N367" s="6" t="str">
        <f aca="false">IF(AND(C367&lt;Assumptions!$B$9,B367&lt;Assumptions!$B$10),"Irrigate Now",IF(AND(C367&gt;=Assumptions!$B$11,B367&gt;=Assumptions!$B$12),"No Irrigation Needed","Monitor"))</f>
        <v>Monitor</v>
      </c>
      <c r="O367" s="6" t="n">
        <f aca="false">IF(N367=G367,1,0)</f>
        <v>1</v>
      </c>
    </row>
    <row r="368" customFormat="false" ht="15" hidden="false" customHeight="false" outlineLevel="0" collapsed="false">
      <c r="A368" s="16" t="n">
        <v>23.44260668</v>
      </c>
      <c r="B368" s="16" t="n">
        <v>107.4137246</v>
      </c>
      <c r="C368" s="16" t="n">
        <v>17.7739255498962</v>
      </c>
      <c r="D368" s="6" t="s">
        <v>57</v>
      </c>
      <c r="E368" s="6" t="s">
        <v>57</v>
      </c>
      <c r="F368" s="6" t="s">
        <v>60</v>
      </c>
      <c r="G368" s="6" t="s">
        <v>61</v>
      </c>
      <c r="H368" s="6" t="s">
        <v>63</v>
      </c>
      <c r="I368" s="6" t="str">
        <f aca="false">IF(A368&lt;Outliers!$E$6,"Low",IF(A368&gt;Outliers!$F$6,"High",""))</f>
        <v/>
      </c>
      <c r="J368" s="6" t="str">
        <f aca="false">IF(B368&lt;Outliers!$E$7,"Low",IF(B368&gt;Outliers!$F$7,"High",""))</f>
        <v/>
      </c>
      <c r="K368" s="6" t="str">
        <f aca="false">IF(C368&lt;Outliers!$E$8,"Low",IF(C368&gt;Outliers!$F$8,"High",""))</f>
        <v/>
      </c>
      <c r="L368" s="6" t="str">
        <f aca="false">A368&amp;";"&amp;B368&amp;";"&amp;C368</f>
        <v>23.44260668;107.4137246;17.7739255498962</v>
      </c>
      <c r="M368" s="6" t="n">
        <f aca="false">IF(COUNTIF($L$2:$L$2201,L368)&gt;1,1,0)</f>
        <v>0</v>
      </c>
      <c r="N368" s="6" t="str">
        <f aca="false">IF(AND(C368&lt;Assumptions!$B$9,B368&lt;Assumptions!$B$10),"Irrigate Now",IF(AND(C368&gt;=Assumptions!$B$11,B368&gt;=Assumptions!$B$12),"No Irrigation Needed","Monitor"))</f>
        <v>Monitor</v>
      </c>
      <c r="O368" s="6" t="n">
        <f aca="false">IF(N368=G368,1,0)</f>
        <v>1</v>
      </c>
    </row>
    <row r="369" customFormat="false" ht="15" hidden="false" customHeight="false" outlineLevel="0" collapsed="false">
      <c r="A369" s="16" t="n">
        <v>22.8352024</v>
      </c>
      <c r="B369" s="16" t="n">
        <v>63.59276673</v>
      </c>
      <c r="C369" s="16" t="n">
        <v>29.0802275252302</v>
      </c>
      <c r="D369" s="6" t="s">
        <v>57</v>
      </c>
      <c r="E369" s="6" t="s">
        <v>57</v>
      </c>
      <c r="F369" s="6" t="s">
        <v>23</v>
      </c>
      <c r="G369" s="6" t="s">
        <v>61</v>
      </c>
      <c r="H369" s="6" t="s">
        <v>63</v>
      </c>
      <c r="I369" s="6" t="str">
        <f aca="false">IF(A369&lt;Outliers!$E$6,"Low",IF(A369&gt;Outliers!$F$6,"High",""))</f>
        <v/>
      </c>
      <c r="J369" s="6" t="str">
        <f aca="false">IF(B369&lt;Outliers!$E$7,"Low",IF(B369&gt;Outliers!$F$7,"High",""))</f>
        <v/>
      </c>
      <c r="K369" s="6" t="str">
        <f aca="false">IF(C369&lt;Outliers!$E$8,"Low",IF(C369&gt;Outliers!$F$8,"High",""))</f>
        <v/>
      </c>
      <c r="L369" s="6" t="str">
        <f aca="false">A369&amp;";"&amp;B369&amp;";"&amp;C369</f>
        <v>22.8352024;63.59276673;29.0802275252302</v>
      </c>
      <c r="M369" s="6" t="n">
        <f aca="false">IF(COUNTIF($L$2:$L$2201,L369)&gt;1,1,0)</f>
        <v>0</v>
      </c>
      <c r="N369" s="6" t="str">
        <f aca="false">IF(AND(C369&lt;Assumptions!$B$9,B369&lt;Assumptions!$B$10),"Irrigate Now",IF(AND(C369&gt;=Assumptions!$B$11,B369&gt;=Assumptions!$B$12),"No Irrigation Needed","Monitor"))</f>
        <v>Monitor</v>
      </c>
      <c r="O369" s="6" t="n">
        <f aca="false">IF(N369=G369,1,0)</f>
        <v>1</v>
      </c>
    </row>
    <row r="370" customFormat="false" ht="15" hidden="false" customHeight="false" outlineLevel="0" collapsed="false">
      <c r="A370" s="16" t="n">
        <v>24.9035819</v>
      </c>
      <c r="B370" s="16" t="n">
        <v>146.4727237</v>
      </c>
      <c r="C370" s="16" t="n">
        <v>20.4359106766837</v>
      </c>
      <c r="D370" s="6" t="s">
        <v>57</v>
      </c>
      <c r="E370" s="6" t="s">
        <v>57</v>
      </c>
      <c r="F370" s="6" t="s">
        <v>60</v>
      </c>
      <c r="G370" s="6" t="s">
        <v>61</v>
      </c>
      <c r="H370" s="6" t="s">
        <v>63</v>
      </c>
      <c r="I370" s="6" t="str">
        <f aca="false">IF(A370&lt;Outliers!$E$6,"Low",IF(A370&gt;Outliers!$F$6,"High",""))</f>
        <v/>
      </c>
      <c r="J370" s="6" t="str">
        <f aca="false">IF(B370&lt;Outliers!$E$7,"Low",IF(B370&gt;Outliers!$F$7,"High",""))</f>
        <v/>
      </c>
      <c r="K370" s="6" t="str">
        <f aca="false">IF(C370&lt;Outliers!$E$8,"Low",IF(C370&gt;Outliers!$F$8,"High",""))</f>
        <v/>
      </c>
      <c r="L370" s="6" t="str">
        <f aca="false">A370&amp;";"&amp;B370&amp;";"&amp;C370</f>
        <v>24.9035819;146.4727237;20.4359106766837</v>
      </c>
      <c r="M370" s="6" t="n">
        <f aca="false">IF(COUNTIF($L$2:$L$2201,L370)&gt;1,1,0)</f>
        <v>0</v>
      </c>
      <c r="N370" s="6" t="str">
        <f aca="false">IF(AND(C370&lt;Assumptions!$B$9,B370&lt;Assumptions!$B$10),"Irrigate Now",IF(AND(C370&gt;=Assumptions!$B$11,B370&gt;=Assumptions!$B$12),"No Irrigation Needed","Monitor"))</f>
        <v>Monitor</v>
      </c>
      <c r="O370" s="6" t="n">
        <f aca="false">IF(N370=G370,1,0)</f>
        <v>1</v>
      </c>
    </row>
    <row r="371" customFormat="false" ht="15" hidden="false" customHeight="false" outlineLevel="0" collapsed="false">
      <c r="A371" s="16" t="n">
        <v>23.78709569</v>
      </c>
      <c r="B371" s="16" t="n">
        <v>119.6404412</v>
      </c>
      <c r="C371" s="16" t="n">
        <v>29.6769423288099</v>
      </c>
      <c r="D371" s="6" t="s">
        <v>57</v>
      </c>
      <c r="E371" s="6" t="s">
        <v>57</v>
      </c>
      <c r="F371" s="6" t="s">
        <v>23</v>
      </c>
      <c r="G371" s="6" t="s">
        <v>58</v>
      </c>
      <c r="H371" s="6" t="s">
        <v>59</v>
      </c>
      <c r="I371" s="6" t="str">
        <f aca="false">IF(A371&lt;Outliers!$E$6,"Low",IF(A371&gt;Outliers!$F$6,"High",""))</f>
        <v/>
      </c>
      <c r="J371" s="6" t="str">
        <f aca="false">IF(B371&lt;Outliers!$E$7,"Low",IF(B371&gt;Outliers!$F$7,"High",""))</f>
        <v/>
      </c>
      <c r="K371" s="6" t="str">
        <f aca="false">IF(C371&lt;Outliers!$E$8,"Low",IF(C371&gt;Outliers!$F$8,"High",""))</f>
        <v/>
      </c>
      <c r="L371" s="6" t="str">
        <f aca="false">A371&amp;";"&amp;B371&amp;";"&amp;C371</f>
        <v>23.78709569;119.6404412;29.6769423288099</v>
      </c>
      <c r="M371" s="6" t="n">
        <f aca="false">IF(COUNTIF($L$2:$L$2201,L371)&gt;1,1,0)</f>
        <v>0</v>
      </c>
      <c r="N371" s="6" t="str">
        <f aca="false">IF(AND(C371&lt;Assumptions!$B$9,B371&lt;Assumptions!$B$10),"Irrigate Now",IF(AND(C371&gt;=Assumptions!$B$11,B371&gt;=Assumptions!$B$12),"No Irrigation Needed","Monitor"))</f>
        <v>No Irrigation Needed</v>
      </c>
      <c r="O371" s="6" t="n">
        <f aca="false">IF(N371=G371,1,0)</f>
        <v>1</v>
      </c>
    </row>
    <row r="372" customFormat="false" ht="15" hidden="false" customHeight="false" outlineLevel="0" collapsed="false">
      <c r="A372" s="16" t="n">
        <v>22.05592283</v>
      </c>
      <c r="B372" s="16" t="n">
        <v>126.7265372</v>
      </c>
      <c r="C372" s="16" t="n">
        <v>23.9090073594232</v>
      </c>
      <c r="D372" s="6" t="s">
        <v>57</v>
      </c>
      <c r="E372" s="6" t="s">
        <v>57</v>
      </c>
      <c r="F372" s="6" t="s">
        <v>23</v>
      </c>
      <c r="G372" s="6" t="s">
        <v>61</v>
      </c>
      <c r="H372" s="6" t="s">
        <v>63</v>
      </c>
      <c r="I372" s="6" t="str">
        <f aca="false">IF(A372&lt;Outliers!$E$6,"Low",IF(A372&gt;Outliers!$F$6,"High",""))</f>
        <v/>
      </c>
      <c r="J372" s="6" t="str">
        <f aca="false">IF(B372&lt;Outliers!$E$7,"Low",IF(B372&gt;Outliers!$F$7,"High",""))</f>
        <v/>
      </c>
      <c r="K372" s="6" t="str">
        <f aca="false">IF(C372&lt;Outliers!$E$8,"Low",IF(C372&gt;Outliers!$F$8,"High",""))</f>
        <v/>
      </c>
      <c r="L372" s="6" t="str">
        <f aca="false">A372&amp;";"&amp;B372&amp;";"&amp;C372</f>
        <v>22.05592283;126.7265372;23.9090073594232</v>
      </c>
      <c r="M372" s="6" t="n">
        <f aca="false">IF(COUNTIF($L$2:$L$2201,L372)&gt;1,1,0)</f>
        <v>0</v>
      </c>
      <c r="N372" s="6" t="str">
        <f aca="false">IF(AND(C372&lt;Assumptions!$B$9,B372&lt;Assumptions!$B$10),"Irrigate Now",IF(AND(C372&gt;=Assumptions!$B$11,B372&gt;=Assumptions!$B$12),"No Irrigation Needed","Monitor"))</f>
        <v>Monitor</v>
      </c>
      <c r="O372" s="6" t="n">
        <f aca="false">IF(N372=G372,1,0)</f>
        <v>1</v>
      </c>
    </row>
    <row r="373" customFormat="false" ht="15" hidden="false" customHeight="false" outlineLevel="0" collapsed="false">
      <c r="A373" s="16" t="n">
        <v>18.87492997</v>
      </c>
      <c r="B373" s="16" t="n">
        <v>134.1811718</v>
      </c>
      <c r="C373" s="16" t="n">
        <v>19.895010310468</v>
      </c>
      <c r="D373" s="6" t="s">
        <v>66</v>
      </c>
      <c r="E373" s="6" t="s">
        <v>57</v>
      </c>
      <c r="F373" s="6" t="s">
        <v>60</v>
      </c>
      <c r="G373" s="6" t="s">
        <v>61</v>
      </c>
      <c r="H373" s="6" t="s">
        <v>63</v>
      </c>
      <c r="I373" s="6" t="str">
        <f aca="false">IF(A373&lt;Outliers!$E$6,"Low",IF(A373&gt;Outliers!$F$6,"High",""))</f>
        <v/>
      </c>
      <c r="J373" s="6" t="str">
        <f aca="false">IF(B373&lt;Outliers!$E$7,"Low",IF(B373&gt;Outliers!$F$7,"High",""))</f>
        <v/>
      </c>
      <c r="K373" s="6" t="str">
        <f aca="false">IF(C373&lt;Outliers!$E$8,"Low",IF(C373&gt;Outliers!$F$8,"High",""))</f>
        <v/>
      </c>
      <c r="L373" s="6" t="str">
        <f aca="false">A373&amp;";"&amp;B373&amp;";"&amp;C373</f>
        <v>18.87492997;134.1811718;19.895010310468</v>
      </c>
      <c r="M373" s="6" t="n">
        <f aca="false">IF(COUNTIF($L$2:$L$2201,L373)&gt;1,1,0)</f>
        <v>0</v>
      </c>
      <c r="N373" s="6" t="str">
        <f aca="false">IF(AND(C373&lt;Assumptions!$B$9,B373&lt;Assumptions!$B$10),"Irrigate Now",IF(AND(C373&gt;=Assumptions!$B$11,B373&gt;=Assumptions!$B$12),"No Irrigation Needed","Monitor"))</f>
        <v>Monitor</v>
      </c>
      <c r="O373" s="6" t="n">
        <f aca="false">IF(N373=G373,1,0)</f>
        <v>1</v>
      </c>
    </row>
    <row r="374" customFormat="false" ht="15" hidden="false" customHeight="false" outlineLevel="0" collapsed="false">
      <c r="A374" s="16" t="n">
        <v>18.62328774</v>
      </c>
      <c r="B374" s="16" t="n">
        <v>135.3378033</v>
      </c>
      <c r="C374" s="16" t="n">
        <v>16.6164763342965</v>
      </c>
      <c r="D374" s="6" t="s">
        <v>66</v>
      </c>
      <c r="E374" s="6" t="s">
        <v>57</v>
      </c>
      <c r="F374" s="6" t="s">
        <v>60</v>
      </c>
      <c r="G374" s="6" t="s">
        <v>61</v>
      </c>
      <c r="H374" s="6" t="s">
        <v>63</v>
      </c>
      <c r="I374" s="6" t="str">
        <f aca="false">IF(A374&lt;Outliers!$E$6,"Low",IF(A374&gt;Outliers!$F$6,"High",""))</f>
        <v/>
      </c>
      <c r="J374" s="6" t="str">
        <f aca="false">IF(B374&lt;Outliers!$E$7,"Low",IF(B374&gt;Outliers!$F$7,"High",""))</f>
        <v/>
      </c>
      <c r="K374" s="6" t="str">
        <f aca="false">IF(C374&lt;Outliers!$E$8,"Low",IF(C374&gt;Outliers!$F$8,"High",""))</f>
        <v/>
      </c>
      <c r="L374" s="6" t="str">
        <f aca="false">A374&amp;";"&amp;B374&amp;";"&amp;C374</f>
        <v>18.62328774;135.3378033;16.6164763342965</v>
      </c>
      <c r="M374" s="6" t="n">
        <f aca="false">IF(COUNTIF($L$2:$L$2201,L374)&gt;1,1,0)</f>
        <v>0</v>
      </c>
      <c r="N374" s="6" t="str">
        <f aca="false">IF(AND(C374&lt;Assumptions!$B$9,B374&lt;Assumptions!$B$10),"Irrigate Now",IF(AND(C374&gt;=Assumptions!$B$11,B374&gt;=Assumptions!$B$12),"No Irrigation Needed","Monitor"))</f>
        <v>Monitor</v>
      </c>
      <c r="O374" s="6" t="n">
        <f aca="false">IF(N374=G374,1,0)</f>
        <v>1</v>
      </c>
    </row>
    <row r="375" customFormat="false" ht="15" hidden="false" customHeight="false" outlineLevel="0" collapsed="false">
      <c r="A375" s="16" t="n">
        <v>23.00884744</v>
      </c>
      <c r="B375" s="16" t="n">
        <v>100.118612</v>
      </c>
      <c r="C375" s="16" t="n">
        <v>28.8990888249279</v>
      </c>
      <c r="D375" s="6" t="s">
        <v>57</v>
      </c>
      <c r="E375" s="6" t="s">
        <v>57</v>
      </c>
      <c r="F375" s="6" t="s">
        <v>23</v>
      </c>
      <c r="G375" s="6" t="s">
        <v>58</v>
      </c>
      <c r="H375" s="6" t="s">
        <v>59</v>
      </c>
      <c r="I375" s="6" t="str">
        <f aca="false">IF(A375&lt;Outliers!$E$6,"Low",IF(A375&gt;Outliers!$F$6,"High",""))</f>
        <v/>
      </c>
      <c r="J375" s="6" t="str">
        <f aca="false">IF(B375&lt;Outliers!$E$7,"Low",IF(B375&gt;Outliers!$F$7,"High",""))</f>
        <v/>
      </c>
      <c r="K375" s="6" t="str">
        <f aca="false">IF(C375&lt;Outliers!$E$8,"Low",IF(C375&gt;Outliers!$F$8,"High",""))</f>
        <v/>
      </c>
      <c r="L375" s="6" t="str">
        <f aca="false">A375&amp;";"&amp;B375&amp;";"&amp;C375</f>
        <v>23.00884744;100.118612;28.8990888249279</v>
      </c>
      <c r="M375" s="6" t="n">
        <f aca="false">IF(COUNTIF($L$2:$L$2201,L375)&gt;1,1,0)</f>
        <v>0</v>
      </c>
      <c r="N375" s="6" t="str">
        <f aca="false">IF(AND(C375&lt;Assumptions!$B$9,B375&lt;Assumptions!$B$10),"Irrigate Now",IF(AND(C375&gt;=Assumptions!$B$11,B375&gt;=Assumptions!$B$12),"No Irrigation Needed","Monitor"))</f>
        <v>No Irrigation Needed</v>
      </c>
      <c r="O375" s="6" t="n">
        <f aca="false">IF(N375=G375,1,0)</f>
        <v>1</v>
      </c>
    </row>
    <row r="376" customFormat="false" ht="15" hidden="false" customHeight="false" outlineLevel="0" collapsed="false">
      <c r="A376" s="16" t="n">
        <v>19.33162606</v>
      </c>
      <c r="B376" s="16" t="n">
        <v>68.51253427</v>
      </c>
      <c r="C376" s="16" t="n">
        <v>26.1696261050574</v>
      </c>
      <c r="D376" s="6" t="s">
        <v>66</v>
      </c>
      <c r="E376" s="6" t="s">
        <v>57</v>
      </c>
      <c r="F376" s="6" t="s">
        <v>23</v>
      </c>
      <c r="G376" s="6" t="s">
        <v>61</v>
      </c>
      <c r="H376" s="6" t="s">
        <v>63</v>
      </c>
      <c r="I376" s="6" t="str">
        <f aca="false">IF(A376&lt;Outliers!$E$6,"Low",IF(A376&gt;Outliers!$F$6,"High",""))</f>
        <v/>
      </c>
      <c r="J376" s="6" t="str">
        <f aca="false">IF(B376&lt;Outliers!$E$7,"Low",IF(B376&gt;Outliers!$F$7,"High",""))</f>
        <v/>
      </c>
      <c r="K376" s="6" t="str">
        <f aca="false">IF(C376&lt;Outliers!$E$8,"Low",IF(C376&gt;Outliers!$F$8,"High",""))</f>
        <v/>
      </c>
      <c r="L376" s="6" t="str">
        <f aca="false">A376&amp;";"&amp;B376&amp;";"&amp;C376</f>
        <v>19.33162606;68.51253427;26.1696261050574</v>
      </c>
      <c r="M376" s="6" t="n">
        <f aca="false">IF(COUNTIF($L$2:$L$2201,L376)&gt;1,1,0)</f>
        <v>0</v>
      </c>
      <c r="N376" s="6" t="str">
        <f aca="false">IF(AND(C376&lt;Assumptions!$B$9,B376&lt;Assumptions!$B$10),"Irrigate Now",IF(AND(C376&gt;=Assumptions!$B$11,B376&gt;=Assumptions!$B$12),"No Irrigation Needed","Monitor"))</f>
        <v>Monitor</v>
      </c>
      <c r="O376" s="6" t="n">
        <f aca="false">IF(N376=G376,1,0)</f>
        <v>1</v>
      </c>
    </row>
    <row r="377" customFormat="false" ht="15" hidden="false" customHeight="false" outlineLevel="0" collapsed="false">
      <c r="A377" s="16" t="n">
        <v>16.24469193</v>
      </c>
      <c r="B377" s="16" t="n">
        <v>66.97053257</v>
      </c>
      <c r="C377" s="16" t="n">
        <v>18.3553840038082</v>
      </c>
      <c r="D377" s="6" t="s">
        <v>66</v>
      </c>
      <c r="E377" s="6" t="s">
        <v>57</v>
      </c>
      <c r="F377" s="6" t="s">
        <v>24</v>
      </c>
      <c r="G377" s="6" t="s">
        <v>61</v>
      </c>
      <c r="H377" s="6" t="s">
        <v>63</v>
      </c>
      <c r="I377" s="6" t="str">
        <f aca="false">IF(A377&lt;Outliers!$E$6,"Low",IF(A377&gt;Outliers!$F$6,"High",""))</f>
        <v/>
      </c>
      <c r="J377" s="6" t="str">
        <f aca="false">IF(B377&lt;Outliers!$E$7,"Low",IF(B377&gt;Outliers!$F$7,"High",""))</f>
        <v/>
      </c>
      <c r="K377" s="6" t="str">
        <f aca="false">IF(C377&lt;Outliers!$E$8,"Low",IF(C377&gt;Outliers!$F$8,"High",""))</f>
        <v/>
      </c>
      <c r="L377" s="6" t="str">
        <f aca="false">A377&amp;";"&amp;B377&amp;";"&amp;C377</f>
        <v>16.24469193;66.97053257;18.3553840038082</v>
      </c>
      <c r="M377" s="6" t="n">
        <f aca="false">IF(COUNTIF($L$2:$L$2201,L377)&gt;1,1,0)</f>
        <v>0</v>
      </c>
      <c r="N377" s="6" t="str">
        <f aca="false">IF(AND(C377&lt;Assumptions!$B$9,B377&lt;Assumptions!$B$10),"Irrigate Now",IF(AND(C377&gt;=Assumptions!$B$11,B377&gt;=Assumptions!$B$12),"No Irrigation Needed","Monitor"))</f>
        <v>Monitor</v>
      </c>
      <c r="O377" s="6" t="n">
        <f aca="false">IF(N377=G377,1,0)</f>
        <v>1</v>
      </c>
    </row>
    <row r="378" customFormat="false" ht="15" hidden="false" customHeight="false" outlineLevel="0" collapsed="false">
      <c r="A378" s="16" t="n">
        <v>17.91652287</v>
      </c>
      <c r="B378" s="16" t="n">
        <v>69.14681022</v>
      </c>
      <c r="C378" s="16" t="n">
        <v>29.2824667028517</v>
      </c>
      <c r="D378" s="6" t="s">
        <v>66</v>
      </c>
      <c r="E378" s="6" t="s">
        <v>57</v>
      </c>
      <c r="F378" s="6" t="s">
        <v>23</v>
      </c>
      <c r="G378" s="6" t="s">
        <v>61</v>
      </c>
      <c r="H378" s="6" t="s">
        <v>63</v>
      </c>
      <c r="I378" s="6" t="str">
        <f aca="false">IF(A378&lt;Outliers!$E$6,"Low",IF(A378&gt;Outliers!$F$6,"High",""))</f>
        <v/>
      </c>
      <c r="J378" s="6" t="str">
        <f aca="false">IF(B378&lt;Outliers!$E$7,"Low",IF(B378&gt;Outliers!$F$7,"High",""))</f>
        <v/>
      </c>
      <c r="K378" s="6" t="str">
        <f aca="false">IF(C378&lt;Outliers!$E$8,"Low",IF(C378&gt;Outliers!$F$8,"High",""))</f>
        <v/>
      </c>
      <c r="L378" s="6" t="str">
        <f aca="false">A378&amp;";"&amp;B378&amp;";"&amp;C378</f>
        <v>17.91652287;69.14681022;29.2824667028517</v>
      </c>
      <c r="M378" s="6" t="n">
        <f aca="false">IF(COUNTIF($L$2:$L$2201,L378)&gt;1,1,0)</f>
        <v>0</v>
      </c>
      <c r="N378" s="6" t="str">
        <f aca="false">IF(AND(C378&lt;Assumptions!$B$9,B378&lt;Assumptions!$B$10),"Irrigate Now",IF(AND(C378&gt;=Assumptions!$B$11,B378&gt;=Assumptions!$B$12),"No Irrigation Needed","Monitor"))</f>
        <v>Monitor</v>
      </c>
      <c r="O378" s="6" t="n">
        <f aca="false">IF(N378=G378,1,0)</f>
        <v>1</v>
      </c>
    </row>
    <row r="379" customFormat="false" ht="15" hidden="false" customHeight="false" outlineLevel="0" collapsed="false">
      <c r="A379" s="16" t="n">
        <v>15.46789263</v>
      </c>
      <c r="B379" s="16" t="n">
        <v>88.88796102</v>
      </c>
      <c r="C379" s="16" t="n">
        <v>11.9831185116694</v>
      </c>
      <c r="D379" s="6" t="s">
        <v>66</v>
      </c>
      <c r="E379" s="6" t="s">
        <v>57</v>
      </c>
      <c r="F379" s="6" t="s">
        <v>24</v>
      </c>
      <c r="G379" s="6" t="s">
        <v>64</v>
      </c>
      <c r="H379" s="6" t="s">
        <v>65</v>
      </c>
      <c r="I379" s="6" t="str">
        <f aca="false">IF(A379&lt;Outliers!$E$6,"Low",IF(A379&gt;Outliers!$F$6,"High",""))</f>
        <v/>
      </c>
      <c r="J379" s="6" t="str">
        <f aca="false">IF(B379&lt;Outliers!$E$7,"Low",IF(B379&gt;Outliers!$F$7,"High",""))</f>
        <v/>
      </c>
      <c r="K379" s="6" t="str">
        <f aca="false">IF(C379&lt;Outliers!$E$8,"Low",IF(C379&gt;Outliers!$F$8,"High",""))</f>
        <v/>
      </c>
      <c r="L379" s="6" t="str">
        <f aca="false">A379&amp;";"&amp;B379&amp;";"&amp;C379</f>
        <v>15.46789263;88.88796102;11.9831185116694</v>
      </c>
      <c r="M379" s="6" t="n">
        <f aca="false">IF(COUNTIF($L$2:$L$2201,L379)&gt;1,1,0)</f>
        <v>0</v>
      </c>
      <c r="N379" s="6" t="str">
        <f aca="false">IF(AND(C379&lt;Assumptions!$B$9,B379&lt;Assumptions!$B$10),"Irrigate Now",IF(AND(C379&gt;=Assumptions!$B$11,B379&gt;=Assumptions!$B$12),"No Irrigation Needed","Monitor"))</f>
        <v>Irrigate Now</v>
      </c>
      <c r="O379" s="6" t="n">
        <f aca="false">IF(N379=G379,1,0)</f>
        <v>1</v>
      </c>
    </row>
    <row r="380" customFormat="false" ht="15" hidden="false" customHeight="false" outlineLevel="0" collapsed="false">
      <c r="A380" s="16" t="n">
        <v>17.06104474</v>
      </c>
      <c r="B380" s="16" t="n">
        <v>81.83420522</v>
      </c>
      <c r="C380" s="16" t="n">
        <v>17.9069174266436</v>
      </c>
      <c r="D380" s="6" t="s">
        <v>66</v>
      </c>
      <c r="E380" s="6" t="s">
        <v>57</v>
      </c>
      <c r="F380" s="6" t="s">
        <v>60</v>
      </c>
      <c r="G380" s="6" t="s">
        <v>64</v>
      </c>
      <c r="H380" s="6" t="s">
        <v>65</v>
      </c>
      <c r="I380" s="6" t="str">
        <f aca="false">IF(A380&lt;Outliers!$E$6,"Low",IF(A380&gt;Outliers!$F$6,"High",""))</f>
        <v/>
      </c>
      <c r="J380" s="6" t="str">
        <f aca="false">IF(B380&lt;Outliers!$E$7,"Low",IF(B380&gt;Outliers!$F$7,"High",""))</f>
        <v/>
      </c>
      <c r="K380" s="6" t="str">
        <f aca="false">IF(C380&lt;Outliers!$E$8,"Low",IF(C380&gt;Outliers!$F$8,"High",""))</f>
        <v/>
      </c>
      <c r="L380" s="6" t="str">
        <f aca="false">A380&amp;";"&amp;B380&amp;";"&amp;C380</f>
        <v>17.06104474;81.83420522;17.9069174266436</v>
      </c>
      <c r="M380" s="6" t="n">
        <f aca="false">IF(COUNTIF($L$2:$L$2201,L380)&gt;1,1,0)</f>
        <v>0</v>
      </c>
      <c r="N380" s="6" t="str">
        <f aca="false">IF(AND(C380&lt;Assumptions!$B$9,B380&lt;Assumptions!$B$10),"Irrigate Now",IF(AND(C380&gt;=Assumptions!$B$11,B380&gt;=Assumptions!$B$12),"No Irrigation Needed","Monitor"))</f>
        <v>Irrigate Now</v>
      </c>
      <c r="O380" s="6" t="n">
        <f aca="false">IF(N380=G380,1,0)</f>
        <v>1</v>
      </c>
    </row>
    <row r="381" customFormat="false" ht="15" hidden="false" customHeight="false" outlineLevel="0" collapsed="false">
      <c r="A381" s="16" t="n">
        <v>21.32776028</v>
      </c>
      <c r="B381" s="16" t="n">
        <v>109.1013261</v>
      </c>
      <c r="C381" s="16" t="n">
        <v>21.1618983884893</v>
      </c>
      <c r="D381" s="6" t="s">
        <v>57</v>
      </c>
      <c r="E381" s="6" t="s">
        <v>57</v>
      </c>
      <c r="F381" s="6" t="s">
        <v>60</v>
      </c>
      <c r="G381" s="6" t="s">
        <v>61</v>
      </c>
      <c r="H381" s="6" t="s">
        <v>63</v>
      </c>
      <c r="I381" s="6" t="str">
        <f aca="false">IF(A381&lt;Outliers!$E$6,"Low",IF(A381&gt;Outliers!$F$6,"High",""))</f>
        <v/>
      </c>
      <c r="J381" s="6" t="str">
        <f aca="false">IF(B381&lt;Outliers!$E$7,"Low",IF(B381&gt;Outliers!$F$7,"High",""))</f>
        <v/>
      </c>
      <c r="K381" s="6" t="str">
        <f aca="false">IF(C381&lt;Outliers!$E$8,"Low",IF(C381&gt;Outliers!$F$8,"High",""))</f>
        <v/>
      </c>
      <c r="L381" s="6" t="str">
        <f aca="false">A381&amp;";"&amp;B381&amp;";"&amp;C381</f>
        <v>21.32776028;109.1013261;21.1618983884893</v>
      </c>
      <c r="M381" s="6" t="n">
        <f aca="false">IF(COUNTIF($L$2:$L$2201,L381)&gt;1,1,0)</f>
        <v>0</v>
      </c>
      <c r="N381" s="6" t="str">
        <f aca="false">IF(AND(C381&lt;Assumptions!$B$9,B381&lt;Assumptions!$B$10),"Irrigate Now",IF(AND(C381&gt;=Assumptions!$B$11,B381&gt;=Assumptions!$B$12),"No Irrigation Needed","Monitor"))</f>
        <v>Monitor</v>
      </c>
      <c r="O381" s="6" t="n">
        <f aca="false">IF(N381=G381,1,0)</f>
        <v>1</v>
      </c>
    </row>
    <row r="382" customFormat="false" ht="15" hidden="false" customHeight="false" outlineLevel="0" collapsed="false">
      <c r="A382" s="16" t="n">
        <v>23.90910104</v>
      </c>
      <c r="B382" s="16" t="n">
        <v>81.60211243</v>
      </c>
      <c r="C382" s="16" t="n">
        <v>15.3530730184239</v>
      </c>
      <c r="D382" s="6" t="s">
        <v>57</v>
      </c>
      <c r="E382" s="6" t="s">
        <v>57</v>
      </c>
      <c r="F382" s="6" t="s">
        <v>24</v>
      </c>
      <c r="G382" s="6" t="s">
        <v>64</v>
      </c>
      <c r="H382" s="6" t="s">
        <v>65</v>
      </c>
      <c r="I382" s="6" t="str">
        <f aca="false">IF(A382&lt;Outliers!$E$6,"Low",IF(A382&gt;Outliers!$F$6,"High",""))</f>
        <v/>
      </c>
      <c r="J382" s="6" t="str">
        <f aca="false">IF(B382&lt;Outliers!$E$7,"Low",IF(B382&gt;Outliers!$F$7,"High",""))</f>
        <v/>
      </c>
      <c r="K382" s="6" t="str">
        <f aca="false">IF(C382&lt;Outliers!$E$8,"Low",IF(C382&gt;Outliers!$F$8,"High",""))</f>
        <v/>
      </c>
      <c r="L382" s="6" t="str">
        <f aca="false">A382&amp;";"&amp;B382&amp;";"&amp;C382</f>
        <v>23.90910104;81.60211243;15.3530730184239</v>
      </c>
      <c r="M382" s="6" t="n">
        <f aca="false">IF(COUNTIF($L$2:$L$2201,L382)&gt;1,1,0)</f>
        <v>0</v>
      </c>
      <c r="N382" s="6" t="str">
        <f aca="false">IF(AND(C382&lt;Assumptions!$B$9,B382&lt;Assumptions!$B$10),"Irrigate Now",IF(AND(C382&gt;=Assumptions!$B$11,B382&gt;=Assumptions!$B$12),"No Irrigation Needed","Monitor"))</f>
        <v>Irrigate Now</v>
      </c>
      <c r="O382" s="6" t="n">
        <f aca="false">IF(N382=G382,1,0)</f>
        <v>1</v>
      </c>
    </row>
    <row r="383" customFormat="false" ht="15" hidden="false" customHeight="false" outlineLevel="0" collapsed="false">
      <c r="A383" s="16" t="n">
        <v>23.89756791</v>
      </c>
      <c r="B383" s="16" t="n">
        <v>112.6616435</v>
      </c>
      <c r="C383" s="16" t="n">
        <v>13.788061540766</v>
      </c>
      <c r="D383" s="6" t="s">
        <v>57</v>
      </c>
      <c r="E383" s="6" t="s">
        <v>57</v>
      </c>
      <c r="F383" s="6" t="s">
        <v>24</v>
      </c>
      <c r="G383" s="6" t="s">
        <v>61</v>
      </c>
      <c r="H383" s="6" t="s">
        <v>63</v>
      </c>
      <c r="I383" s="6" t="str">
        <f aca="false">IF(A383&lt;Outliers!$E$6,"Low",IF(A383&gt;Outliers!$F$6,"High",""))</f>
        <v/>
      </c>
      <c r="J383" s="6" t="str">
        <f aca="false">IF(B383&lt;Outliers!$E$7,"Low",IF(B383&gt;Outliers!$F$7,"High",""))</f>
        <v/>
      </c>
      <c r="K383" s="6" t="str">
        <f aca="false">IF(C383&lt;Outliers!$E$8,"Low",IF(C383&gt;Outliers!$F$8,"High",""))</f>
        <v/>
      </c>
      <c r="L383" s="6" t="str">
        <f aca="false">A383&amp;";"&amp;B383&amp;";"&amp;C383</f>
        <v>23.89756791;112.6616435;13.788061540766</v>
      </c>
      <c r="M383" s="6" t="n">
        <f aca="false">IF(COUNTIF($L$2:$L$2201,L383)&gt;1,1,0)</f>
        <v>0</v>
      </c>
      <c r="N383" s="6" t="str">
        <f aca="false">IF(AND(C383&lt;Assumptions!$B$9,B383&lt;Assumptions!$B$10),"Irrigate Now",IF(AND(C383&gt;=Assumptions!$B$11,B383&gt;=Assumptions!$B$12),"No Irrigation Needed","Monitor"))</f>
        <v>Monitor</v>
      </c>
      <c r="O383" s="6" t="n">
        <f aca="false">IF(N383=G383,1,0)</f>
        <v>1</v>
      </c>
    </row>
    <row r="384" customFormat="false" ht="15" hidden="false" customHeight="false" outlineLevel="0" collapsed="false">
      <c r="A384" s="16" t="n">
        <v>22.98666928</v>
      </c>
      <c r="B384" s="16" t="n">
        <v>143.8584938</v>
      </c>
      <c r="C384" s="16" t="n">
        <v>13.2342111479843</v>
      </c>
      <c r="D384" s="6" t="s">
        <v>57</v>
      </c>
      <c r="E384" s="6" t="s">
        <v>57</v>
      </c>
      <c r="F384" s="6" t="s">
        <v>24</v>
      </c>
      <c r="G384" s="6" t="s">
        <v>61</v>
      </c>
      <c r="H384" s="6" t="s">
        <v>63</v>
      </c>
      <c r="I384" s="6" t="str">
        <f aca="false">IF(A384&lt;Outliers!$E$6,"Low",IF(A384&gt;Outliers!$F$6,"High",""))</f>
        <v/>
      </c>
      <c r="J384" s="6" t="str">
        <f aca="false">IF(B384&lt;Outliers!$E$7,"Low",IF(B384&gt;Outliers!$F$7,"High",""))</f>
        <v/>
      </c>
      <c r="K384" s="6" t="str">
        <f aca="false">IF(C384&lt;Outliers!$E$8,"Low",IF(C384&gt;Outliers!$F$8,"High",""))</f>
        <v/>
      </c>
      <c r="L384" s="6" t="str">
        <f aca="false">A384&amp;";"&amp;B384&amp;";"&amp;C384</f>
        <v>22.98666928;143.8584938;13.2342111479843</v>
      </c>
      <c r="M384" s="6" t="n">
        <f aca="false">IF(COUNTIF($L$2:$L$2201,L384)&gt;1,1,0)</f>
        <v>0</v>
      </c>
      <c r="N384" s="6" t="str">
        <f aca="false">IF(AND(C384&lt;Assumptions!$B$9,B384&lt;Assumptions!$B$10),"Irrigate Now",IF(AND(C384&gt;=Assumptions!$B$11,B384&gt;=Assumptions!$B$12),"No Irrigation Needed","Monitor"))</f>
        <v>Monitor</v>
      </c>
      <c r="O384" s="6" t="n">
        <f aca="false">IF(N384=G384,1,0)</f>
        <v>1</v>
      </c>
    </row>
    <row r="385" customFormat="false" ht="15" hidden="false" customHeight="false" outlineLevel="0" collapsed="false">
      <c r="A385" s="16" t="n">
        <v>21.35135729</v>
      </c>
      <c r="B385" s="16" t="n">
        <v>146.4548645</v>
      </c>
      <c r="C385" s="16" t="n">
        <v>21.7378386176379</v>
      </c>
      <c r="D385" s="6" t="s">
        <v>57</v>
      </c>
      <c r="E385" s="6" t="s">
        <v>57</v>
      </c>
      <c r="F385" s="6" t="s">
        <v>23</v>
      </c>
      <c r="G385" s="6" t="s">
        <v>61</v>
      </c>
      <c r="H385" s="6" t="s">
        <v>63</v>
      </c>
      <c r="I385" s="6" t="str">
        <f aca="false">IF(A385&lt;Outliers!$E$6,"Low",IF(A385&gt;Outliers!$F$6,"High",""))</f>
        <v/>
      </c>
      <c r="J385" s="6" t="str">
        <f aca="false">IF(B385&lt;Outliers!$E$7,"Low",IF(B385&gt;Outliers!$F$7,"High",""))</f>
        <v/>
      </c>
      <c r="K385" s="6" t="str">
        <f aca="false">IF(C385&lt;Outliers!$E$8,"Low",IF(C385&gt;Outliers!$F$8,"High",""))</f>
        <v/>
      </c>
      <c r="L385" s="6" t="str">
        <f aca="false">A385&amp;";"&amp;B385&amp;";"&amp;C385</f>
        <v>21.35135729;146.4548645;21.7378386176379</v>
      </c>
      <c r="M385" s="6" t="n">
        <f aca="false">IF(COUNTIF($L$2:$L$2201,L385)&gt;1,1,0)</f>
        <v>0</v>
      </c>
      <c r="N385" s="6" t="str">
        <f aca="false">IF(AND(C385&lt;Assumptions!$B$9,B385&lt;Assumptions!$B$10),"Irrigate Now",IF(AND(C385&gt;=Assumptions!$B$11,B385&gt;=Assumptions!$B$12),"No Irrigation Needed","Monitor"))</f>
        <v>Monitor</v>
      </c>
      <c r="O385" s="6" t="n">
        <f aca="false">IF(N385=G385,1,0)</f>
        <v>1</v>
      </c>
    </row>
    <row r="386" customFormat="false" ht="15" hidden="false" customHeight="false" outlineLevel="0" collapsed="false">
      <c r="A386" s="16" t="n">
        <v>24.1638445</v>
      </c>
      <c r="B386" s="16" t="n">
        <v>116.7324324</v>
      </c>
      <c r="C386" s="16" t="n">
        <v>27.8376389140819</v>
      </c>
      <c r="D386" s="6" t="s">
        <v>57</v>
      </c>
      <c r="E386" s="6" t="s">
        <v>57</v>
      </c>
      <c r="F386" s="6" t="s">
        <v>23</v>
      </c>
      <c r="G386" s="6" t="s">
        <v>58</v>
      </c>
      <c r="H386" s="6" t="s">
        <v>59</v>
      </c>
      <c r="I386" s="6" t="str">
        <f aca="false">IF(A386&lt;Outliers!$E$6,"Low",IF(A386&gt;Outliers!$F$6,"High",""))</f>
        <v/>
      </c>
      <c r="J386" s="6" t="str">
        <f aca="false">IF(B386&lt;Outliers!$E$7,"Low",IF(B386&gt;Outliers!$F$7,"High",""))</f>
        <v/>
      </c>
      <c r="K386" s="6" t="str">
        <f aca="false">IF(C386&lt;Outliers!$E$8,"Low",IF(C386&gt;Outliers!$F$8,"High",""))</f>
        <v/>
      </c>
      <c r="L386" s="6" t="str">
        <f aca="false">A386&amp;";"&amp;B386&amp;";"&amp;C386</f>
        <v>24.1638445;116.7324324;27.8376389140819</v>
      </c>
      <c r="M386" s="6" t="n">
        <f aca="false">IF(COUNTIF($L$2:$L$2201,L386)&gt;1,1,0)</f>
        <v>0</v>
      </c>
      <c r="N386" s="6" t="str">
        <f aca="false">IF(AND(C386&lt;Assumptions!$B$9,B386&lt;Assumptions!$B$10),"Irrigate Now",IF(AND(C386&gt;=Assumptions!$B$11,B386&gt;=Assumptions!$B$12),"No Irrigation Needed","Monitor"))</f>
        <v>No Irrigation Needed</v>
      </c>
      <c r="O386" s="6" t="n">
        <f aca="false">IF(N386=G386,1,0)</f>
        <v>1</v>
      </c>
    </row>
    <row r="387" customFormat="false" ht="15" hidden="false" customHeight="false" outlineLevel="0" collapsed="false">
      <c r="A387" s="16" t="n">
        <v>24.62835037</v>
      </c>
      <c r="B387" s="16" t="n">
        <v>149.7441028</v>
      </c>
      <c r="C387" s="16" t="n">
        <v>18.0111158974963</v>
      </c>
      <c r="D387" s="6" t="s">
        <v>57</v>
      </c>
      <c r="E387" s="6" t="s">
        <v>57</v>
      </c>
      <c r="F387" s="6" t="s">
        <v>60</v>
      </c>
      <c r="G387" s="6" t="s">
        <v>61</v>
      </c>
      <c r="H387" s="6" t="s">
        <v>63</v>
      </c>
      <c r="I387" s="6" t="str">
        <f aca="false">IF(A387&lt;Outliers!$E$6,"Low",IF(A387&gt;Outliers!$F$6,"High",""))</f>
        <v/>
      </c>
      <c r="J387" s="6" t="str">
        <f aca="false">IF(B387&lt;Outliers!$E$7,"Low",IF(B387&gt;Outliers!$F$7,"High",""))</f>
        <v/>
      </c>
      <c r="K387" s="6" t="str">
        <f aca="false">IF(C387&lt;Outliers!$E$8,"Low",IF(C387&gt;Outliers!$F$8,"High",""))</f>
        <v/>
      </c>
      <c r="L387" s="6" t="str">
        <f aca="false">A387&amp;";"&amp;B387&amp;";"&amp;C387</f>
        <v>24.62835037;149.7441028;18.0111158974963</v>
      </c>
      <c r="M387" s="6" t="n">
        <f aca="false">IF(COUNTIF($L$2:$L$2201,L387)&gt;1,1,0)</f>
        <v>0</v>
      </c>
      <c r="N387" s="6" t="str">
        <f aca="false">IF(AND(C387&lt;Assumptions!$B$9,B387&lt;Assumptions!$B$10),"Irrigate Now",IF(AND(C387&gt;=Assumptions!$B$11,B387&gt;=Assumptions!$B$12),"No Irrigation Needed","Monitor"))</f>
        <v>Monitor</v>
      </c>
      <c r="O387" s="6" t="n">
        <f aca="false">IF(N387=G387,1,0)</f>
        <v>1</v>
      </c>
    </row>
    <row r="388" customFormat="false" ht="15" hidden="false" customHeight="false" outlineLevel="0" collapsed="false">
      <c r="A388" s="16" t="n">
        <v>21.02213209</v>
      </c>
      <c r="B388" s="16" t="n">
        <v>124.6118471</v>
      </c>
      <c r="C388" s="16" t="n">
        <v>20.7434885365372</v>
      </c>
      <c r="D388" s="6" t="s">
        <v>57</v>
      </c>
      <c r="E388" s="6" t="s">
        <v>57</v>
      </c>
      <c r="F388" s="6" t="s">
        <v>60</v>
      </c>
      <c r="G388" s="6" t="s">
        <v>61</v>
      </c>
      <c r="H388" s="6" t="s">
        <v>63</v>
      </c>
      <c r="I388" s="6" t="str">
        <f aca="false">IF(A388&lt;Outliers!$E$6,"Low",IF(A388&gt;Outliers!$F$6,"High",""))</f>
        <v/>
      </c>
      <c r="J388" s="6" t="str">
        <f aca="false">IF(B388&lt;Outliers!$E$7,"Low",IF(B388&gt;Outliers!$F$7,"High",""))</f>
        <v/>
      </c>
      <c r="K388" s="6" t="str">
        <f aca="false">IF(C388&lt;Outliers!$E$8,"Low",IF(C388&gt;Outliers!$F$8,"High",""))</f>
        <v/>
      </c>
      <c r="L388" s="6" t="str">
        <f aca="false">A388&amp;";"&amp;B388&amp;";"&amp;C388</f>
        <v>21.02213209;124.6118471;20.7434885365372</v>
      </c>
      <c r="M388" s="6" t="n">
        <f aca="false">IF(COUNTIF($L$2:$L$2201,L388)&gt;1,1,0)</f>
        <v>0</v>
      </c>
      <c r="N388" s="6" t="str">
        <f aca="false">IF(AND(C388&lt;Assumptions!$B$9,B388&lt;Assumptions!$B$10),"Irrigate Now",IF(AND(C388&gt;=Assumptions!$B$11,B388&gt;=Assumptions!$B$12),"No Irrigation Needed","Monitor"))</f>
        <v>Monitor</v>
      </c>
      <c r="O388" s="6" t="n">
        <f aca="false">IF(N388=G388,1,0)</f>
        <v>1</v>
      </c>
    </row>
    <row r="389" customFormat="false" ht="15" hidden="false" customHeight="false" outlineLevel="0" collapsed="false">
      <c r="A389" s="16" t="n">
        <v>17.30844532</v>
      </c>
      <c r="B389" s="16" t="n">
        <v>115.199245</v>
      </c>
      <c r="C389" s="16" t="n">
        <v>28.1337866763874</v>
      </c>
      <c r="D389" s="6" t="s">
        <v>66</v>
      </c>
      <c r="E389" s="6" t="s">
        <v>57</v>
      </c>
      <c r="F389" s="6" t="s">
        <v>23</v>
      </c>
      <c r="G389" s="6" t="s">
        <v>58</v>
      </c>
      <c r="H389" s="6" t="s">
        <v>59</v>
      </c>
      <c r="I389" s="6" t="str">
        <f aca="false">IF(A389&lt;Outliers!$E$6,"Low",IF(A389&gt;Outliers!$F$6,"High",""))</f>
        <v/>
      </c>
      <c r="J389" s="6" t="str">
        <f aca="false">IF(B389&lt;Outliers!$E$7,"Low",IF(B389&gt;Outliers!$F$7,"High",""))</f>
        <v/>
      </c>
      <c r="K389" s="6" t="str">
        <f aca="false">IF(C389&lt;Outliers!$E$8,"Low",IF(C389&gt;Outliers!$F$8,"High",""))</f>
        <v/>
      </c>
      <c r="L389" s="6" t="str">
        <f aca="false">A389&amp;";"&amp;B389&amp;";"&amp;C389</f>
        <v>17.30844532;115.199245;28.1337866763874</v>
      </c>
      <c r="M389" s="6" t="n">
        <f aca="false">IF(COUNTIF($L$2:$L$2201,L389)&gt;1,1,0)</f>
        <v>0</v>
      </c>
      <c r="N389" s="6" t="str">
        <f aca="false">IF(AND(C389&lt;Assumptions!$B$9,B389&lt;Assumptions!$B$10),"Irrigate Now",IF(AND(C389&gt;=Assumptions!$B$11,B389&gt;=Assumptions!$B$12),"No Irrigation Needed","Monitor"))</f>
        <v>No Irrigation Needed</v>
      </c>
      <c r="O389" s="6" t="n">
        <f aca="false">IF(N389=G389,1,0)</f>
        <v>1</v>
      </c>
    </row>
    <row r="390" customFormat="false" ht="15" hidden="false" customHeight="false" outlineLevel="0" collapsed="false">
      <c r="A390" s="16" t="n">
        <v>23.82576704</v>
      </c>
      <c r="B390" s="16" t="n">
        <v>84.64143632</v>
      </c>
      <c r="C390" s="16" t="n">
        <v>12.7227514294313</v>
      </c>
      <c r="D390" s="6" t="s">
        <v>57</v>
      </c>
      <c r="E390" s="6" t="s">
        <v>57</v>
      </c>
      <c r="F390" s="6" t="s">
        <v>24</v>
      </c>
      <c r="G390" s="6" t="s">
        <v>64</v>
      </c>
      <c r="H390" s="6" t="s">
        <v>65</v>
      </c>
      <c r="I390" s="6" t="str">
        <f aca="false">IF(A390&lt;Outliers!$E$6,"Low",IF(A390&gt;Outliers!$F$6,"High",""))</f>
        <v/>
      </c>
      <c r="J390" s="6" t="str">
        <f aca="false">IF(B390&lt;Outliers!$E$7,"Low",IF(B390&gt;Outliers!$F$7,"High",""))</f>
        <v/>
      </c>
      <c r="K390" s="6" t="str">
        <f aca="false">IF(C390&lt;Outliers!$E$8,"Low",IF(C390&gt;Outliers!$F$8,"High",""))</f>
        <v/>
      </c>
      <c r="L390" s="6" t="str">
        <f aca="false">A390&amp;";"&amp;B390&amp;";"&amp;C390</f>
        <v>23.82576704;84.64143632;12.7227514294313</v>
      </c>
      <c r="M390" s="6" t="n">
        <f aca="false">IF(COUNTIF($L$2:$L$2201,L390)&gt;1,1,0)</f>
        <v>0</v>
      </c>
      <c r="N390" s="6" t="str">
        <f aca="false">IF(AND(C390&lt;Assumptions!$B$9,B390&lt;Assumptions!$B$10),"Irrigate Now",IF(AND(C390&gt;=Assumptions!$B$11,B390&gt;=Assumptions!$B$12),"No Irrigation Needed","Monitor"))</f>
        <v>Irrigate Now</v>
      </c>
      <c r="O390" s="6" t="n">
        <f aca="false">IF(N390=G390,1,0)</f>
        <v>1</v>
      </c>
    </row>
    <row r="391" customFormat="false" ht="15" hidden="false" customHeight="false" outlineLevel="0" collapsed="false">
      <c r="A391" s="16" t="n">
        <v>19.30607278</v>
      </c>
      <c r="B391" s="16" t="n">
        <v>129.3449326</v>
      </c>
      <c r="C391" s="16" t="n">
        <v>12.5311246371444</v>
      </c>
      <c r="D391" s="6" t="s">
        <v>66</v>
      </c>
      <c r="E391" s="6" t="s">
        <v>57</v>
      </c>
      <c r="F391" s="6" t="s">
        <v>24</v>
      </c>
      <c r="G391" s="6" t="s">
        <v>61</v>
      </c>
      <c r="H391" s="6" t="s">
        <v>63</v>
      </c>
      <c r="I391" s="6" t="str">
        <f aca="false">IF(A391&lt;Outliers!$E$6,"Low",IF(A391&gt;Outliers!$F$6,"High",""))</f>
        <v/>
      </c>
      <c r="J391" s="6" t="str">
        <f aca="false">IF(B391&lt;Outliers!$E$7,"Low",IF(B391&gt;Outliers!$F$7,"High",""))</f>
        <v/>
      </c>
      <c r="K391" s="6" t="str">
        <f aca="false">IF(C391&lt;Outliers!$E$8,"Low",IF(C391&gt;Outliers!$F$8,"High",""))</f>
        <v/>
      </c>
      <c r="L391" s="6" t="str">
        <f aca="false">A391&amp;";"&amp;B391&amp;";"&amp;C391</f>
        <v>19.30607278;129.3449326;12.5311246371444</v>
      </c>
      <c r="M391" s="6" t="n">
        <f aca="false">IF(COUNTIF($L$2:$L$2201,L391)&gt;1,1,0)</f>
        <v>0</v>
      </c>
      <c r="N391" s="6" t="str">
        <f aca="false">IF(AND(C391&lt;Assumptions!$B$9,B391&lt;Assumptions!$B$10),"Irrigate Now",IF(AND(C391&gt;=Assumptions!$B$11,B391&gt;=Assumptions!$B$12),"No Irrigation Needed","Monitor"))</f>
        <v>Monitor</v>
      </c>
      <c r="O391" s="6" t="n">
        <f aca="false">IF(N391=G391,1,0)</f>
        <v>1</v>
      </c>
    </row>
    <row r="392" customFormat="false" ht="15" hidden="false" customHeight="false" outlineLevel="0" collapsed="false">
      <c r="A392" s="16" t="n">
        <v>16.03768615</v>
      </c>
      <c r="B392" s="16" t="n">
        <v>130.3900798</v>
      </c>
      <c r="C392" s="16" t="n">
        <v>14.9772435568559</v>
      </c>
      <c r="D392" s="6" t="s">
        <v>66</v>
      </c>
      <c r="E392" s="6" t="s">
        <v>57</v>
      </c>
      <c r="F392" s="6" t="s">
        <v>24</v>
      </c>
      <c r="G392" s="6" t="s">
        <v>61</v>
      </c>
      <c r="H392" s="6" t="s">
        <v>63</v>
      </c>
      <c r="I392" s="6" t="str">
        <f aca="false">IF(A392&lt;Outliers!$E$6,"Low",IF(A392&gt;Outliers!$F$6,"High",""))</f>
        <v/>
      </c>
      <c r="J392" s="6" t="str">
        <f aca="false">IF(B392&lt;Outliers!$E$7,"Low",IF(B392&gt;Outliers!$F$7,"High",""))</f>
        <v/>
      </c>
      <c r="K392" s="6" t="str">
        <f aca="false">IF(C392&lt;Outliers!$E$8,"Low",IF(C392&gt;Outliers!$F$8,"High",""))</f>
        <v/>
      </c>
      <c r="L392" s="6" t="str">
        <f aca="false">A392&amp;";"&amp;B392&amp;";"&amp;C392</f>
        <v>16.03768615;130.3900798;14.9772435568559</v>
      </c>
      <c r="M392" s="6" t="n">
        <f aca="false">IF(COUNTIF($L$2:$L$2201,L392)&gt;1,1,0)</f>
        <v>0</v>
      </c>
      <c r="N392" s="6" t="str">
        <f aca="false">IF(AND(C392&lt;Assumptions!$B$9,B392&lt;Assumptions!$B$10),"Irrigate Now",IF(AND(C392&gt;=Assumptions!$B$11,B392&gt;=Assumptions!$B$12),"No Irrigation Needed","Monitor"))</f>
        <v>Monitor</v>
      </c>
      <c r="O392" s="6" t="n">
        <f aca="false">IF(N392=G392,1,0)</f>
        <v>1</v>
      </c>
    </row>
    <row r="393" customFormat="false" ht="15" hidden="false" customHeight="false" outlineLevel="0" collapsed="false">
      <c r="A393" s="16" t="n">
        <v>19.18572809</v>
      </c>
      <c r="B393" s="16" t="n">
        <v>80.15293435</v>
      </c>
      <c r="C393" s="16" t="n">
        <v>26.0383605449515</v>
      </c>
      <c r="D393" s="6" t="s">
        <v>66</v>
      </c>
      <c r="E393" s="6" t="s">
        <v>57</v>
      </c>
      <c r="F393" s="6" t="s">
        <v>23</v>
      </c>
      <c r="G393" s="6" t="s">
        <v>61</v>
      </c>
      <c r="H393" s="6" t="s">
        <v>63</v>
      </c>
      <c r="I393" s="6" t="str">
        <f aca="false">IF(A393&lt;Outliers!$E$6,"Low",IF(A393&gt;Outliers!$F$6,"High",""))</f>
        <v/>
      </c>
      <c r="J393" s="6" t="str">
        <f aca="false">IF(B393&lt;Outliers!$E$7,"Low",IF(B393&gt;Outliers!$F$7,"High",""))</f>
        <v/>
      </c>
      <c r="K393" s="6" t="str">
        <f aca="false">IF(C393&lt;Outliers!$E$8,"Low",IF(C393&gt;Outliers!$F$8,"High",""))</f>
        <v/>
      </c>
      <c r="L393" s="6" t="str">
        <f aca="false">A393&amp;";"&amp;B393&amp;";"&amp;C393</f>
        <v>19.18572809;80.15293435;26.0383605449515</v>
      </c>
      <c r="M393" s="6" t="n">
        <f aca="false">IF(COUNTIF($L$2:$L$2201,L393)&gt;1,1,0)</f>
        <v>0</v>
      </c>
      <c r="N393" s="6" t="str">
        <f aca="false">IF(AND(C393&lt;Assumptions!$B$9,B393&lt;Assumptions!$B$10),"Irrigate Now",IF(AND(C393&gt;=Assumptions!$B$11,B393&gt;=Assumptions!$B$12),"No Irrigation Needed","Monitor"))</f>
        <v>Monitor</v>
      </c>
      <c r="O393" s="6" t="n">
        <f aca="false">IF(N393=G393,1,0)</f>
        <v>1</v>
      </c>
    </row>
    <row r="394" customFormat="false" ht="15" hidden="false" customHeight="false" outlineLevel="0" collapsed="false">
      <c r="A394" s="16" t="n">
        <v>19.92889503</v>
      </c>
      <c r="B394" s="16" t="n">
        <v>64.02640797</v>
      </c>
      <c r="C394" s="16" t="n">
        <v>29.0072865890685</v>
      </c>
      <c r="D394" s="6" t="s">
        <v>66</v>
      </c>
      <c r="E394" s="6" t="s">
        <v>57</v>
      </c>
      <c r="F394" s="6" t="s">
        <v>23</v>
      </c>
      <c r="G394" s="6" t="s">
        <v>61</v>
      </c>
      <c r="H394" s="6" t="s">
        <v>63</v>
      </c>
      <c r="I394" s="6" t="str">
        <f aca="false">IF(A394&lt;Outliers!$E$6,"Low",IF(A394&gt;Outliers!$F$6,"High",""))</f>
        <v/>
      </c>
      <c r="J394" s="6" t="str">
        <f aca="false">IF(B394&lt;Outliers!$E$7,"Low",IF(B394&gt;Outliers!$F$7,"High",""))</f>
        <v/>
      </c>
      <c r="K394" s="6" t="str">
        <f aca="false">IF(C394&lt;Outliers!$E$8,"Low",IF(C394&gt;Outliers!$F$8,"High",""))</f>
        <v/>
      </c>
      <c r="L394" s="6" t="str">
        <f aca="false">A394&amp;";"&amp;B394&amp;";"&amp;C394</f>
        <v>19.92889503;64.02640797;29.0072865890685</v>
      </c>
      <c r="M394" s="6" t="n">
        <f aca="false">IF(COUNTIF($L$2:$L$2201,L394)&gt;1,1,0)</f>
        <v>0</v>
      </c>
      <c r="N394" s="6" t="str">
        <f aca="false">IF(AND(C394&lt;Assumptions!$B$9,B394&lt;Assumptions!$B$10),"Irrigate Now",IF(AND(C394&gt;=Assumptions!$B$11,B394&gt;=Assumptions!$B$12),"No Irrigation Needed","Monitor"))</f>
        <v>Monitor</v>
      </c>
      <c r="O394" s="6" t="n">
        <f aca="false">IF(N394=G394,1,0)</f>
        <v>1</v>
      </c>
    </row>
    <row r="395" customFormat="false" ht="15" hidden="false" customHeight="false" outlineLevel="0" collapsed="false">
      <c r="A395" s="16" t="n">
        <v>19.56376468</v>
      </c>
      <c r="B395" s="16" t="n">
        <v>139.2921004</v>
      </c>
      <c r="C395" s="16" t="n">
        <v>11.3163667375018</v>
      </c>
      <c r="D395" s="6" t="s">
        <v>66</v>
      </c>
      <c r="E395" s="6" t="s">
        <v>57</v>
      </c>
      <c r="F395" s="6" t="s">
        <v>24</v>
      </c>
      <c r="G395" s="6" t="s">
        <v>61</v>
      </c>
      <c r="H395" s="6" t="s">
        <v>63</v>
      </c>
      <c r="I395" s="6" t="str">
        <f aca="false">IF(A395&lt;Outliers!$E$6,"Low",IF(A395&gt;Outliers!$F$6,"High",""))</f>
        <v/>
      </c>
      <c r="J395" s="6" t="str">
        <f aca="false">IF(B395&lt;Outliers!$E$7,"Low",IF(B395&gt;Outliers!$F$7,"High",""))</f>
        <v/>
      </c>
      <c r="K395" s="6" t="str">
        <f aca="false">IF(C395&lt;Outliers!$E$8,"Low",IF(C395&gt;Outliers!$F$8,"High",""))</f>
        <v/>
      </c>
      <c r="L395" s="6" t="str">
        <f aca="false">A395&amp;";"&amp;B395&amp;";"&amp;C395</f>
        <v>19.56376468;139.2921004;11.3163667375018</v>
      </c>
      <c r="M395" s="6" t="n">
        <f aca="false">IF(COUNTIF($L$2:$L$2201,L395)&gt;1,1,0)</f>
        <v>0</v>
      </c>
      <c r="N395" s="6" t="str">
        <f aca="false">IF(AND(C395&lt;Assumptions!$B$9,B395&lt;Assumptions!$B$10),"Irrigate Now",IF(AND(C395&gt;=Assumptions!$B$11,B395&gt;=Assumptions!$B$12),"No Irrigation Needed","Monitor"))</f>
        <v>Monitor</v>
      </c>
      <c r="O395" s="6" t="n">
        <f aca="false">IF(N395=G395,1,0)</f>
        <v>1</v>
      </c>
    </row>
    <row r="396" customFormat="false" ht="15" hidden="false" customHeight="false" outlineLevel="0" collapsed="false">
      <c r="A396" s="16" t="n">
        <v>18.31357543</v>
      </c>
      <c r="B396" s="16" t="n">
        <v>76.14153904</v>
      </c>
      <c r="C396" s="16" t="n">
        <v>23.2913323489082</v>
      </c>
      <c r="D396" s="6" t="s">
        <v>66</v>
      </c>
      <c r="E396" s="6" t="s">
        <v>57</v>
      </c>
      <c r="F396" s="6" t="s">
        <v>60</v>
      </c>
      <c r="G396" s="6" t="s">
        <v>61</v>
      </c>
      <c r="H396" s="6" t="s">
        <v>63</v>
      </c>
      <c r="I396" s="6" t="str">
        <f aca="false">IF(A396&lt;Outliers!$E$6,"Low",IF(A396&gt;Outliers!$F$6,"High",""))</f>
        <v/>
      </c>
      <c r="J396" s="6" t="str">
        <f aca="false">IF(B396&lt;Outliers!$E$7,"Low",IF(B396&gt;Outliers!$F$7,"High",""))</f>
        <v/>
      </c>
      <c r="K396" s="6" t="str">
        <f aca="false">IF(C396&lt;Outliers!$E$8,"Low",IF(C396&gt;Outliers!$F$8,"High",""))</f>
        <v/>
      </c>
      <c r="L396" s="6" t="str">
        <f aca="false">A396&amp;";"&amp;B396&amp;";"&amp;C396</f>
        <v>18.31357543;76.14153904;23.2913323489082</v>
      </c>
      <c r="M396" s="6" t="n">
        <f aca="false">IF(COUNTIF($L$2:$L$2201,L396)&gt;1,1,0)</f>
        <v>0</v>
      </c>
      <c r="N396" s="6" t="str">
        <f aca="false">IF(AND(C396&lt;Assumptions!$B$9,B396&lt;Assumptions!$B$10),"Irrigate Now",IF(AND(C396&gt;=Assumptions!$B$11,B396&gt;=Assumptions!$B$12),"No Irrigation Needed","Monitor"))</f>
        <v>Monitor</v>
      </c>
      <c r="O396" s="6" t="n">
        <f aca="false">IF(N396=G396,1,0)</f>
        <v>1</v>
      </c>
    </row>
    <row r="397" customFormat="false" ht="15" hidden="false" customHeight="false" outlineLevel="0" collapsed="false">
      <c r="A397" s="16" t="n">
        <v>20.10993761</v>
      </c>
      <c r="B397" s="16" t="n">
        <v>73.36386477</v>
      </c>
      <c r="C397" s="16" t="n">
        <v>17.9467148436314</v>
      </c>
      <c r="D397" s="6" t="s">
        <v>57</v>
      </c>
      <c r="E397" s="6" t="s">
        <v>57</v>
      </c>
      <c r="F397" s="6" t="s">
        <v>24</v>
      </c>
      <c r="G397" s="6" t="s">
        <v>64</v>
      </c>
      <c r="H397" s="6" t="s">
        <v>65</v>
      </c>
      <c r="I397" s="6" t="str">
        <f aca="false">IF(A397&lt;Outliers!$E$6,"Low",IF(A397&gt;Outliers!$F$6,"High",""))</f>
        <v/>
      </c>
      <c r="J397" s="6" t="str">
        <f aca="false">IF(B397&lt;Outliers!$E$7,"Low",IF(B397&gt;Outliers!$F$7,"High",""))</f>
        <v/>
      </c>
      <c r="K397" s="6" t="str">
        <f aca="false">IF(C397&lt;Outliers!$E$8,"Low",IF(C397&gt;Outliers!$F$8,"High",""))</f>
        <v/>
      </c>
      <c r="L397" s="6" t="str">
        <f aca="false">A397&amp;";"&amp;B397&amp;";"&amp;C397</f>
        <v>20.10993761;73.36386477;17.9467148436314</v>
      </c>
      <c r="M397" s="6" t="n">
        <f aca="false">IF(COUNTIF($L$2:$L$2201,L397)&gt;1,1,0)</f>
        <v>0</v>
      </c>
      <c r="N397" s="6" t="str">
        <f aca="false">IF(AND(C397&lt;Assumptions!$B$9,B397&lt;Assumptions!$B$10),"Irrigate Now",IF(AND(C397&gt;=Assumptions!$B$11,B397&gt;=Assumptions!$B$12),"No Irrigation Needed","Monitor"))</f>
        <v>Irrigate Now</v>
      </c>
      <c r="O397" s="6" t="n">
        <f aca="false">IF(N397=G397,1,0)</f>
        <v>1</v>
      </c>
    </row>
    <row r="398" customFormat="false" ht="15" hidden="false" customHeight="false" outlineLevel="0" collapsed="false">
      <c r="A398" s="16" t="n">
        <v>23.60506572</v>
      </c>
      <c r="B398" s="16" t="n">
        <v>100.5978728</v>
      </c>
      <c r="C398" s="16" t="n">
        <v>19.4909396624283</v>
      </c>
      <c r="D398" s="6" t="s">
        <v>57</v>
      </c>
      <c r="E398" s="6" t="s">
        <v>57</v>
      </c>
      <c r="F398" s="6" t="s">
        <v>60</v>
      </c>
      <c r="G398" s="6" t="s">
        <v>61</v>
      </c>
      <c r="H398" s="6" t="s">
        <v>63</v>
      </c>
      <c r="I398" s="6" t="str">
        <f aca="false">IF(A398&lt;Outliers!$E$6,"Low",IF(A398&gt;Outliers!$F$6,"High",""))</f>
        <v/>
      </c>
      <c r="J398" s="6" t="str">
        <f aca="false">IF(B398&lt;Outliers!$E$7,"Low",IF(B398&gt;Outliers!$F$7,"High",""))</f>
        <v/>
      </c>
      <c r="K398" s="6" t="str">
        <f aca="false">IF(C398&lt;Outliers!$E$8,"Low",IF(C398&gt;Outliers!$F$8,"High",""))</f>
        <v/>
      </c>
      <c r="L398" s="6" t="str">
        <f aca="false">A398&amp;";"&amp;B398&amp;";"&amp;C398</f>
        <v>23.60506572;100.5978728;19.4909396624283</v>
      </c>
      <c r="M398" s="6" t="n">
        <f aca="false">IF(COUNTIF($L$2:$L$2201,L398)&gt;1,1,0)</f>
        <v>0</v>
      </c>
      <c r="N398" s="6" t="str">
        <f aca="false">IF(AND(C398&lt;Assumptions!$B$9,B398&lt;Assumptions!$B$10),"Irrigate Now",IF(AND(C398&gt;=Assumptions!$B$11,B398&gt;=Assumptions!$B$12),"No Irrigation Needed","Monitor"))</f>
        <v>Monitor</v>
      </c>
      <c r="O398" s="6" t="n">
        <f aca="false">IF(N398=G398,1,0)</f>
        <v>1</v>
      </c>
    </row>
    <row r="399" customFormat="false" ht="15" hidden="false" customHeight="false" outlineLevel="0" collapsed="false">
      <c r="A399" s="16" t="n">
        <v>19.73136909</v>
      </c>
      <c r="B399" s="16" t="n">
        <v>84.06354115</v>
      </c>
      <c r="C399" s="16" t="n">
        <v>11.6537818735356</v>
      </c>
      <c r="D399" s="6" t="s">
        <v>66</v>
      </c>
      <c r="E399" s="6" t="s">
        <v>57</v>
      </c>
      <c r="F399" s="6" t="s">
        <v>24</v>
      </c>
      <c r="G399" s="6" t="s">
        <v>64</v>
      </c>
      <c r="H399" s="6" t="s">
        <v>65</v>
      </c>
      <c r="I399" s="6" t="str">
        <f aca="false">IF(A399&lt;Outliers!$E$6,"Low",IF(A399&gt;Outliers!$F$6,"High",""))</f>
        <v/>
      </c>
      <c r="J399" s="6" t="str">
        <f aca="false">IF(B399&lt;Outliers!$E$7,"Low",IF(B399&gt;Outliers!$F$7,"High",""))</f>
        <v/>
      </c>
      <c r="K399" s="6" t="str">
        <f aca="false">IF(C399&lt;Outliers!$E$8,"Low",IF(C399&gt;Outliers!$F$8,"High",""))</f>
        <v/>
      </c>
      <c r="L399" s="6" t="str">
        <f aca="false">A399&amp;";"&amp;B399&amp;";"&amp;C399</f>
        <v>19.73136909;84.06354115;11.6537818735356</v>
      </c>
      <c r="M399" s="6" t="n">
        <f aca="false">IF(COUNTIF($L$2:$L$2201,L399)&gt;1,1,0)</f>
        <v>0</v>
      </c>
      <c r="N399" s="6" t="str">
        <f aca="false">IF(AND(C399&lt;Assumptions!$B$9,B399&lt;Assumptions!$B$10),"Irrigate Now",IF(AND(C399&gt;=Assumptions!$B$11,B399&gt;=Assumptions!$B$12),"No Irrigation Needed","Monitor"))</f>
        <v>Irrigate Now</v>
      </c>
      <c r="O399" s="6" t="n">
        <f aca="false">IF(N399=G399,1,0)</f>
        <v>1</v>
      </c>
    </row>
    <row r="400" customFormat="false" ht="15" hidden="false" customHeight="false" outlineLevel="0" collapsed="false">
      <c r="A400" s="16" t="n">
        <v>20.93409877</v>
      </c>
      <c r="B400" s="16" t="n">
        <v>133.1914419</v>
      </c>
      <c r="C400" s="16" t="n">
        <v>24.230694654991</v>
      </c>
      <c r="D400" s="6" t="s">
        <v>57</v>
      </c>
      <c r="E400" s="6" t="s">
        <v>57</v>
      </c>
      <c r="F400" s="6" t="s">
        <v>23</v>
      </c>
      <c r="G400" s="6" t="s">
        <v>61</v>
      </c>
      <c r="H400" s="6" t="s">
        <v>63</v>
      </c>
      <c r="I400" s="6" t="str">
        <f aca="false">IF(A400&lt;Outliers!$E$6,"Low",IF(A400&gt;Outliers!$F$6,"High",""))</f>
        <v/>
      </c>
      <c r="J400" s="6" t="str">
        <f aca="false">IF(B400&lt;Outliers!$E$7,"Low",IF(B400&gt;Outliers!$F$7,"High",""))</f>
        <v/>
      </c>
      <c r="K400" s="6" t="str">
        <f aca="false">IF(C400&lt;Outliers!$E$8,"Low",IF(C400&gt;Outliers!$F$8,"High",""))</f>
        <v/>
      </c>
      <c r="L400" s="6" t="str">
        <f aca="false">A400&amp;";"&amp;B400&amp;";"&amp;C400</f>
        <v>20.93409877;133.1914419;24.230694654991</v>
      </c>
      <c r="M400" s="6" t="n">
        <f aca="false">IF(COUNTIF($L$2:$L$2201,L400)&gt;1,1,0)</f>
        <v>0</v>
      </c>
      <c r="N400" s="6" t="str">
        <f aca="false">IF(AND(C400&lt;Assumptions!$B$9,B400&lt;Assumptions!$B$10),"Irrigate Now",IF(AND(C400&gt;=Assumptions!$B$11,B400&gt;=Assumptions!$B$12),"No Irrigation Needed","Monitor"))</f>
        <v>Monitor</v>
      </c>
      <c r="O400" s="6" t="n">
        <f aca="false">IF(N400=G400,1,0)</f>
        <v>1</v>
      </c>
    </row>
    <row r="401" customFormat="false" ht="15" hidden="false" customHeight="false" outlineLevel="0" collapsed="false">
      <c r="A401" s="16" t="n">
        <v>18.78226261</v>
      </c>
      <c r="B401" s="16" t="n">
        <v>104.2570723</v>
      </c>
      <c r="C401" s="16" t="n">
        <v>13.7997522249361</v>
      </c>
      <c r="D401" s="6" t="s">
        <v>66</v>
      </c>
      <c r="E401" s="6" t="s">
        <v>57</v>
      </c>
      <c r="F401" s="6" t="s">
        <v>24</v>
      </c>
      <c r="G401" s="6" t="s">
        <v>61</v>
      </c>
      <c r="H401" s="6" t="s">
        <v>63</v>
      </c>
      <c r="I401" s="6" t="str">
        <f aca="false">IF(A401&lt;Outliers!$E$6,"Low",IF(A401&gt;Outliers!$F$6,"High",""))</f>
        <v/>
      </c>
      <c r="J401" s="6" t="str">
        <f aca="false">IF(B401&lt;Outliers!$E$7,"Low",IF(B401&gt;Outliers!$F$7,"High",""))</f>
        <v/>
      </c>
      <c r="K401" s="6" t="str">
        <f aca="false">IF(C401&lt;Outliers!$E$8,"Low",IF(C401&gt;Outliers!$F$8,"High",""))</f>
        <v/>
      </c>
      <c r="L401" s="6" t="str">
        <f aca="false">A401&amp;";"&amp;B401&amp;";"&amp;C401</f>
        <v>18.78226261;104.2570723;13.7997522249361</v>
      </c>
      <c r="M401" s="6" t="n">
        <f aca="false">IF(COUNTIF($L$2:$L$2201,L401)&gt;1,1,0)</f>
        <v>0</v>
      </c>
      <c r="N401" s="6" t="str">
        <f aca="false">IF(AND(C401&lt;Assumptions!$B$9,B401&lt;Assumptions!$B$10),"Irrigate Now",IF(AND(C401&gt;=Assumptions!$B$11,B401&gt;=Assumptions!$B$12),"No Irrigation Needed","Monitor"))</f>
        <v>Monitor</v>
      </c>
      <c r="O401" s="6" t="n">
        <f aca="false">IF(N401=G401,1,0)</f>
        <v>1</v>
      </c>
    </row>
    <row r="402" customFormat="false" ht="15" hidden="false" customHeight="false" outlineLevel="0" collapsed="false">
      <c r="A402" s="16" t="n">
        <v>36.51268371</v>
      </c>
      <c r="B402" s="16" t="n">
        <v>122.6539694</v>
      </c>
      <c r="C402" s="16" t="n">
        <v>12.3007969962189</v>
      </c>
      <c r="D402" s="6" t="s">
        <v>67</v>
      </c>
      <c r="E402" s="6" t="s">
        <v>57</v>
      </c>
      <c r="F402" s="6" t="s">
        <v>24</v>
      </c>
      <c r="G402" s="6" t="s">
        <v>61</v>
      </c>
      <c r="H402" s="6" t="s">
        <v>68</v>
      </c>
      <c r="I402" s="6" t="str">
        <f aca="false">IF(A402&lt;Outliers!$E$6,"Low",IF(A402&gt;Outliers!$F$6,"High",""))</f>
        <v/>
      </c>
      <c r="J402" s="6" t="str">
        <f aca="false">IF(B402&lt;Outliers!$E$7,"Low",IF(B402&gt;Outliers!$F$7,"High",""))</f>
        <v/>
      </c>
      <c r="K402" s="6" t="str">
        <f aca="false">IF(C402&lt;Outliers!$E$8,"Low",IF(C402&gt;Outliers!$F$8,"High",""))</f>
        <v/>
      </c>
      <c r="L402" s="6" t="str">
        <f aca="false">A402&amp;";"&amp;B402&amp;";"&amp;C402</f>
        <v>36.51268371;122.6539694;12.3007969962189</v>
      </c>
      <c r="M402" s="6" t="n">
        <f aca="false">IF(COUNTIF($L$2:$L$2201,L402)&gt;1,1,0)</f>
        <v>0</v>
      </c>
      <c r="N402" s="6" t="str">
        <f aca="false">IF(AND(C402&lt;Assumptions!$B$9,B402&lt;Assumptions!$B$10),"Irrigate Now",IF(AND(C402&gt;=Assumptions!$B$11,B402&gt;=Assumptions!$B$12),"No Irrigation Needed","Monitor"))</f>
        <v>Monitor</v>
      </c>
      <c r="O402" s="6" t="n">
        <f aca="false">IF(N402=G402,1,0)</f>
        <v>1</v>
      </c>
    </row>
    <row r="403" customFormat="false" ht="15" hidden="false" customHeight="false" outlineLevel="0" collapsed="false">
      <c r="A403" s="16" t="n">
        <v>36.89163721</v>
      </c>
      <c r="B403" s="16" t="n">
        <v>163.7266551</v>
      </c>
      <c r="C403" s="16" t="n">
        <v>21.6904699677803</v>
      </c>
      <c r="D403" s="6" t="s">
        <v>67</v>
      </c>
      <c r="E403" s="6" t="s">
        <v>24</v>
      </c>
      <c r="F403" s="6" t="s">
        <v>23</v>
      </c>
      <c r="G403" s="6" t="s">
        <v>61</v>
      </c>
      <c r="H403" s="6" t="s">
        <v>68</v>
      </c>
      <c r="I403" s="6" t="str">
        <f aca="false">IF(A403&lt;Outliers!$E$6,"Low",IF(A403&gt;Outliers!$F$6,"High",""))</f>
        <v/>
      </c>
      <c r="J403" s="6" t="str">
        <f aca="false">IF(B403&lt;Outliers!$E$7,"Low",IF(B403&gt;Outliers!$F$7,"High",""))</f>
        <v/>
      </c>
      <c r="K403" s="6" t="str">
        <f aca="false">IF(C403&lt;Outliers!$E$8,"Low",IF(C403&gt;Outliers!$F$8,"High",""))</f>
        <v/>
      </c>
      <c r="L403" s="6" t="str">
        <f aca="false">A403&amp;";"&amp;B403&amp;";"&amp;C403</f>
        <v>36.89163721;163.7266551;21.6904699677803</v>
      </c>
      <c r="M403" s="6" t="n">
        <f aca="false">IF(COUNTIF($L$2:$L$2201,L403)&gt;1,1,0)</f>
        <v>0</v>
      </c>
      <c r="N403" s="6" t="str">
        <f aca="false">IF(AND(C403&lt;Assumptions!$B$9,B403&lt;Assumptions!$B$10),"Irrigate Now",IF(AND(C403&gt;=Assumptions!$B$11,B403&gt;=Assumptions!$B$12),"No Irrigation Needed","Monitor"))</f>
        <v>Monitor</v>
      </c>
      <c r="O403" s="6" t="n">
        <f aca="false">IF(N403=G403,1,0)</f>
        <v>1</v>
      </c>
    </row>
    <row r="404" customFormat="false" ht="15" hidden="false" customHeight="false" outlineLevel="0" collapsed="false">
      <c r="A404" s="16" t="n">
        <v>29.23540524</v>
      </c>
      <c r="B404" s="16" t="n">
        <v>103.3301803</v>
      </c>
      <c r="C404" s="16" t="n">
        <v>27.2055361129535</v>
      </c>
      <c r="D404" s="6" t="s">
        <v>57</v>
      </c>
      <c r="E404" s="6" t="s">
        <v>57</v>
      </c>
      <c r="F404" s="6" t="s">
        <v>23</v>
      </c>
      <c r="G404" s="6" t="s">
        <v>58</v>
      </c>
      <c r="H404" s="6" t="s">
        <v>59</v>
      </c>
      <c r="I404" s="6" t="str">
        <f aca="false">IF(A404&lt;Outliers!$E$6,"Low",IF(A404&gt;Outliers!$F$6,"High",""))</f>
        <v/>
      </c>
      <c r="J404" s="6" t="str">
        <f aca="false">IF(B404&lt;Outliers!$E$7,"Low",IF(B404&gt;Outliers!$F$7,"High",""))</f>
        <v/>
      </c>
      <c r="K404" s="6" t="str">
        <f aca="false">IF(C404&lt;Outliers!$E$8,"Low",IF(C404&gt;Outliers!$F$8,"High",""))</f>
        <v/>
      </c>
      <c r="L404" s="6" t="str">
        <f aca="false">A404&amp;";"&amp;B404&amp;";"&amp;C404</f>
        <v>29.23540524;103.3301803;27.2055361129535</v>
      </c>
      <c r="M404" s="6" t="n">
        <f aca="false">IF(COUNTIF($L$2:$L$2201,L404)&gt;1,1,0)</f>
        <v>0</v>
      </c>
      <c r="N404" s="6" t="str">
        <f aca="false">IF(AND(C404&lt;Assumptions!$B$9,B404&lt;Assumptions!$B$10),"Irrigate Now",IF(AND(C404&gt;=Assumptions!$B$11,B404&gt;=Assumptions!$B$12),"No Irrigation Needed","Monitor"))</f>
        <v>No Irrigation Needed</v>
      </c>
      <c r="O404" s="6" t="n">
        <f aca="false">IF(N404=G404,1,0)</f>
        <v>1</v>
      </c>
    </row>
    <row r="405" customFormat="false" ht="15" hidden="false" customHeight="false" outlineLevel="0" collapsed="false">
      <c r="A405" s="16" t="n">
        <v>27.33534897</v>
      </c>
      <c r="B405" s="16" t="n">
        <v>142.3303677</v>
      </c>
      <c r="C405" s="16" t="n">
        <v>11.8366925577386</v>
      </c>
      <c r="D405" s="6" t="s">
        <v>57</v>
      </c>
      <c r="E405" s="6" t="s">
        <v>57</v>
      </c>
      <c r="F405" s="6" t="s">
        <v>24</v>
      </c>
      <c r="G405" s="6" t="s">
        <v>61</v>
      </c>
      <c r="H405" s="6" t="s">
        <v>63</v>
      </c>
      <c r="I405" s="6" t="str">
        <f aca="false">IF(A405&lt;Outliers!$E$6,"Low",IF(A405&gt;Outliers!$F$6,"High",""))</f>
        <v/>
      </c>
      <c r="J405" s="6" t="str">
        <f aca="false">IF(B405&lt;Outliers!$E$7,"Low",IF(B405&gt;Outliers!$F$7,"High",""))</f>
        <v/>
      </c>
      <c r="K405" s="6" t="str">
        <f aca="false">IF(C405&lt;Outliers!$E$8,"Low",IF(C405&gt;Outliers!$F$8,"High",""))</f>
        <v/>
      </c>
      <c r="L405" s="6" t="str">
        <f aca="false">A405&amp;";"&amp;B405&amp;";"&amp;C405</f>
        <v>27.33534897;142.3303677;11.8366925577386</v>
      </c>
      <c r="M405" s="6" t="n">
        <f aca="false">IF(COUNTIF($L$2:$L$2201,L405)&gt;1,1,0)</f>
        <v>0</v>
      </c>
      <c r="N405" s="6" t="str">
        <f aca="false">IF(AND(C405&lt;Assumptions!$B$9,B405&lt;Assumptions!$B$10),"Irrigate Now",IF(AND(C405&gt;=Assumptions!$B$11,B405&gt;=Assumptions!$B$12),"No Irrigation Needed","Monitor"))</f>
        <v>Monitor</v>
      </c>
      <c r="O405" s="6" t="n">
        <f aca="false">IF(N405=G405,1,0)</f>
        <v>1</v>
      </c>
    </row>
    <row r="406" customFormat="false" ht="15" hidden="false" customHeight="false" outlineLevel="0" collapsed="false">
      <c r="A406" s="16" t="n">
        <v>21.0643684</v>
      </c>
      <c r="B406" s="16" t="n">
        <v>184.6226709</v>
      </c>
      <c r="C406" s="16" t="n">
        <v>11.4744563108539</v>
      </c>
      <c r="D406" s="6" t="s">
        <v>57</v>
      </c>
      <c r="E406" s="6" t="s">
        <v>24</v>
      </c>
      <c r="F406" s="6" t="s">
        <v>24</v>
      </c>
      <c r="G406" s="6" t="s">
        <v>61</v>
      </c>
      <c r="H406" s="6" t="s">
        <v>62</v>
      </c>
      <c r="I406" s="6" t="str">
        <f aca="false">IF(A406&lt;Outliers!$E$6,"Low",IF(A406&gt;Outliers!$F$6,"High",""))</f>
        <v/>
      </c>
      <c r="J406" s="6" t="str">
        <f aca="false">IF(B406&lt;Outliers!$E$7,"Low",IF(B406&gt;Outliers!$F$7,"High",""))</f>
        <v/>
      </c>
      <c r="K406" s="6" t="str">
        <f aca="false">IF(C406&lt;Outliers!$E$8,"Low",IF(C406&gt;Outliers!$F$8,"High",""))</f>
        <v/>
      </c>
      <c r="L406" s="6" t="str">
        <f aca="false">A406&amp;";"&amp;B406&amp;";"&amp;C406</f>
        <v>21.0643684;184.6226709;11.4744563108539</v>
      </c>
      <c r="M406" s="6" t="n">
        <f aca="false">IF(COUNTIF($L$2:$L$2201,L406)&gt;1,1,0)</f>
        <v>0</v>
      </c>
      <c r="N406" s="6" t="str">
        <f aca="false">IF(AND(C406&lt;Assumptions!$B$9,B406&lt;Assumptions!$B$10),"Irrigate Now",IF(AND(C406&gt;=Assumptions!$B$11,B406&gt;=Assumptions!$B$12),"No Irrigation Needed","Monitor"))</f>
        <v>Monitor</v>
      </c>
      <c r="O406" s="6" t="n">
        <f aca="false">IF(N406=G406,1,0)</f>
        <v>1</v>
      </c>
    </row>
    <row r="407" customFormat="false" ht="15" hidden="false" customHeight="false" outlineLevel="0" collapsed="false">
      <c r="A407" s="16" t="n">
        <v>30.33276599</v>
      </c>
      <c r="B407" s="16" t="n">
        <v>149.299952</v>
      </c>
      <c r="C407" s="16" t="n">
        <v>19.6814944967475</v>
      </c>
      <c r="D407" s="6" t="s">
        <v>67</v>
      </c>
      <c r="E407" s="6" t="s">
        <v>57</v>
      </c>
      <c r="F407" s="6" t="s">
        <v>60</v>
      </c>
      <c r="G407" s="6" t="s">
        <v>61</v>
      </c>
      <c r="H407" s="6" t="s">
        <v>68</v>
      </c>
      <c r="I407" s="6" t="str">
        <f aca="false">IF(A407&lt;Outliers!$E$6,"Low",IF(A407&gt;Outliers!$F$6,"High",""))</f>
        <v/>
      </c>
      <c r="J407" s="6" t="str">
        <f aca="false">IF(B407&lt;Outliers!$E$7,"Low",IF(B407&gt;Outliers!$F$7,"High",""))</f>
        <v/>
      </c>
      <c r="K407" s="6" t="str">
        <f aca="false">IF(C407&lt;Outliers!$E$8,"Low",IF(C407&gt;Outliers!$F$8,"High",""))</f>
        <v/>
      </c>
      <c r="L407" s="6" t="str">
        <f aca="false">A407&amp;";"&amp;B407&amp;";"&amp;C407</f>
        <v>30.33276599;149.299952;19.6814944967475</v>
      </c>
      <c r="M407" s="6" t="n">
        <f aca="false">IF(COUNTIF($L$2:$L$2201,L407)&gt;1,1,0)</f>
        <v>0</v>
      </c>
      <c r="N407" s="6" t="str">
        <f aca="false">IF(AND(C407&lt;Assumptions!$B$9,B407&lt;Assumptions!$B$10),"Irrigate Now",IF(AND(C407&gt;=Assumptions!$B$11,B407&gt;=Assumptions!$B$12),"No Irrigation Needed","Monitor"))</f>
        <v>Monitor</v>
      </c>
      <c r="O407" s="6" t="n">
        <f aca="false">IF(N407=G407,1,0)</f>
        <v>1</v>
      </c>
    </row>
    <row r="408" customFormat="false" ht="15" hidden="false" customHeight="false" outlineLevel="0" collapsed="false">
      <c r="A408" s="16" t="n">
        <v>31.80130272</v>
      </c>
      <c r="B408" s="16" t="n">
        <v>147.0361442</v>
      </c>
      <c r="C408" s="16" t="n">
        <v>29.6173280282386</v>
      </c>
      <c r="D408" s="6" t="s">
        <v>67</v>
      </c>
      <c r="E408" s="6" t="s">
        <v>57</v>
      </c>
      <c r="F408" s="6" t="s">
        <v>23</v>
      </c>
      <c r="G408" s="6" t="s">
        <v>58</v>
      </c>
      <c r="H408" s="6" t="s">
        <v>59</v>
      </c>
      <c r="I408" s="6" t="str">
        <f aca="false">IF(A408&lt;Outliers!$E$6,"Low",IF(A408&gt;Outliers!$F$6,"High",""))</f>
        <v/>
      </c>
      <c r="J408" s="6" t="str">
        <f aca="false">IF(B408&lt;Outliers!$E$7,"Low",IF(B408&gt;Outliers!$F$7,"High",""))</f>
        <v/>
      </c>
      <c r="K408" s="6" t="str">
        <f aca="false">IF(C408&lt;Outliers!$E$8,"Low",IF(C408&gt;Outliers!$F$8,"High",""))</f>
        <v/>
      </c>
      <c r="L408" s="6" t="str">
        <f aca="false">A408&amp;";"&amp;B408&amp;";"&amp;C408</f>
        <v>31.80130272;147.0361442;29.6173280282386</v>
      </c>
      <c r="M408" s="6" t="n">
        <f aca="false">IF(COUNTIF($L$2:$L$2201,L408)&gt;1,1,0)</f>
        <v>0</v>
      </c>
      <c r="N408" s="6" t="str">
        <f aca="false">IF(AND(C408&lt;Assumptions!$B$9,B408&lt;Assumptions!$B$10),"Irrigate Now",IF(AND(C408&gt;=Assumptions!$B$11,B408&gt;=Assumptions!$B$12),"No Irrigation Needed","Monitor"))</f>
        <v>No Irrigation Needed</v>
      </c>
      <c r="O408" s="6" t="n">
        <f aca="false">IF(N408=G408,1,0)</f>
        <v>1</v>
      </c>
    </row>
    <row r="409" customFormat="false" ht="15" hidden="false" customHeight="false" outlineLevel="0" collapsed="false">
      <c r="A409" s="16" t="n">
        <v>33.18184225</v>
      </c>
      <c r="B409" s="16" t="n">
        <v>198.8298806</v>
      </c>
      <c r="C409" s="16" t="n">
        <v>28.1490576343259</v>
      </c>
      <c r="D409" s="6" t="s">
        <v>67</v>
      </c>
      <c r="E409" s="6" t="s">
        <v>24</v>
      </c>
      <c r="F409" s="6" t="s">
        <v>23</v>
      </c>
      <c r="G409" s="6" t="s">
        <v>58</v>
      </c>
      <c r="H409" s="6" t="s">
        <v>59</v>
      </c>
      <c r="I409" s="6" t="str">
        <f aca="false">IF(A409&lt;Outliers!$E$6,"Low",IF(A409&gt;Outliers!$F$6,"High",""))</f>
        <v/>
      </c>
      <c r="J409" s="6" t="str">
        <f aca="false">IF(B409&lt;Outliers!$E$7,"Low",IF(B409&gt;Outliers!$F$7,"High",""))</f>
        <v/>
      </c>
      <c r="K409" s="6" t="str">
        <f aca="false">IF(C409&lt;Outliers!$E$8,"Low",IF(C409&gt;Outliers!$F$8,"High",""))</f>
        <v/>
      </c>
      <c r="L409" s="6" t="str">
        <f aca="false">A409&amp;";"&amp;B409&amp;";"&amp;C409</f>
        <v>33.18184225;198.8298806;28.1490576343259</v>
      </c>
      <c r="M409" s="6" t="n">
        <f aca="false">IF(COUNTIF($L$2:$L$2201,L409)&gt;1,1,0)</f>
        <v>0</v>
      </c>
      <c r="N409" s="6" t="str">
        <f aca="false">IF(AND(C409&lt;Assumptions!$B$9,B409&lt;Assumptions!$B$10),"Irrigate Now",IF(AND(C409&gt;=Assumptions!$B$11,B409&gt;=Assumptions!$B$12),"No Irrigation Needed","Monitor"))</f>
        <v>No Irrigation Needed</v>
      </c>
      <c r="O409" s="6" t="n">
        <f aca="false">IF(N409=G409,1,0)</f>
        <v>1</v>
      </c>
    </row>
    <row r="410" customFormat="false" ht="15" hidden="false" customHeight="false" outlineLevel="0" collapsed="false">
      <c r="A410" s="16" t="n">
        <v>29.38538562</v>
      </c>
      <c r="B410" s="16" t="n">
        <v>90.05422663</v>
      </c>
      <c r="C410" s="16" t="n">
        <v>20.5193475002636</v>
      </c>
      <c r="D410" s="6" t="s">
        <v>57</v>
      </c>
      <c r="E410" s="6" t="s">
        <v>57</v>
      </c>
      <c r="F410" s="6" t="s">
        <v>60</v>
      </c>
      <c r="G410" s="6" t="s">
        <v>61</v>
      </c>
      <c r="H410" s="6" t="s">
        <v>63</v>
      </c>
      <c r="I410" s="6" t="str">
        <f aca="false">IF(A410&lt;Outliers!$E$6,"Low",IF(A410&gt;Outliers!$F$6,"High",""))</f>
        <v/>
      </c>
      <c r="J410" s="6" t="str">
        <f aca="false">IF(B410&lt;Outliers!$E$7,"Low",IF(B410&gt;Outliers!$F$7,"High",""))</f>
        <v/>
      </c>
      <c r="K410" s="6" t="str">
        <f aca="false">IF(C410&lt;Outliers!$E$8,"Low",IF(C410&gt;Outliers!$F$8,"High",""))</f>
        <v/>
      </c>
      <c r="L410" s="6" t="str">
        <f aca="false">A410&amp;";"&amp;B410&amp;";"&amp;C410</f>
        <v>29.38538562;90.05422663;20.5193475002636</v>
      </c>
      <c r="M410" s="6" t="n">
        <f aca="false">IF(COUNTIF($L$2:$L$2201,L410)&gt;1,1,0)</f>
        <v>0</v>
      </c>
      <c r="N410" s="6" t="str">
        <f aca="false">IF(AND(C410&lt;Assumptions!$B$9,B410&lt;Assumptions!$B$10),"Irrigate Now",IF(AND(C410&gt;=Assumptions!$B$11,B410&gt;=Assumptions!$B$12),"No Irrigation Needed","Monitor"))</f>
        <v>Monitor</v>
      </c>
      <c r="O410" s="6" t="n">
        <f aca="false">IF(N410=G410,1,0)</f>
        <v>1</v>
      </c>
    </row>
    <row r="411" customFormat="false" ht="15" hidden="false" customHeight="false" outlineLevel="0" collapsed="false">
      <c r="A411" s="16" t="n">
        <v>30.27374995</v>
      </c>
      <c r="B411" s="16" t="n">
        <v>127.7767134</v>
      </c>
      <c r="C411" s="16" t="n">
        <v>13.2269111054086</v>
      </c>
      <c r="D411" s="6" t="s">
        <v>67</v>
      </c>
      <c r="E411" s="6" t="s">
        <v>57</v>
      </c>
      <c r="F411" s="6" t="s">
        <v>24</v>
      </c>
      <c r="G411" s="6" t="s">
        <v>61</v>
      </c>
      <c r="H411" s="6" t="s">
        <v>68</v>
      </c>
      <c r="I411" s="6" t="str">
        <f aca="false">IF(A411&lt;Outliers!$E$6,"Low",IF(A411&gt;Outliers!$F$6,"High",""))</f>
        <v/>
      </c>
      <c r="J411" s="6" t="str">
        <f aca="false">IF(B411&lt;Outliers!$E$7,"Low",IF(B411&gt;Outliers!$F$7,"High",""))</f>
        <v/>
      </c>
      <c r="K411" s="6" t="str">
        <f aca="false">IF(C411&lt;Outliers!$E$8,"Low",IF(C411&gt;Outliers!$F$8,"High",""))</f>
        <v/>
      </c>
      <c r="L411" s="6" t="str">
        <f aca="false">A411&amp;";"&amp;B411&amp;";"&amp;C411</f>
        <v>30.27374995;127.7767134;13.2269111054086</v>
      </c>
      <c r="M411" s="6" t="n">
        <f aca="false">IF(COUNTIF($L$2:$L$2201,L411)&gt;1,1,0)</f>
        <v>0</v>
      </c>
      <c r="N411" s="6" t="str">
        <f aca="false">IF(AND(C411&lt;Assumptions!$B$9,B411&lt;Assumptions!$B$10),"Irrigate Now",IF(AND(C411&gt;=Assumptions!$B$11,B411&gt;=Assumptions!$B$12),"No Irrigation Needed","Monitor"))</f>
        <v>Monitor</v>
      </c>
      <c r="O411" s="6" t="n">
        <f aca="false">IF(N411=G411,1,0)</f>
        <v>1</v>
      </c>
    </row>
    <row r="412" customFormat="false" ht="15" hidden="false" customHeight="false" outlineLevel="0" collapsed="false">
      <c r="A412" s="16" t="n">
        <v>35.45790488</v>
      </c>
      <c r="B412" s="16" t="n">
        <v>108.6333046</v>
      </c>
      <c r="C412" s="16" t="n">
        <v>17.0391469334695</v>
      </c>
      <c r="D412" s="6" t="s">
        <v>67</v>
      </c>
      <c r="E412" s="6" t="s">
        <v>57</v>
      </c>
      <c r="F412" s="6" t="s">
        <v>60</v>
      </c>
      <c r="G412" s="6" t="s">
        <v>61</v>
      </c>
      <c r="H412" s="6" t="s">
        <v>68</v>
      </c>
      <c r="I412" s="6" t="str">
        <f aca="false">IF(A412&lt;Outliers!$E$6,"Low",IF(A412&gt;Outliers!$F$6,"High",""))</f>
        <v/>
      </c>
      <c r="J412" s="6" t="str">
        <f aca="false">IF(B412&lt;Outliers!$E$7,"Low",IF(B412&gt;Outliers!$F$7,"High",""))</f>
        <v/>
      </c>
      <c r="K412" s="6" t="str">
        <f aca="false">IF(C412&lt;Outliers!$E$8,"Low",IF(C412&gt;Outliers!$F$8,"High",""))</f>
        <v/>
      </c>
      <c r="L412" s="6" t="str">
        <f aca="false">A412&amp;";"&amp;B412&amp;";"&amp;C412</f>
        <v>35.45790488;108.6333046;17.0391469334695</v>
      </c>
      <c r="M412" s="6" t="n">
        <f aca="false">IF(COUNTIF($L$2:$L$2201,L412)&gt;1,1,0)</f>
        <v>0</v>
      </c>
      <c r="N412" s="6" t="str">
        <f aca="false">IF(AND(C412&lt;Assumptions!$B$9,B412&lt;Assumptions!$B$10),"Irrigate Now",IF(AND(C412&gt;=Assumptions!$B$11,B412&gt;=Assumptions!$B$12),"No Irrigation Needed","Monitor"))</f>
        <v>Monitor</v>
      </c>
      <c r="O412" s="6" t="n">
        <f aca="false">IF(N412=G412,1,0)</f>
        <v>1</v>
      </c>
    </row>
    <row r="413" customFormat="false" ht="15" hidden="false" customHeight="false" outlineLevel="0" collapsed="false">
      <c r="A413" s="16" t="n">
        <v>33.80020039</v>
      </c>
      <c r="B413" s="16" t="n">
        <v>176.6165894</v>
      </c>
      <c r="C413" s="16" t="n">
        <v>17.3166446092445</v>
      </c>
      <c r="D413" s="6" t="s">
        <v>67</v>
      </c>
      <c r="E413" s="6" t="s">
        <v>24</v>
      </c>
      <c r="F413" s="6" t="s">
        <v>60</v>
      </c>
      <c r="G413" s="6" t="s">
        <v>61</v>
      </c>
      <c r="H413" s="6" t="s">
        <v>68</v>
      </c>
      <c r="I413" s="6" t="str">
        <f aca="false">IF(A413&lt;Outliers!$E$6,"Low",IF(A413&gt;Outliers!$F$6,"High",""))</f>
        <v/>
      </c>
      <c r="J413" s="6" t="str">
        <f aca="false">IF(B413&lt;Outliers!$E$7,"Low",IF(B413&gt;Outliers!$F$7,"High",""))</f>
        <v/>
      </c>
      <c r="K413" s="6" t="str">
        <f aca="false">IF(C413&lt;Outliers!$E$8,"Low",IF(C413&gt;Outliers!$F$8,"High",""))</f>
        <v/>
      </c>
      <c r="L413" s="6" t="str">
        <f aca="false">A413&amp;";"&amp;B413&amp;";"&amp;C413</f>
        <v>33.80020039;176.6165894;17.3166446092445</v>
      </c>
      <c r="M413" s="6" t="n">
        <f aca="false">IF(COUNTIF($L$2:$L$2201,L413)&gt;1,1,0)</f>
        <v>0</v>
      </c>
      <c r="N413" s="6" t="str">
        <f aca="false">IF(AND(C413&lt;Assumptions!$B$9,B413&lt;Assumptions!$B$10),"Irrigate Now",IF(AND(C413&gt;=Assumptions!$B$11,B413&gt;=Assumptions!$B$12),"No Irrigation Needed","Monitor"))</f>
        <v>Monitor</v>
      </c>
      <c r="O413" s="6" t="n">
        <f aca="false">IF(N413=G413,1,0)</f>
        <v>1</v>
      </c>
    </row>
    <row r="414" customFormat="false" ht="15" hidden="false" customHeight="false" outlineLevel="0" collapsed="false">
      <c r="A414" s="16" t="n">
        <v>28.69180475</v>
      </c>
      <c r="B414" s="16" t="n">
        <v>96.36222901</v>
      </c>
      <c r="C414" s="16" t="n">
        <v>18.9772676167602</v>
      </c>
      <c r="D414" s="6" t="s">
        <v>57</v>
      </c>
      <c r="E414" s="6" t="s">
        <v>57</v>
      </c>
      <c r="F414" s="6" t="s">
        <v>60</v>
      </c>
      <c r="G414" s="6" t="s">
        <v>61</v>
      </c>
      <c r="H414" s="6" t="s">
        <v>63</v>
      </c>
      <c r="I414" s="6" t="str">
        <f aca="false">IF(A414&lt;Outliers!$E$6,"Low",IF(A414&gt;Outliers!$F$6,"High",""))</f>
        <v/>
      </c>
      <c r="J414" s="6" t="str">
        <f aca="false">IF(B414&lt;Outliers!$E$7,"Low",IF(B414&gt;Outliers!$F$7,"High",""))</f>
        <v/>
      </c>
      <c r="K414" s="6" t="str">
        <f aca="false">IF(C414&lt;Outliers!$E$8,"Low",IF(C414&gt;Outliers!$F$8,"High",""))</f>
        <v/>
      </c>
      <c r="L414" s="6" t="str">
        <f aca="false">A414&amp;";"&amp;B414&amp;";"&amp;C414</f>
        <v>28.69180475;96.36222901;18.9772676167602</v>
      </c>
      <c r="M414" s="6" t="n">
        <f aca="false">IF(COUNTIF($L$2:$L$2201,L414)&gt;1,1,0)</f>
        <v>0</v>
      </c>
      <c r="N414" s="6" t="str">
        <f aca="false">IF(AND(C414&lt;Assumptions!$B$9,B414&lt;Assumptions!$B$10),"Irrigate Now",IF(AND(C414&gt;=Assumptions!$B$11,B414&gt;=Assumptions!$B$12),"No Irrigation Needed","Monitor"))</f>
        <v>Monitor</v>
      </c>
      <c r="O414" s="6" t="n">
        <f aca="false">IF(N414=G414,1,0)</f>
        <v>1</v>
      </c>
    </row>
    <row r="415" customFormat="false" ht="15" hidden="false" customHeight="false" outlineLevel="0" collapsed="false">
      <c r="A415" s="16" t="n">
        <v>31.24021696</v>
      </c>
      <c r="B415" s="16" t="n">
        <v>122.0146733</v>
      </c>
      <c r="C415" s="16" t="n">
        <v>24.3743178674163</v>
      </c>
      <c r="D415" s="6" t="s">
        <v>67</v>
      </c>
      <c r="E415" s="6" t="s">
        <v>57</v>
      </c>
      <c r="F415" s="6" t="s">
        <v>23</v>
      </c>
      <c r="G415" s="6" t="s">
        <v>61</v>
      </c>
      <c r="H415" s="6" t="s">
        <v>63</v>
      </c>
      <c r="I415" s="6" t="str">
        <f aca="false">IF(A415&lt;Outliers!$E$6,"Low",IF(A415&gt;Outliers!$F$6,"High",""))</f>
        <v/>
      </c>
      <c r="J415" s="6" t="str">
        <f aca="false">IF(B415&lt;Outliers!$E$7,"Low",IF(B415&gt;Outliers!$F$7,"High",""))</f>
        <v/>
      </c>
      <c r="K415" s="6" t="str">
        <f aca="false">IF(C415&lt;Outliers!$E$8,"Low",IF(C415&gt;Outliers!$F$8,"High",""))</f>
        <v/>
      </c>
      <c r="L415" s="6" t="str">
        <f aca="false">A415&amp;";"&amp;B415&amp;";"&amp;C415</f>
        <v>31.24021696;122.0146733;24.3743178674163</v>
      </c>
      <c r="M415" s="6" t="n">
        <f aca="false">IF(COUNTIF($L$2:$L$2201,L415)&gt;1,1,0)</f>
        <v>0</v>
      </c>
      <c r="N415" s="6" t="str">
        <f aca="false">IF(AND(C415&lt;Assumptions!$B$9,B415&lt;Assumptions!$B$10),"Irrigate Now",IF(AND(C415&gt;=Assumptions!$B$11,B415&gt;=Assumptions!$B$12),"No Irrigation Needed","Monitor"))</f>
        <v>Monitor</v>
      </c>
      <c r="O415" s="6" t="n">
        <f aca="false">IF(N415=G415,1,0)</f>
        <v>1</v>
      </c>
    </row>
    <row r="416" customFormat="false" ht="15" hidden="false" customHeight="false" outlineLevel="0" collapsed="false">
      <c r="A416" s="16" t="n">
        <v>28.98039357</v>
      </c>
      <c r="B416" s="16" t="n">
        <v>120.7435664</v>
      </c>
      <c r="C416" s="16" t="n">
        <v>10.1115761991636</v>
      </c>
      <c r="D416" s="6" t="s">
        <v>57</v>
      </c>
      <c r="E416" s="6" t="s">
        <v>57</v>
      </c>
      <c r="F416" s="6" t="s">
        <v>24</v>
      </c>
      <c r="G416" s="6" t="s">
        <v>61</v>
      </c>
      <c r="H416" s="6" t="s">
        <v>63</v>
      </c>
      <c r="I416" s="6" t="str">
        <f aca="false">IF(A416&lt;Outliers!$E$6,"Low",IF(A416&gt;Outliers!$F$6,"High",""))</f>
        <v/>
      </c>
      <c r="J416" s="6" t="str">
        <f aca="false">IF(B416&lt;Outliers!$E$7,"Low",IF(B416&gt;Outliers!$F$7,"High",""))</f>
        <v/>
      </c>
      <c r="K416" s="6" t="str">
        <f aca="false">IF(C416&lt;Outliers!$E$8,"Low",IF(C416&gt;Outliers!$F$8,"High",""))</f>
        <v/>
      </c>
      <c r="L416" s="6" t="str">
        <f aca="false">A416&amp;";"&amp;B416&amp;";"&amp;C416</f>
        <v>28.98039357;120.7435664;10.1115761991636</v>
      </c>
      <c r="M416" s="6" t="n">
        <f aca="false">IF(COUNTIF($L$2:$L$2201,L416)&gt;1,1,0)</f>
        <v>0</v>
      </c>
      <c r="N416" s="6" t="str">
        <f aca="false">IF(AND(C416&lt;Assumptions!$B$9,B416&lt;Assumptions!$B$10),"Irrigate Now",IF(AND(C416&gt;=Assumptions!$B$11,B416&gt;=Assumptions!$B$12),"No Irrigation Needed","Monitor"))</f>
        <v>Monitor</v>
      </c>
      <c r="O416" s="6" t="n">
        <f aca="false">IF(N416=G416,1,0)</f>
        <v>1</v>
      </c>
    </row>
    <row r="417" customFormat="false" ht="15" hidden="false" customHeight="false" outlineLevel="0" collapsed="false">
      <c r="A417" s="16" t="n">
        <v>27.32198928</v>
      </c>
      <c r="B417" s="16" t="n">
        <v>96.51524028</v>
      </c>
      <c r="C417" s="16" t="n">
        <v>23.8445918443865</v>
      </c>
      <c r="D417" s="6" t="s">
        <v>57</v>
      </c>
      <c r="E417" s="6" t="s">
        <v>57</v>
      </c>
      <c r="F417" s="6" t="s">
        <v>23</v>
      </c>
      <c r="G417" s="6" t="s">
        <v>61</v>
      </c>
      <c r="H417" s="6" t="s">
        <v>63</v>
      </c>
      <c r="I417" s="6" t="str">
        <f aca="false">IF(A417&lt;Outliers!$E$6,"Low",IF(A417&gt;Outliers!$F$6,"High",""))</f>
        <v/>
      </c>
      <c r="J417" s="6" t="str">
        <f aca="false">IF(B417&lt;Outliers!$E$7,"Low",IF(B417&gt;Outliers!$F$7,"High",""))</f>
        <v/>
      </c>
      <c r="K417" s="6" t="str">
        <f aca="false">IF(C417&lt;Outliers!$E$8,"Low",IF(C417&gt;Outliers!$F$8,"High",""))</f>
        <v/>
      </c>
      <c r="L417" s="6" t="str">
        <f aca="false">A417&amp;";"&amp;B417&amp;";"&amp;C417</f>
        <v>27.32198928;96.51524028;23.8445918443865</v>
      </c>
      <c r="M417" s="6" t="n">
        <f aca="false">IF(COUNTIF($L$2:$L$2201,L417)&gt;1,1,0)</f>
        <v>0</v>
      </c>
      <c r="N417" s="6" t="str">
        <f aca="false">IF(AND(C417&lt;Assumptions!$B$9,B417&lt;Assumptions!$B$10),"Irrigate Now",IF(AND(C417&gt;=Assumptions!$B$11,B417&gt;=Assumptions!$B$12),"No Irrigation Needed","Monitor"))</f>
        <v>Monitor</v>
      </c>
      <c r="O417" s="6" t="n">
        <f aca="false">IF(N417=G417,1,0)</f>
        <v>1</v>
      </c>
    </row>
    <row r="418" customFormat="false" ht="15" hidden="false" customHeight="false" outlineLevel="0" collapsed="false">
      <c r="A418" s="16" t="n">
        <v>21.47607807</v>
      </c>
      <c r="B418" s="16" t="n">
        <v>180.382234</v>
      </c>
      <c r="C418" s="16" t="n">
        <v>22.344875351652</v>
      </c>
      <c r="D418" s="6" t="s">
        <v>57</v>
      </c>
      <c r="E418" s="6" t="s">
        <v>24</v>
      </c>
      <c r="F418" s="6" t="s">
        <v>23</v>
      </c>
      <c r="G418" s="6" t="s">
        <v>61</v>
      </c>
      <c r="H418" s="6" t="s">
        <v>62</v>
      </c>
      <c r="I418" s="6" t="str">
        <f aca="false">IF(A418&lt;Outliers!$E$6,"Low",IF(A418&gt;Outliers!$F$6,"High",""))</f>
        <v/>
      </c>
      <c r="J418" s="6" t="str">
        <f aca="false">IF(B418&lt;Outliers!$E$7,"Low",IF(B418&gt;Outliers!$F$7,"High",""))</f>
        <v/>
      </c>
      <c r="K418" s="6" t="str">
        <f aca="false">IF(C418&lt;Outliers!$E$8,"Low",IF(C418&gt;Outliers!$F$8,"High",""))</f>
        <v/>
      </c>
      <c r="L418" s="6" t="str">
        <f aca="false">A418&amp;";"&amp;B418&amp;";"&amp;C418</f>
        <v>21.47607807;180.382234;22.344875351652</v>
      </c>
      <c r="M418" s="6" t="n">
        <f aca="false">IF(COUNTIF($L$2:$L$2201,L418)&gt;1,1,0)</f>
        <v>0</v>
      </c>
      <c r="N418" s="6" t="str">
        <f aca="false">IF(AND(C418&lt;Assumptions!$B$9,B418&lt;Assumptions!$B$10),"Irrigate Now",IF(AND(C418&gt;=Assumptions!$B$11,B418&gt;=Assumptions!$B$12),"No Irrigation Needed","Monitor"))</f>
        <v>Monitor</v>
      </c>
      <c r="O418" s="6" t="n">
        <f aca="false">IF(N418=G418,1,0)</f>
        <v>1</v>
      </c>
    </row>
    <row r="419" customFormat="false" ht="15" hidden="false" customHeight="false" outlineLevel="0" collapsed="false">
      <c r="A419" s="16" t="n">
        <v>18.31910448</v>
      </c>
      <c r="B419" s="16" t="n">
        <v>107.4721605</v>
      </c>
      <c r="C419" s="16" t="n">
        <v>10.839354431342</v>
      </c>
      <c r="D419" s="6" t="s">
        <v>66</v>
      </c>
      <c r="E419" s="6" t="s">
        <v>57</v>
      </c>
      <c r="F419" s="6" t="s">
        <v>24</v>
      </c>
      <c r="G419" s="6" t="s">
        <v>61</v>
      </c>
      <c r="H419" s="6" t="s">
        <v>63</v>
      </c>
      <c r="I419" s="6" t="str">
        <f aca="false">IF(A419&lt;Outliers!$E$6,"Low",IF(A419&gt;Outliers!$F$6,"High",""))</f>
        <v/>
      </c>
      <c r="J419" s="6" t="str">
        <f aca="false">IF(B419&lt;Outliers!$E$7,"Low",IF(B419&gt;Outliers!$F$7,"High",""))</f>
        <v/>
      </c>
      <c r="K419" s="6" t="str">
        <f aca="false">IF(C419&lt;Outliers!$E$8,"Low",IF(C419&gt;Outliers!$F$8,"High",""))</f>
        <v/>
      </c>
      <c r="L419" s="6" t="str">
        <f aca="false">A419&amp;";"&amp;B419&amp;";"&amp;C419</f>
        <v>18.31910448;107.4721605;10.839354431342</v>
      </c>
      <c r="M419" s="6" t="n">
        <f aca="false">IF(COUNTIF($L$2:$L$2201,L419)&gt;1,1,0)</f>
        <v>0</v>
      </c>
      <c r="N419" s="6" t="str">
        <f aca="false">IF(AND(C419&lt;Assumptions!$B$9,B419&lt;Assumptions!$B$10),"Irrigate Now",IF(AND(C419&gt;=Assumptions!$B$11,B419&gt;=Assumptions!$B$12),"No Irrigation Needed","Monitor"))</f>
        <v>Monitor</v>
      </c>
      <c r="O419" s="6" t="n">
        <f aca="false">IF(N419=G419,1,0)</f>
        <v>1</v>
      </c>
    </row>
    <row r="420" customFormat="false" ht="15" hidden="false" customHeight="false" outlineLevel="0" collapsed="false">
      <c r="A420" s="16" t="n">
        <v>36.97794384</v>
      </c>
      <c r="B420" s="16" t="n">
        <v>161.4812963</v>
      </c>
      <c r="C420" s="16" t="n">
        <v>19.804437899306</v>
      </c>
      <c r="D420" s="6" t="s">
        <v>67</v>
      </c>
      <c r="E420" s="6" t="s">
        <v>24</v>
      </c>
      <c r="F420" s="6" t="s">
        <v>60</v>
      </c>
      <c r="G420" s="6" t="s">
        <v>61</v>
      </c>
      <c r="H420" s="6" t="s">
        <v>68</v>
      </c>
      <c r="I420" s="6" t="str">
        <f aca="false">IF(A420&lt;Outliers!$E$6,"Low",IF(A420&gt;Outliers!$F$6,"High",""))</f>
        <v/>
      </c>
      <c r="J420" s="6" t="str">
        <f aca="false">IF(B420&lt;Outliers!$E$7,"Low",IF(B420&gt;Outliers!$F$7,"High",""))</f>
        <v/>
      </c>
      <c r="K420" s="6" t="str">
        <f aca="false">IF(C420&lt;Outliers!$E$8,"Low",IF(C420&gt;Outliers!$F$8,"High",""))</f>
        <v/>
      </c>
      <c r="L420" s="6" t="str">
        <f aca="false">A420&amp;";"&amp;B420&amp;";"&amp;C420</f>
        <v>36.97794384;161.4812963;19.804437899306</v>
      </c>
      <c r="M420" s="6" t="n">
        <f aca="false">IF(COUNTIF($L$2:$L$2201,L420)&gt;1,1,0)</f>
        <v>0</v>
      </c>
      <c r="N420" s="6" t="str">
        <f aca="false">IF(AND(C420&lt;Assumptions!$B$9,B420&lt;Assumptions!$B$10),"Irrigate Now",IF(AND(C420&gt;=Assumptions!$B$11,B420&gt;=Assumptions!$B$12),"No Irrigation Needed","Monitor"))</f>
        <v>Monitor</v>
      </c>
      <c r="O420" s="6" t="n">
        <f aca="false">IF(N420=G420,1,0)</f>
        <v>1</v>
      </c>
    </row>
    <row r="421" customFormat="false" ht="15" hidden="false" customHeight="false" outlineLevel="0" collapsed="false">
      <c r="A421" s="16" t="n">
        <v>24.80467592</v>
      </c>
      <c r="B421" s="16" t="n">
        <v>121.5639121</v>
      </c>
      <c r="C421" s="16" t="n">
        <v>11.9251772134908</v>
      </c>
      <c r="D421" s="6" t="s">
        <v>57</v>
      </c>
      <c r="E421" s="6" t="s">
        <v>57</v>
      </c>
      <c r="F421" s="6" t="s">
        <v>24</v>
      </c>
      <c r="G421" s="6" t="s">
        <v>61</v>
      </c>
      <c r="H421" s="6" t="s">
        <v>63</v>
      </c>
      <c r="I421" s="6" t="str">
        <f aca="false">IF(A421&lt;Outliers!$E$6,"Low",IF(A421&gt;Outliers!$F$6,"High",""))</f>
        <v/>
      </c>
      <c r="J421" s="6" t="str">
        <f aca="false">IF(B421&lt;Outliers!$E$7,"Low",IF(B421&gt;Outliers!$F$7,"High",""))</f>
        <v/>
      </c>
      <c r="K421" s="6" t="str">
        <f aca="false">IF(C421&lt;Outliers!$E$8,"Low",IF(C421&gt;Outliers!$F$8,"High",""))</f>
        <v/>
      </c>
      <c r="L421" s="6" t="str">
        <f aca="false">A421&amp;";"&amp;B421&amp;";"&amp;C421</f>
        <v>24.80467592;121.5639121;11.9251772134908</v>
      </c>
      <c r="M421" s="6" t="n">
        <f aca="false">IF(COUNTIF($L$2:$L$2201,L421)&gt;1,1,0)</f>
        <v>0</v>
      </c>
      <c r="N421" s="6" t="str">
        <f aca="false">IF(AND(C421&lt;Assumptions!$B$9,B421&lt;Assumptions!$B$10),"Irrigate Now",IF(AND(C421&gt;=Assumptions!$B$11,B421&gt;=Assumptions!$B$12),"No Irrigation Needed","Monitor"))</f>
        <v>Monitor</v>
      </c>
      <c r="O421" s="6" t="n">
        <f aca="false">IF(N421=G421,1,0)</f>
        <v>1</v>
      </c>
    </row>
    <row r="422" customFormat="false" ht="15" hidden="false" customHeight="false" outlineLevel="0" collapsed="false">
      <c r="A422" s="16" t="n">
        <v>19.3479443</v>
      </c>
      <c r="B422" s="16" t="n">
        <v>194.5921148</v>
      </c>
      <c r="C422" s="16" t="n">
        <v>28.003392686814</v>
      </c>
      <c r="D422" s="6" t="s">
        <v>66</v>
      </c>
      <c r="E422" s="6" t="s">
        <v>24</v>
      </c>
      <c r="F422" s="6" t="s">
        <v>23</v>
      </c>
      <c r="G422" s="6" t="s">
        <v>58</v>
      </c>
      <c r="H422" s="6" t="s">
        <v>59</v>
      </c>
      <c r="I422" s="6" t="str">
        <f aca="false">IF(A422&lt;Outliers!$E$6,"Low",IF(A422&gt;Outliers!$F$6,"High",""))</f>
        <v/>
      </c>
      <c r="J422" s="6" t="str">
        <f aca="false">IF(B422&lt;Outliers!$E$7,"Low",IF(B422&gt;Outliers!$F$7,"High",""))</f>
        <v/>
      </c>
      <c r="K422" s="6" t="str">
        <f aca="false">IF(C422&lt;Outliers!$E$8,"Low",IF(C422&gt;Outliers!$F$8,"High",""))</f>
        <v/>
      </c>
      <c r="L422" s="6" t="str">
        <f aca="false">A422&amp;";"&amp;B422&amp;";"&amp;C422</f>
        <v>19.3479443;194.5921148;28.003392686814</v>
      </c>
      <c r="M422" s="6" t="n">
        <f aca="false">IF(COUNTIF($L$2:$L$2201,L422)&gt;1,1,0)</f>
        <v>0</v>
      </c>
      <c r="N422" s="6" t="str">
        <f aca="false">IF(AND(C422&lt;Assumptions!$B$9,B422&lt;Assumptions!$B$10),"Irrigate Now",IF(AND(C422&gt;=Assumptions!$B$11,B422&gt;=Assumptions!$B$12),"No Irrigation Needed","Monitor"))</f>
        <v>No Irrigation Needed</v>
      </c>
      <c r="O422" s="6" t="n">
        <f aca="false">IF(N422=G422,1,0)</f>
        <v>1</v>
      </c>
    </row>
    <row r="423" customFormat="false" ht="15" hidden="false" customHeight="false" outlineLevel="0" collapsed="false">
      <c r="A423" s="16" t="n">
        <v>28.88302142</v>
      </c>
      <c r="B423" s="16" t="n">
        <v>179.2155874</v>
      </c>
      <c r="C423" s="16" t="n">
        <v>20.6090352886756</v>
      </c>
      <c r="D423" s="6" t="s">
        <v>57</v>
      </c>
      <c r="E423" s="6" t="s">
        <v>24</v>
      </c>
      <c r="F423" s="6" t="s">
        <v>23</v>
      </c>
      <c r="G423" s="6" t="s">
        <v>61</v>
      </c>
      <c r="H423" s="6" t="s">
        <v>62</v>
      </c>
      <c r="I423" s="6" t="str">
        <f aca="false">IF(A423&lt;Outliers!$E$6,"Low",IF(A423&gt;Outliers!$F$6,"High",""))</f>
        <v/>
      </c>
      <c r="J423" s="6" t="str">
        <f aca="false">IF(B423&lt;Outliers!$E$7,"Low",IF(B423&gt;Outliers!$F$7,"High",""))</f>
        <v/>
      </c>
      <c r="K423" s="6" t="str">
        <f aca="false">IF(C423&lt;Outliers!$E$8,"Low",IF(C423&gt;Outliers!$F$8,"High",""))</f>
        <v/>
      </c>
      <c r="L423" s="6" t="str">
        <f aca="false">A423&amp;";"&amp;B423&amp;";"&amp;C423</f>
        <v>28.88302142;179.2155874;20.6090352886756</v>
      </c>
      <c r="M423" s="6" t="n">
        <f aca="false">IF(COUNTIF($L$2:$L$2201,L423)&gt;1,1,0)</f>
        <v>0</v>
      </c>
      <c r="N423" s="6" t="str">
        <f aca="false">IF(AND(C423&lt;Assumptions!$B$9,B423&lt;Assumptions!$B$10),"Irrigate Now",IF(AND(C423&gt;=Assumptions!$B$11,B423&gt;=Assumptions!$B$12),"No Irrigation Needed","Monitor"))</f>
        <v>Monitor</v>
      </c>
      <c r="O423" s="6" t="n">
        <f aca="false">IF(N423=G423,1,0)</f>
        <v>1</v>
      </c>
    </row>
    <row r="424" customFormat="false" ht="15" hidden="false" customHeight="false" outlineLevel="0" collapsed="false">
      <c r="A424" s="16" t="n">
        <v>19.54314136</v>
      </c>
      <c r="B424" s="16" t="n">
        <v>192.4372194</v>
      </c>
      <c r="C424" s="16" t="n">
        <v>14.99847935562</v>
      </c>
      <c r="D424" s="6" t="s">
        <v>66</v>
      </c>
      <c r="E424" s="6" t="s">
        <v>24</v>
      </c>
      <c r="F424" s="6" t="s">
        <v>60</v>
      </c>
      <c r="G424" s="6" t="s">
        <v>61</v>
      </c>
      <c r="H424" s="6" t="s">
        <v>62</v>
      </c>
      <c r="I424" s="6" t="str">
        <f aca="false">IF(A424&lt;Outliers!$E$6,"Low",IF(A424&gt;Outliers!$F$6,"High",""))</f>
        <v/>
      </c>
      <c r="J424" s="6" t="str">
        <f aca="false">IF(B424&lt;Outliers!$E$7,"Low",IF(B424&gt;Outliers!$F$7,"High",""))</f>
        <v/>
      </c>
      <c r="K424" s="6" t="str">
        <f aca="false">IF(C424&lt;Outliers!$E$8,"Low",IF(C424&gt;Outliers!$F$8,"High",""))</f>
        <v/>
      </c>
      <c r="L424" s="6" t="str">
        <f aca="false">A424&amp;";"&amp;B424&amp;";"&amp;C424</f>
        <v>19.54314136;192.4372194;14.99847935562</v>
      </c>
      <c r="M424" s="6" t="n">
        <f aca="false">IF(COUNTIF($L$2:$L$2201,L424)&gt;1,1,0)</f>
        <v>0</v>
      </c>
      <c r="N424" s="6" t="str">
        <f aca="false">IF(AND(C424&lt;Assumptions!$B$9,B424&lt;Assumptions!$B$10),"Irrigate Now",IF(AND(C424&gt;=Assumptions!$B$11,B424&gt;=Assumptions!$B$12),"No Irrigation Needed","Monitor"))</f>
        <v>Monitor</v>
      </c>
      <c r="O424" s="6" t="n">
        <f aca="false">IF(N424=G424,1,0)</f>
        <v>1</v>
      </c>
    </row>
    <row r="425" customFormat="false" ht="15" hidden="false" customHeight="false" outlineLevel="0" collapsed="false">
      <c r="A425" s="16" t="n">
        <v>24.7741949</v>
      </c>
      <c r="B425" s="16" t="n">
        <v>114.2821387</v>
      </c>
      <c r="C425" s="16" t="n">
        <v>29.463761862909</v>
      </c>
      <c r="D425" s="6" t="s">
        <v>57</v>
      </c>
      <c r="E425" s="6" t="s">
        <v>57</v>
      </c>
      <c r="F425" s="6" t="s">
        <v>23</v>
      </c>
      <c r="G425" s="6" t="s">
        <v>58</v>
      </c>
      <c r="H425" s="6" t="s">
        <v>59</v>
      </c>
      <c r="I425" s="6" t="str">
        <f aca="false">IF(A425&lt;Outliers!$E$6,"Low",IF(A425&gt;Outliers!$F$6,"High",""))</f>
        <v/>
      </c>
      <c r="J425" s="6" t="str">
        <f aca="false">IF(B425&lt;Outliers!$E$7,"Low",IF(B425&gt;Outliers!$F$7,"High",""))</f>
        <v/>
      </c>
      <c r="K425" s="6" t="str">
        <f aca="false">IF(C425&lt;Outliers!$E$8,"Low",IF(C425&gt;Outliers!$F$8,"High",""))</f>
        <v/>
      </c>
      <c r="L425" s="6" t="str">
        <f aca="false">A425&amp;";"&amp;B425&amp;";"&amp;C425</f>
        <v>24.7741949;114.2821387;29.463761862909</v>
      </c>
      <c r="M425" s="6" t="n">
        <f aca="false">IF(COUNTIF($L$2:$L$2201,L425)&gt;1,1,0)</f>
        <v>0</v>
      </c>
      <c r="N425" s="6" t="str">
        <f aca="false">IF(AND(C425&lt;Assumptions!$B$9,B425&lt;Assumptions!$B$10),"Irrigate Now",IF(AND(C425&gt;=Assumptions!$B$11,B425&gt;=Assumptions!$B$12),"No Irrigation Needed","Monitor"))</f>
        <v>No Irrigation Needed</v>
      </c>
      <c r="O425" s="6" t="n">
        <f aca="false">IF(N425=G425,1,0)</f>
        <v>1</v>
      </c>
    </row>
    <row r="426" customFormat="false" ht="15" hidden="false" customHeight="false" outlineLevel="0" collapsed="false">
      <c r="A426" s="16" t="n">
        <v>18.33124824</v>
      </c>
      <c r="B426" s="16" t="n">
        <v>139.6483317</v>
      </c>
      <c r="C426" s="16" t="n">
        <v>19.4439142619899</v>
      </c>
      <c r="D426" s="6" t="s">
        <v>66</v>
      </c>
      <c r="E426" s="6" t="s">
        <v>57</v>
      </c>
      <c r="F426" s="6" t="s">
        <v>60</v>
      </c>
      <c r="G426" s="6" t="s">
        <v>61</v>
      </c>
      <c r="H426" s="6" t="s">
        <v>63</v>
      </c>
      <c r="I426" s="6" t="str">
        <f aca="false">IF(A426&lt;Outliers!$E$6,"Low",IF(A426&gt;Outliers!$F$6,"High",""))</f>
        <v/>
      </c>
      <c r="J426" s="6" t="str">
        <f aca="false">IF(B426&lt;Outliers!$E$7,"Low",IF(B426&gt;Outliers!$F$7,"High",""))</f>
        <v/>
      </c>
      <c r="K426" s="6" t="str">
        <f aca="false">IF(C426&lt;Outliers!$E$8,"Low",IF(C426&gt;Outliers!$F$8,"High",""))</f>
        <v/>
      </c>
      <c r="L426" s="6" t="str">
        <f aca="false">A426&amp;";"&amp;B426&amp;";"&amp;C426</f>
        <v>18.33124824;139.6483317;19.4439142619899</v>
      </c>
      <c r="M426" s="6" t="n">
        <f aca="false">IF(COUNTIF($L$2:$L$2201,L426)&gt;1,1,0)</f>
        <v>0</v>
      </c>
      <c r="N426" s="6" t="str">
        <f aca="false">IF(AND(C426&lt;Assumptions!$B$9,B426&lt;Assumptions!$B$10),"Irrigate Now",IF(AND(C426&gt;=Assumptions!$B$11,B426&gt;=Assumptions!$B$12),"No Irrigation Needed","Monitor"))</f>
        <v>Monitor</v>
      </c>
      <c r="O426" s="6" t="n">
        <f aca="false">IF(N426=G426,1,0)</f>
        <v>1</v>
      </c>
    </row>
    <row r="427" customFormat="false" ht="15" hidden="false" customHeight="false" outlineLevel="0" collapsed="false">
      <c r="A427" s="16" t="n">
        <v>19.14729038</v>
      </c>
      <c r="B427" s="16" t="n">
        <v>132.7748215</v>
      </c>
      <c r="C427" s="16" t="n">
        <v>29.57541025794</v>
      </c>
      <c r="D427" s="6" t="s">
        <v>66</v>
      </c>
      <c r="E427" s="6" t="s">
        <v>57</v>
      </c>
      <c r="F427" s="6" t="s">
        <v>23</v>
      </c>
      <c r="G427" s="6" t="s">
        <v>58</v>
      </c>
      <c r="H427" s="6" t="s">
        <v>59</v>
      </c>
      <c r="I427" s="6" t="str">
        <f aca="false">IF(A427&lt;Outliers!$E$6,"Low",IF(A427&gt;Outliers!$F$6,"High",""))</f>
        <v/>
      </c>
      <c r="J427" s="6" t="str">
        <f aca="false">IF(B427&lt;Outliers!$E$7,"Low",IF(B427&gt;Outliers!$F$7,"High",""))</f>
        <v/>
      </c>
      <c r="K427" s="6" t="str">
        <f aca="false">IF(C427&lt;Outliers!$E$8,"Low",IF(C427&gt;Outliers!$F$8,"High",""))</f>
        <v/>
      </c>
      <c r="L427" s="6" t="str">
        <f aca="false">A427&amp;";"&amp;B427&amp;";"&amp;C427</f>
        <v>19.14729038;132.7748215;29.57541025794</v>
      </c>
      <c r="M427" s="6" t="n">
        <f aca="false">IF(COUNTIF($L$2:$L$2201,L427)&gt;1,1,0)</f>
        <v>0</v>
      </c>
      <c r="N427" s="6" t="str">
        <f aca="false">IF(AND(C427&lt;Assumptions!$B$9,B427&lt;Assumptions!$B$10),"Irrigate Now",IF(AND(C427&gt;=Assumptions!$B$11,B427&gt;=Assumptions!$B$12),"No Irrigation Needed","Monitor"))</f>
        <v>No Irrigation Needed</v>
      </c>
      <c r="O427" s="6" t="n">
        <f aca="false">IF(N427=G427,1,0)</f>
        <v>1</v>
      </c>
    </row>
    <row r="428" customFormat="false" ht="15" hidden="false" customHeight="false" outlineLevel="0" collapsed="false">
      <c r="A428" s="16" t="n">
        <v>28.23416057</v>
      </c>
      <c r="B428" s="16" t="n">
        <v>186.5008581</v>
      </c>
      <c r="C428" s="16" t="n">
        <v>25.2409011367703</v>
      </c>
      <c r="D428" s="6" t="s">
        <v>57</v>
      </c>
      <c r="E428" s="6" t="s">
        <v>24</v>
      </c>
      <c r="F428" s="6" t="s">
        <v>23</v>
      </c>
      <c r="G428" s="6" t="s">
        <v>58</v>
      </c>
      <c r="H428" s="6" t="s">
        <v>59</v>
      </c>
      <c r="I428" s="6" t="str">
        <f aca="false">IF(A428&lt;Outliers!$E$6,"Low",IF(A428&gt;Outliers!$F$6,"High",""))</f>
        <v/>
      </c>
      <c r="J428" s="6" t="str">
        <f aca="false">IF(B428&lt;Outliers!$E$7,"Low",IF(B428&gt;Outliers!$F$7,"High",""))</f>
        <v/>
      </c>
      <c r="K428" s="6" t="str">
        <f aca="false">IF(C428&lt;Outliers!$E$8,"Low",IF(C428&gt;Outliers!$F$8,"High",""))</f>
        <v/>
      </c>
      <c r="L428" s="6" t="str">
        <f aca="false">A428&amp;";"&amp;B428&amp;";"&amp;C428</f>
        <v>28.23416057;186.5008581;25.2409011367703</v>
      </c>
      <c r="M428" s="6" t="n">
        <f aca="false">IF(COUNTIF($L$2:$L$2201,L428)&gt;1,1,0)</f>
        <v>0</v>
      </c>
      <c r="N428" s="6" t="str">
        <f aca="false">IF(AND(C428&lt;Assumptions!$B$9,B428&lt;Assumptions!$B$10),"Irrigate Now",IF(AND(C428&gt;=Assumptions!$B$11,B428&gt;=Assumptions!$B$12),"No Irrigation Needed","Monitor"))</f>
        <v>No Irrigation Needed</v>
      </c>
      <c r="O428" s="6" t="n">
        <f aca="false">IF(N428=G428,1,0)</f>
        <v>1</v>
      </c>
    </row>
    <row r="429" customFormat="false" ht="15" hidden="false" customHeight="false" outlineLevel="0" collapsed="false">
      <c r="A429" s="16" t="n">
        <v>30.11812084</v>
      </c>
      <c r="B429" s="16" t="n">
        <v>157.0858232</v>
      </c>
      <c r="C429" s="16" t="n">
        <v>26.3993621359895</v>
      </c>
      <c r="D429" s="6" t="s">
        <v>67</v>
      </c>
      <c r="E429" s="6" t="s">
        <v>24</v>
      </c>
      <c r="F429" s="6" t="s">
        <v>23</v>
      </c>
      <c r="G429" s="6" t="s">
        <v>58</v>
      </c>
      <c r="H429" s="6" t="s">
        <v>59</v>
      </c>
      <c r="I429" s="6" t="str">
        <f aca="false">IF(A429&lt;Outliers!$E$6,"Low",IF(A429&gt;Outliers!$F$6,"High",""))</f>
        <v/>
      </c>
      <c r="J429" s="6" t="str">
        <f aca="false">IF(B429&lt;Outliers!$E$7,"Low",IF(B429&gt;Outliers!$F$7,"High",""))</f>
        <v/>
      </c>
      <c r="K429" s="6" t="str">
        <f aca="false">IF(C429&lt;Outliers!$E$8,"Low",IF(C429&gt;Outliers!$F$8,"High",""))</f>
        <v/>
      </c>
      <c r="L429" s="6" t="str">
        <f aca="false">A429&amp;";"&amp;B429&amp;";"&amp;C429</f>
        <v>30.11812084;157.0858232;26.3993621359895</v>
      </c>
      <c r="M429" s="6" t="n">
        <f aca="false">IF(COUNTIF($L$2:$L$2201,L429)&gt;1,1,0)</f>
        <v>0</v>
      </c>
      <c r="N429" s="6" t="str">
        <f aca="false">IF(AND(C429&lt;Assumptions!$B$9,B429&lt;Assumptions!$B$10),"Irrigate Now",IF(AND(C429&gt;=Assumptions!$B$11,B429&gt;=Assumptions!$B$12),"No Irrigation Needed","Monitor"))</f>
        <v>No Irrigation Needed</v>
      </c>
      <c r="O429" s="6" t="n">
        <f aca="false">IF(N429=G429,1,0)</f>
        <v>1</v>
      </c>
    </row>
    <row r="430" customFormat="false" ht="15" hidden="false" customHeight="false" outlineLevel="0" collapsed="false">
      <c r="A430" s="16" t="n">
        <v>33.4126864</v>
      </c>
      <c r="B430" s="16" t="n">
        <v>139.6702541</v>
      </c>
      <c r="C430" s="16" t="n">
        <v>28.9605712496269</v>
      </c>
      <c r="D430" s="6" t="s">
        <v>67</v>
      </c>
      <c r="E430" s="6" t="s">
        <v>57</v>
      </c>
      <c r="F430" s="6" t="s">
        <v>23</v>
      </c>
      <c r="G430" s="6" t="s">
        <v>58</v>
      </c>
      <c r="H430" s="6" t="s">
        <v>59</v>
      </c>
      <c r="I430" s="6" t="str">
        <f aca="false">IF(A430&lt;Outliers!$E$6,"Low",IF(A430&gt;Outliers!$F$6,"High",""))</f>
        <v/>
      </c>
      <c r="J430" s="6" t="str">
        <f aca="false">IF(B430&lt;Outliers!$E$7,"Low",IF(B430&gt;Outliers!$F$7,"High",""))</f>
        <v/>
      </c>
      <c r="K430" s="6" t="str">
        <f aca="false">IF(C430&lt;Outliers!$E$8,"Low",IF(C430&gt;Outliers!$F$8,"High",""))</f>
        <v/>
      </c>
      <c r="L430" s="6" t="str">
        <f aca="false">A430&amp;";"&amp;B430&amp;";"&amp;C430</f>
        <v>33.4126864;139.6702541;28.9605712496269</v>
      </c>
      <c r="M430" s="6" t="n">
        <f aca="false">IF(COUNTIF($L$2:$L$2201,L430)&gt;1,1,0)</f>
        <v>0</v>
      </c>
      <c r="N430" s="6" t="str">
        <f aca="false">IF(AND(C430&lt;Assumptions!$B$9,B430&lt;Assumptions!$B$10),"Irrigate Now",IF(AND(C430&gt;=Assumptions!$B$11,B430&gt;=Assumptions!$B$12),"No Irrigation Needed","Monitor"))</f>
        <v>No Irrigation Needed</v>
      </c>
      <c r="O430" s="6" t="n">
        <f aca="false">IF(N430=G430,1,0)</f>
        <v>1</v>
      </c>
    </row>
    <row r="431" customFormat="false" ht="15" hidden="false" customHeight="false" outlineLevel="0" collapsed="false">
      <c r="A431" s="16" t="n">
        <v>24.18553163</v>
      </c>
      <c r="B431" s="16" t="n">
        <v>177.3377996</v>
      </c>
      <c r="C431" s="16" t="n">
        <v>12.4256452081421</v>
      </c>
      <c r="D431" s="6" t="s">
        <v>57</v>
      </c>
      <c r="E431" s="6" t="s">
        <v>24</v>
      </c>
      <c r="F431" s="6" t="s">
        <v>24</v>
      </c>
      <c r="G431" s="6" t="s">
        <v>61</v>
      </c>
      <c r="H431" s="6" t="s">
        <v>62</v>
      </c>
      <c r="I431" s="6" t="str">
        <f aca="false">IF(A431&lt;Outliers!$E$6,"Low",IF(A431&gt;Outliers!$F$6,"High",""))</f>
        <v/>
      </c>
      <c r="J431" s="6" t="str">
        <f aca="false">IF(B431&lt;Outliers!$E$7,"Low",IF(B431&gt;Outliers!$F$7,"High",""))</f>
        <v/>
      </c>
      <c r="K431" s="6" t="str">
        <f aca="false">IF(C431&lt;Outliers!$E$8,"Low",IF(C431&gt;Outliers!$F$8,"High",""))</f>
        <v/>
      </c>
      <c r="L431" s="6" t="str">
        <f aca="false">A431&amp;";"&amp;B431&amp;";"&amp;C431</f>
        <v>24.18553163;177.3377996;12.4256452081421</v>
      </c>
      <c r="M431" s="6" t="n">
        <f aca="false">IF(COUNTIF($L$2:$L$2201,L431)&gt;1,1,0)</f>
        <v>0</v>
      </c>
      <c r="N431" s="6" t="str">
        <f aca="false">IF(AND(C431&lt;Assumptions!$B$9,B431&lt;Assumptions!$B$10),"Irrigate Now",IF(AND(C431&gt;=Assumptions!$B$11,B431&gt;=Assumptions!$B$12),"No Irrigation Needed","Monitor"))</f>
        <v>Monitor</v>
      </c>
      <c r="O431" s="6" t="n">
        <f aca="false">IF(N431=G431,1,0)</f>
        <v>1</v>
      </c>
    </row>
    <row r="432" customFormat="false" ht="15" hidden="false" customHeight="false" outlineLevel="0" collapsed="false">
      <c r="A432" s="16" t="n">
        <v>26.88630675</v>
      </c>
      <c r="B432" s="16" t="n">
        <v>94.46748008</v>
      </c>
      <c r="C432" s="16" t="n">
        <v>23.8539152029804</v>
      </c>
      <c r="D432" s="6" t="s">
        <v>57</v>
      </c>
      <c r="E432" s="6" t="s">
        <v>57</v>
      </c>
      <c r="F432" s="6" t="s">
        <v>60</v>
      </c>
      <c r="G432" s="6" t="s">
        <v>61</v>
      </c>
      <c r="H432" s="6" t="s">
        <v>63</v>
      </c>
      <c r="I432" s="6" t="str">
        <f aca="false">IF(A432&lt;Outliers!$E$6,"Low",IF(A432&gt;Outliers!$F$6,"High",""))</f>
        <v/>
      </c>
      <c r="J432" s="6" t="str">
        <f aca="false">IF(B432&lt;Outliers!$E$7,"Low",IF(B432&gt;Outliers!$F$7,"High",""))</f>
        <v/>
      </c>
      <c r="K432" s="6" t="str">
        <f aca="false">IF(C432&lt;Outliers!$E$8,"Low",IF(C432&gt;Outliers!$F$8,"High",""))</f>
        <v/>
      </c>
      <c r="L432" s="6" t="str">
        <f aca="false">A432&amp;";"&amp;B432&amp;";"&amp;C432</f>
        <v>26.88630675;94.46748008;23.8539152029804</v>
      </c>
      <c r="M432" s="6" t="n">
        <f aca="false">IF(COUNTIF($L$2:$L$2201,L432)&gt;1,1,0)</f>
        <v>0</v>
      </c>
      <c r="N432" s="6" t="str">
        <f aca="false">IF(AND(C432&lt;Assumptions!$B$9,B432&lt;Assumptions!$B$10),"Irrigate Now",IF(AND(C432&gt;=Assumptions!$B$11,B432&gt;=Assumptions!$B$12),"No Irrigation Needed","Monitor"))</f>
        <v>Monitor</v>
      </c>
      <c r="O432" s="6" t="n">
        <f aca="false">IF(N432=G432,1,0)</f>
        <v>1</v>
      </c>
    </row>
    <row r="433" customFormat="false" ht="15" hidden="false" customHeight="false" outlineLevel="0" collapsed="false">
      <c r="A433" s="16" t="n">
        <v>31.33170829</v>
      </c>
      <c r="B433" s="16" t="n">
        <v>161.7820226</v>
      </c>
      <c r="C433" s="16" t="n">
        <v>18.174582058255</v>
      </c>
      <c r="D433" s="6" t="s">
        <v>67</v>
      </c>
      <c r="E433" s="6" t="s">
        <v>24</v>
      </c>
      <c r="F433" s="6" t="s">
        <v>60</v>
      </c>
      <c r="G433" s="6" t="s">
        <v>61</v>
      </c>
      <c r="H433" s="6" t="s">
        <v>68</v>
      </c>
      <c r="I433" s="6" t="str">
        <f aca="false">IF(A433&lt;Outliers!$E$6,"Low",IF(A433&gt;Outliers!$F$6,"High",""))</f>
        <v/>
      </c>
      <c r="J433" s="6" t="str">
        <f aca="false">IF(B433&lt;Outliers!$E$7,"Low",IF(B433&gt;Outliers!$F$7,"High",""))</f>
        <v/>
      </c>
      <c r="K433" s="6" t="str">
        <f aca="false">IF(C433&lt;Outliers!$E$8,"Low",IF(C433&gt;Outliers!$F$8,"High",""))</f>
        <v/>
      </c>
      <c r="L433" s="6" t="str">
        <f aca="false">A433&amp;";"&amp;B433&amp;";"&amp;C433</f>
        <v>31.33170829;161.7820226;18.174582058255</v>
      </c>
      <c r="M433" s="6" t="n">
        <f aca="false">IF(COUNTIF($L$2:$L$2201,L433)&gt;1,1,0)</f>
        <v>0</v>
      </c>
      <c r="N433" s="6" t="str">
        <f aca="false">IF(AND(C433&lt;Assumptions!$B$9,B433&lt;Assumptions!$B$10),"Irrigate Now",IF(AND(C433&gt;=Assumptions!$B$11,B433&gt;=Assumptions!$B$12),"No Irrigation Needed","Monitor"))</f>
        <v>Monitor</v>
      </c>
      <c r="O433" s="6" t="n">
        <f aca="false">IF(N433=G433,1,0)</f>
        <v>1</v>
      </c>
    </row>
    <row r="434" customFormat="false" ht="15" hidden="false" customHeight="false" outlineLevel="0" collapsed="false">
      <c r="A434" s="16" t="n">
        <v>33.30711818</v>
      </c>
      <c r="B434" s="16" t="n">
        <v>108.5090168</v>
      </c>
      <c r="C434" s="16" t="n">
        <v>27.2398787849556</v>
      </c>
      <c r="D434" s="6" t="s">
        <v>67</v>
      </c>
      <c r="E434" s="6" t="s">
        <v>57</v>
      </c>
      <c r="F434" s="6" t="s">
        <v>23</v>
      </c>
      <c r="G434" s="6" t="s">
        <v>58</v>
      </c>
      <c r="H434" s="6" t="s">
        <v>59</v>
      </c>
      <c r="I434" s="6" t="str">
        <f aca="false">IF(A434&lt;Outliers!$E$6,"Low",IF(A434&gt;Outliers!$F$6,"High",""))</f>
        <v/>
      </c>
      <c r="J434" s="6" t="str">
        <f aca="false">IF(B434&lt;Outliers!$E$7,"Low",IF(B434&gt;Outliers!$F$7,"High",""))</f>
        <v/>
      </c>
      <c r="K434" s="6" t="str">
        <f aca="false">IF(C434&lt;Outliers!$E$8,"Low",IF(C434&gt;Outliers!$F$8,"High",""))</f>
        <v/>
      </c>
      <c r="L434" s="6" t="str">
        <f aca="false">A434&amp;";"&amp;B434&amp;";"&amp;C434</f>
        <v>33.30711818;108.5090168;27.2398787849556</v>
      </c>
      <c r="M434" s="6" t="n">
        <f aca="false">IF(COUNTIF($L$2:$L$2201,L434)&gt;1,1,0)</f>
        <v>0</v>
      </c>
      <c r="N434" s="6" t="str">
        <f aca="false">IF(AND(C434&lt;Assumptions!$B$9,B434&lt;Assumptions!$B$10),"Irrigate Now",IF(AND(C434&gt;=Assumptions!$B$11,B434&gt;=Assumptions!$B$12),"No Irrigation Needed","Monitor"))</f>
        <v>No Irrigation Needed</v>
      </c>
      <c r="O434" s="6" t="n">
        <f aca="false">IF(N434=G434,1,0)</f>
        <v>1</v>
      </c>
    </row>
    <row r="435" customFormat="false" ht="15" hidden="false" customHeight="false" outlineLevel="0" collapsed="false">
      <c r="A435" s="16" t="n">
        <v>23.45379018</v>
      </c>
      <c r="B435" s="16" t="n">
        <v>150.8712202</v>
      </c>
      <c r="C435" s="16" t="n">
        <v>10.8232930352051</v>
      </c>
      <c r="D435" s="6" t="s">
        <v>57</v>
      </c>
      <c r="E435" s="6" t="s">
        <v>24</v>
      </c>
      <c r="F435" s="6" t="s">
        <v>24</v>
      </c>
      <c r="G435" s="6" t="s">
        <v>61</v>
      </c>
      <c r="H435" s="6" t="s">
        <v>62</v>
      </c>
      <c r="I435" s="6" t="str">
        <f aca="false">IF(A435&lt;Outliers!$E$6,"Low",IF(A435&gt;Outliers!$F$6,"High",""))</f>
        <v/>
      </c>
      <c r="J435" s="6" t="str">
        <f aca="false">IF(B435&lt;Outliers!$E$7,"Low",IF(B435&gt;Outliers!$F$7,"High",""))</f>
        <v/>
      </c>
      <c r="K435" s="6" t="str">
        <f aca="false">IF(C435&lt;Outliers!$E$8,"Low",IF(C435&gt;Outliers!$F$8,"High",""))</f>
        <v/>
      </c>
      <c r="L435" s="6" t="str">
        <f aca="false">A435&amp;";"&amp;B435&amp;";"&amp;C435</f>
        <v>23.45379018;150.8712202;10.8232930352051</v>
      </c>
      <c r="M435" s="6" t="n">
        <f aca="false">IF(COUNTIF($L$2:$L$2201,L435)&gt;1,1,0)</f>
        <v>0</v>
      </c>
      <c r="N435" s="6" t="str">
        <f aca="false">IF(AND(C435&lt;Assumptions!$B$9,B435&lt;Assumptions!$B$10),"Irrigate Now",IF(AND(C435&gt;=Assumptions!$B$11,B435&gt;=Assumptions!$B$12),"No Irrigation Needed","Monitor"))</f>
        <v>Monitor</v>
      </c>
      <c r="O435" s="6" t="n">
        <f aca="false">IF(N435=G435,1,0)</f>
        <v>1</v>
      </c>
    </row>
    <row r="436" customFormat="false" ht="15" hidden="false" customHeight="false" outlineLevel="0" collapsed="false">
      <c r="A436" s="16" t="n">
        <v>34.53823889</v>
      </c>
      <c r="B436" s="16" t="n">
        <v>168.5948318</v>
      </c>
      <c r="C436" s="16" t="n">
        <v>17.1752312579374</v>
      </c>
      <c r="D436" s="6" t="s">
        <v>67</v>
      </c>
      <c r="E436" s="6" t="s">
        <v>24</v>
      </c>
      <c r="F436" s="6" t="s">
        <v>60</v>
      </c>
      <c r="G436" s="6" t="s">
        <v>61</v>
      </c>
      <c r="H436" s="6" t="s">
        <v>68</v>
      </c>
      <c r="I436" s="6" t="str">
        <f aca="false">IF(A436&lt;Outliers!$E$6,"Low",IF(A436&gt;Outliers!$F$6,"High",""))</f>
        <v/>
      </c>
      <c r="J436" s="6" t="str">
        <f aca="false">IF(B436&lt;Outliers!$E$7,"Low",IF(B436&gt;Outliers!$F$7,"High",""))</f>
        <v/>
      </c>
      <c r="K436" s="6" t="str">
        <f aca="false">IF(C436&lt;Outliers!$E$8,"Low",IF(C436&gt;Outliers!$F$8,"High",""))</f>
        <v/>
      </c>
      <c r="L436" s="6" t="str">
        <f aca="false">A436&amp;";"&amp;B436&amp;";"&amp;C436</f>
        <v>34.53823889;168.5948318;17.1752312579374</v>
      </c>
      <c r="M436" s="6" t="n">
        <f aca="false">IF(COUNTIF($L$2:$L$2201,L436)&gt;1,1,0)</f>
        <v>0</v>
      </c>
      <c r="N436" s="6" t="str">
        <f aca="false">IF(AND(C436&lt;Assumptions!$B$9,B436&lt;Assumptions!$B$10),"Irrigate Now",IF(AND(C436&gt;=Assumptions!$B$11,B436&gt;=Assumptions!$B$12),"No Irrigation Needed","Monitor"))</f>
        <v>Monitor</v>
      </c>
      <c r="O436" s="6" t="n">
        <f aca="false">IF(N436=G436,1,0)</f>
        <v>1</v>
      </c>
    </row>
    <row r="437" customFormat="false" ht="15" hidden="false" customHeight="false" outlineLevel="0" collapsed="false">
      <c r="A437" s="16" t="n">
        <v>19.50112224</v>
      </c>
      <c r="B437" s="16" t="n">
        <v>197.3752649</v>
      </c>
      <c r="C437" s="16" t="n">
        <v>12.1984840023271</v>
      </c>
      <c r="D437" s="6" t="s">
        <v>66</v>
      </c>
      <c r="E437" s="6" t="s">
        <v>24</v>
      </c>
      <c r="F437" s="6" t="s">
        <v>24</v>
      </c>
      <c r="G437" s="6" t="s">
        <v>61</v>
      </c>
      <c r="H437" s="6" t="s">
        <v>62</v>
      </c>
      <c r="I437" s="6" t="str">
        <f aca="false">IF(A437&lt;Outliers!$E$6,"Low",IF(A437&gt;Outliers!$F$6,"High",""))</f>
        <v/>
      </c>
      <c r="J437" s="6" t="str">
        <f aca="false">IF(B437&lt;Outliers!$E$7,"Low",IF(B437&gt;Outliers!$F$7,"High",""))</f>
        <v/>
      </c>
      <c r="K437" s="6" t="str">
        <f aca="false">IF(C437&lt;Outliers!$E$8,"Low",IF(C437&gt;Outliers!$F$8,"High",""))</f>
        <v/>
      </c>
      <c r="L437" s="6" t="str">
        <f aca="false">A437&amp;";"&amp;B437&amp;";"&amp;C437</f>
        <v>19.50112224;197.3752649;12.1984840023271</v>
      </c>
      <c r="M437" s="6" t="n">
        <f aca="false">IF(COUNTIF($L$2:$L$2201,L437)&gt;1,1,0)</f>
        <v>0</v>
      </c>
      <c r="N437" s="6" t="str">
        <f aca="false">IF(AND(C437&lt;Assumptions!$B$9,B437&lt;Assumptions!$B$10),"Irrigate Now",IF(AND(C437&gt;=Assumptions!$B$11,B437&gt;=Assumptions!$B$12),"No Irrigation Needed","Monitor"))</f>
        <v>Monitor</v>
      </c>
      <c r="O437" s="6" t="n">
        <f aca="false">IF(N437=G437,1,0)</f>
        <v>1</v>
      </c>
    </row>
    <row r="438" customFormat="false" ht="15" hidden="false" customHeight="false" outlineLevel="0" collapsed="false">
      <c r="A438" s="16" t="n">
        <v>28.76794904</v>
      </c>
      <c r="B438" s="16" t="n">
        <v>91.72084869</v>
      </c>
      <c r="C438" s="16" t="n">
        <v>21.9307425305105</v>
      </c>
      <c r="D438" s="6" t="s">
        <v>57</v>
      </c>
      <c r="E438" s="6" t="s">
        <v>57</v>
      </c>
      <c r="F438" s="6" t="s">
        <v>60</v>
      </c>
      <c r="G438" s="6" t="s">
        <v>61</v>
      </c>
      <c r="H438" s="6" t="s">
        <v>63</v>
      </c>
      <c r="I438" s="6" t="str">
        <f aca="false">IF(A438&lt;Outliers!$E$6,"Low",IF(A438&gt;Outliers!$F$6,"High",""))</f>
        <v/>
      </c>
      <c r="J438" s="6" t="str">
        <f aca="false">IF(B438&lt;Outliers!$E$7,"Low",IF(B438&gt;Outliers!$F$7,"High",""))</f>
        <v/>
      </c>
      <c r="K438" s="6" t="str">
        <f aca="false">IF(C438&lt;Outliers!$E$8,"Low",IF(C438&gt;Outliers!$F$8,"High",""))</f>
        <v/>
      </c>
      <c r="L438" s="6" t="str">
        <f aca="false">A438&amp;";"&amp;B438&amp;";"&amp;C438</f>
        <v>28.76794904;91.72084869;21.9307425305105</v>
      </c>
      <c r="M438" s="6" t="n">
        <f aca="false">IF(COUNTIF($L$2:$L$2201,L438)&gt;1,1,0)</f>
        <v>0</v>
      </c>
      <c r="N438" s="6" t="str">
        <f aca="false">IF(AND(C438&lt;Assumptions!$B$9,B438&lt;Assumptions!$B$10),"Irrigate Now",IF(AND(C438&gt;=Assumptions!$B$11,B438&gt;=Assumptions!$B$12),"No Irrigation Needed","Monitor"))</f>
        <v>Monitor</v>
      </c>
      <c r="O438" s="6" t="n">
        <f aca="false">IF(N438=G438,1,0)</f>
        <v>1</v>
      </c>
    </row>
    <row r="439" customFormat="false" ht="15" hidden="false" customHeight="false" outlineLevel="0" collapsed="false">
      <c r="A439" s="16" t="n">
        <v>30.97758716</v>
      </c>
      <c r="B439" s="16" t="n">
        <v>180.716828</v>
      </c>
      <c r="C439" s="16" t="n">
        <v>25.4013935095193</v>
      </c>
      <c r="D439" s="6" t="s">
        <v>67</v>
      </c>
      <c r="E439" s="6" t="s">
        <v>24</v>
      </c>
      <c r="F439" s="6" t="s">
        <v>23</v>
      </c>
      <c r="G439" s="6" t="s">
        <v>58</v>
      </c>
      <c r="H439" s="6" t="s">
        <v>59</v>
      </c>
      <c r="I439" s="6" t="str">
        <f aca="false">IF(A439&lt;Outliers!$E$6,"Low",IF(A439&gt;Outliers!$F$6,"High",""))</f>
        <v/>
      </c>
      <c r="J439" s="6" t="str">
        <f aca="false">IF(B439&lt;Outliers!$E$7,"Low",IF(B439&gt;Outliers!$F$7,"High",""))</f>
        <v/>
      </c>
      <c r="K439" s="6" t="str">
        <f aca="false">IF(C439&lt;Outliers!$E$8,"Low",IF(C439&gt;Outliers!$F$8,"High",""))</f>
        <v/>
      </c>
      <c r="L439" s="6" t="str">
        <f aca="false">A439&amp;";"&amp;B439&amp;";"&amp;C439</f>
        <v>30.97758716;180.716828;25.4013935095193</v>
      </c>
      <c r="M439" s="6" t="n">
        <f aca="false">IF(COUNTIF($L$2:$L$2201,L439)&gt;1,1,0)</f>
        <v>0</v>
      </c>
      <c r="N439" s="6" t="str">
        <f aca="false">IF(AND(C439&lt;Assumptions!$B$9,B439&lt;Assumptions!$B$10),"Irrigate Now",IF(AND(C439&gt;=Assumptions!$B$11,B439&gt;=Assumptions!$B$12),"No Irrigation Needed","Monitor"))</f>
        <v>No Irrigation Needed</v>
      </c>
      <c r="O439" s="6" t="n">
        <f aca="false">IF(N439=G439,1,0)</f>
        <v>1</v>
      </c>
    </row>
    <row r="440" customFormat="false" ht="15" hidden="false" customHeight="false" outlineLevel="0" collapsed="false">
      <c r="A440" s="16" t="n">
        <v>18.39759147</v>
      </c>
      <c r="B440" s="16" t="n">
        <v>93.12330644</v>
      </c>
      <c r="C440" s="16" t="n">
        <v>17.5504659806192</v>
      </c>
      <c r="D440" s="6" t="s">
        <v>66</v>
      </c>
      <c r="E440" s="6" t="s">
        <v>57</v>
      </c>
      <c r="F440" s="6" t="s">
        <v>60</v>
      </c>
      <c r="G440" s="6" t="s">
        <v>64</v>
      </c>
      <c r="H440" s="6" t="s">
        <v>65</v>
      </c>
      <c r="I440" s="6" t="str">
        <f aca="false">IF(A440&lt;Outliers!$E$6,"Low",IF(A440&gt;Outliers!$F$6,"High",""))</f>
        <v/>
      </c>
      <c r="J440" s="6" t="str">
        <f aca="false">IF(B440&lt;Outliers!$E$7,"Low",IF(B440&gt;Outliers!$F$7,"High",""))</f>
        <v/>
      </c>
      <c r="K440" s="6" t="str">
        <f aca="false">IF(C440&lt;Outliers!$E$8,"Low",IF(C440&gt;Outliers!$F$8,"High",""))</f>
        <v/>
      </c>
      <c r="L440" s="6" t="str">
        <f aca="false">A440&amp;";"&amp;B440&amp;";"&amp;C440</f>
        <v>18.39759147;93.12330644;17.5504659806192</v>
      </c>
      <c r="M440" s="6" t="n">
        <f aca="false">IF(COUNTIF($L$2:$L$2201,L440)&gt;1,1,0)</f>
        <v>0</v>
      </c>
      <c r="N440" s="6" t="str">
        <f aca="false">IF(AND(C440&lt;Assumptions!$B$9,B440&lt;Assumptions!$B$10),"Irrigate Now",IF(AND(C440&gt;=Assumptions!$B$11,B440&gt;=Assumptions!$B$12),"No Irrigation Needed","Monitor"))</f>
        <v>Irrigate Now</v>
      </c>
      <c r="O440" s="6" t="n">
        <f aca="false">IF(N440=G440,1,0)</f>
        <v>1</v>
      </c>
    </row>
    <row r="441" customFormat="false" ht="15" hidden="false" customHeight="false" outlineLevel="0" collapsed="false">
      <c r="A441" s="16" t="n">
        <v>35.09357419</v>
      </c>
      <c r="B441" s="16" t="n">
        <v>116.9106908</v>
      </c>
      <c r="C441" s="16" t="n">
        <v>22.273735686006</v>
      </c>
      <c r="D441" s="6" t="s">
        <v>67</v>
      </c>
      <c r="E441" s="6" t="s">
        <v>57</v>
      </c>
      <c r="F441" s="6" t="s">
        <v>60</v>
      </c>
      <c r="G441" s="6" t="s">
        <v>61</v>
      </c>
      <c r="H441" s="6" t="s">
        <v>63</v>
      </c>
      <c r="I441" s="6" t="str">
        <f aca="false">IF(A441&lt;Outliers!$E$6,"Low",IF(A441&gt;Outliers!$F$6,"High",""))</f>
        <v/>
      </c>
      <c r="J441" s="6" t="str">
        <f aca="false">IF(B441&lt;Outliers!$E$7,"Low",IF(B441&gt;Outliers!$F$7,"High",""))</f>
        <v/>
      </c>
      <c r="K441" s="6" t="str">
        <f aca="false">IF(C441&lt;Outliers!$E$8,"Low",IF(C441&gt;Outliers!$F$8,"High",""))</f>
        <v/>
      </c>
      <c r="L441" s="6" t="str">
        <f aca="false">A441&amp;";"&amp;B441&amp;";"&amp;C441</f>
        <v>35.09357419;116.9106908;22.273735686006</v>
      </c>
      <c r="M441" s="6" t="n">
        <f aca="false">IF(COUNTIF($L$2:$L$2201,L441)&gt;1,1,0)</f>
        <v>0</v>
      </c>
      <c r="N441" s="6" t="str">
        <f aca="false">IF(AND(C441&lt;Assumptions!$B$9,B441&lt;Assumptions!$B$10),"Irrigate Now",IF(AND(C441&gt;=Assumptions!$B$11,B441&gt;=Assumptions!$B$12),"No Irrigation Needed","Monitor"))</f>
        <v>Monitor</v>
      </c>
      <c r="O441" s="6" t="n">
        <f aca="false">IF(N441=G441,1,0)</f>
        <v>1</v>
      </c>
    </row>
    <row r="442" customFormat="false" ht="15" hidden="false" customHeight="false" outlineLevel="0" collapsed="false">
      <c r="A442" s="16" t="n">
        <v>34.93174223</v>
      </c>
      <c r="B442" s="16" t="n">
        <v>159.2649827</v>
      </c>
      <c r="C442" s="16" t="n">
        <v>13.104249501879</v>
      </c>
      <c r="D442" s="6" t="s">
        <v>67</v>
      </c>
      <c r="E442" s="6" t="s">
        <v>24</v>
      </c>
      <c r="F442" s="6" t="s">
        <v>24</v>
      </c>
      <c r="G442" s="6" t="s">
        <v>61</v>
      </c>
      <c r="H442" s="6" t="s">
        <v>68</v>
      </c>
      <c r="I442" s="6" t="str">
        <f aca="false">IF(A442&lt;Outliers!$E$6,"Low",IF(A442&gt;Outliers!$F$6,"High",""))</f>
        <v/>
      </c>
      <c r="J442" s="6" t="str">
        <f aca="false">IF(B442&lt;Outliers!$E$7,"Low",IF(B442&gt;Outliers!$F$7,"High",""))</f>
        <v/>
      </c>
      <c r="K442" s="6" t="str">
        <f aca="false">IF(C442&lt;Outliers!$E$8,"Low",IF(C442&gt;Outliers!$F$8,"High",""))</f>
        <v/>
      </c>
      <c r="L442" s="6" t="str">
        <f aca="false">A442&amp;";"&amp;B442&amp;";"&amp;C442</f>
        <v>34.93174223;159.2649827;13.104249501879</v>
      </c>
      <c r="M442" s="6" t="n">
        <f aca="false">IF(COUNTIF($L$2:$L$2201,L442)&gt;1,1,0)</f>
        <v>0</v>
      </c>
      <c r="N442" s="6" t="str">
        <f aca="false">IF(AND(C442&lt;Assumptions!$B$9,B442&lt;Assumptions!$B$10),"Irrigate Now",IF(AND(C442&gt;=Assumptions!$B$11,B442&gt;=Assumptions!$B$12),"No Irrigation Needed","Monitor"))</f>
        <v>Monitor</v>
      </c>
      <c r="O442" s="6" t="n">
        <f aca="false">IF(N442=G442,1,0)</f>
        <v>1</v>
      </c>
    </row>
    <row r="443" customFormat="false" ht="15" hidden="false" customHeight="false" outlineLevel="0" collapsed="false">
      <c r="A443" s="16" t="n">
        <v>29.50523036</v>
      </c>
      <c r="B443" s="16" t="n">
        <v>187.8961851</v>
      </c>
      <c r="C443" s="16" t="n">
        <v>28.5439746794796</v>
      </c>
      <c r="D443" s="6" t="s">
        <v>57</v>
      </c>
      <c r="E443" s="6" t="s">
        <v>24</v>
      </c>
      <c r="F443" s="6" t="s">
        <v>23</v>
      </c>
      <c r="G443" s="6" t="s">
        <v>58</v>
      </c>
      <c r="H443" s="6" t="s">
        <v>59</v>
      </c>
      <c r="I443" s="6" t="str">
        <f aca="false">IF(A443&lt;Outliers!$E$6,"Low",IF(A443&gt;Outliers!$F$6,"High",""))</f>
        <v/>
      </c>
      <c r="J443" s="6" t="str">
        <f aca="false">IF(B443&lt;Outliers!$E$7,"Low",IF(B443&gt;Outliers!$F$7,"High",""))</f>
        <v/>
      </c>
      <c r="K443" s="6" t="str">
        <f aca="false">IF(C443&lt;Outliers!$E$8,"Low",IF(C443&gt;Outliers!$F$8,"High",""))</f>
        <v/>
      </c>
      <c r="L443" s="6" t="str">
        <f aca="false">A443&amp;";"&amp;B443&amp;";"&amp;C443</f>
        <v>29.50523036;187.8961851;28.5439746794796</v>
      </c>
      <c r="M443" s="6" t="n">
        <f aca="false">IF(COUNTIF($L$2:$L$2201,L443)&gt;1,1,0)</f>
        <v>0</v>
      </c>
      <c r="N443" s="6" t="str">
        <f aca="false">IF(AND(C443&lt;Assumptions!$B$9,B443&lt;Assumptions!$B$10),"Irrigate Now",IF(AND(C443&gt;=Assumptions!$B$11,B443&gt;=Assumptions!$B$12),"No Irrigation Needed","Monitor"))</f>
        <v>No Irrigation Needed</v>
      </c>
      <c r="O443" s="6" t="n">
        <f aca="false">IF(N443=G443,1,0)</f>
        <v>1</v>
      </c>
    </row>
    <row r="444" customFormat="false" ht="15" hidden="false" customHeight="false" outlineLevel="0" collapsed="false">
      <c r="A444" s="16" t="n">
        <v>34.51934775</v>
      </c>
      <c r="B444" s="16" t="n">
        <v>129.0064612</v>
      </c>
      <c r="C444" s="16" t="n">
        <v>24.1241613529169</v>
      </c>
      <c r="D444" s="6" t="s">
        <v>67</v>
      </c>
      <c r="E444" s="6" t="s">
        <v>57</v>
      </c>
      <c r="F444" s="6" t="s">
        <v>23</v>
      </c>
      <c r="G444" s="6" t="s">
        <v>61</v>
      </c>
      <c r="H444" s="6" t="s">
        <v>63</v>
      </c>
      <c r="I444" s="6" t="str">
        <f aca="false">IF(A444&lt;Outliers!$E$6,"Low",IF(A444&gt;Outliers!$F$6,"High",""))</f>
        <v/>
      </c>
      <c r="J444" s="6" t="str">
        <f aca="false">IF(B444&lt;Outliers!$E$7,"Low",IF(B444&gt;Outliers!$F$7,"High",""))</f>
        <v/>
      </c>
      <c r="K444" s="6" t="str">
        <f aca="false">IF(C444&lt;Outliers!$E$8,"Low",IF(C444&gt;Outliers!$F$8,"High",""))</f>
        <v/>
      </c>
      <c r="L444" s="6" t="str">
        <f aca="false">A444&amp;";"&amp;B444&amp;";"&amp;C444</f>
        <v>34.51934775;129.0064612;24.1241613529169</v>
      </c>
      <c r="M444" s="6" t="n">
        <f aca="false">IF(COUNTIF($L$2:$L$2201,L444)&gt;1,1,0)</f>
        <v>0</v>
      </c>
      <c r="N444" s="6" t="str">
        <f aca="false">IF(AND(C444&lt;Assumptions!$B$9,B444&lt;Assumptions!$B$10),"Irrigate Now",IF(AND(C444&gt;=Assumptions!$B$11,B444&gt;=Assumptions!$B$12),"No Irrigation Needed","Monitor"))</f>
        <v>Monitor</v>
      </c>
      <c r="O444" s="6" t="n">
        <f aca="false">IF(N444=G444,1,0)</f>
        <v>1</v>
      </c>
    </row>
    <row r="445" customFormat="false" ht="15" hidden="false" customHeight="false" outlineLevel="0" collapsed="false">
      <c r="A445" s="16" t="n">
        <v>28.43430726</v>
      </c>
      <c r="B445" s="16" t="n">
        <v>147.0414824</v>
      </c>
      <c r="C445" s="16" t="n">
        <v>10.3222109484954</v>
      </c>
      <c r="D445" s="6" t="s">
        <v>57</v>
      </c>
      <c r="E445" s="6" t="s">
        <v>57</v>
      </c>
      <c r="F445" s="6" t="s">
        <v>24</v>
      </c>
      <c r="G445" s="6" t="s">
        <v>61</v>
      </c>
      <c r="H445" s="6" t="s">
        <v>63</v>
      </c>
      <c r="I445" s="6" t="str">
        <f aca="false">IF(A445&lt;Outliers!$E$6,"Low",IF(A445&gt;Outliers!$F$6,"High",""))</f>
        <v/>
      </c>
      <c r="J445" s="6" t="str">
        <f aca="false">IF(B445&lt;Outliers!$E$7,"Low",IF(B445&gt;Outliers!$F$7,"High",""))</f>
        <v/>
      </c>
      <c r="K445" s="6" t="str">
        <f aca="false">IF(C445&lt;Outliers!$E$8,"Low",IF(C445&gt;Outliers!$F$8,"High",""))</f>
        <v/>
      </c>
      <c r="L445" s="6" t="str">
        <f aca="false">A445&amp;";"&amp;B445&amp;";"&amp;C445</f>
        <v>28.43430726;147.0414824;10.3222109484954</v>
      </c>
      <c r="M445" s="6" t="n">
        <f aca="false">IF(COUNTIF($L$2:$L$2201,L445)&gt;1,1,0)</f>
        <v>0</v>
      </c>
      <c r="N445" s="6" t="str">
        <f aca="false">IF(AND(C445&lt;Assumptions!$B$9,B445&lt;Assumptions!$B$10),"Irrigate Now",IF(AND(C445&gt;=Assumptions!$B$11,B445&gt;=Assumptions!$B$12),"No Irrigation Needed","Monitor"))</f>
        <v>Monitor</v>
      </c>
      <c r="O445" s="6" t="n">
        <f aca="false">IF(N445=G445,1,0)</f>
        <v>1</v>
      </c>
    </row>
    <row r="446" customFormat="false" ht="15" hidden="false" customHeight="false" outlineLevel="0" collapsed="false">
      <c r="A446" s="16" t="n">
        <v>18.41645629</v>
      </c>
      <c r="B446" s="16" t="n">
        <v>163.2747473</v>
      </c>
      <c r="C446" s="16" t="n">
        <v>17.6327757804452</v>
      </c>
      <c r="D446" s="6" t="s">
        <v>66</v>
      </c>
      <c r="E446" s="6" t="s">
        <v>24</v>
      </c>
      <c r="F446" s="6" t="s">
        <v>60</v>
      </c>
      <c r="G446" s="6" t="s">
        <v>61</v>
      </c>
      <c r="H446" s="6" t="s">
        <v>62</v>
      </c>
      <c r="I446" s="6" t="str">
        <f aca="false">IF(A446&lt;Outliers!$E$6,"Low",IF(A446&gt;Outliers!$F$6,"High",""))</f>
        <v/>
      </c>
      <c r="J446" s="6" t="str">
        <f aca="false">IF(B446&lt;Outliers!$E$7,"Low",IF(B446&gt;Outliers!$F$7,"High",""))</f>
        <v/>
      </c>
      <c r="K446" s="6" t="str">
        <f aca="false">IF(C446&lt;Outliers!$E$8,"Low",IF(C446&gt;Outliers!$F$8,"High",""))</f>
        <v/>
      </c>
      <c r="L446" s="6" t="str">
        <f aca="false">A446&amp;";"&amp;B446&amp;";"&amp;C446</f>
        <v>18.41645629;163.2747473;17.6327757804452</v>
      </c>
      <c r="M446" s="6" t="n">
        <f aca="false">IF(COUNTIF($L$2:$L$2201,L446)&gt;1,1,0)</f>
        <v>0</v>
      </c>
      <c r="N446" s="6" t="str">
        <f aca="false">IF(AND(C446&lt;Assumptions!$B$9,B446&lt;Assumptions!$B$10),"Irrigate Now",IF(AND(C446&gt;=Assumptions!$B$11,B446&gt;=Assumptions!$B$12),"No Irrigation Needed","Monitor"))</f>
        <v>Monitor</v>
      </c>
      <c r="O446" s="6" t="n">
        <f aca="false">IF(N446=G446,1,0)</f>
        <v>1</v>
      </c>
    </row>
    <row r="447" customFormat="false" ht="15" hidden="false" customHeight="false" outlineLevel="0" collapsed="false">
      <c r="A447" s="16" t="n">
        <v>31.07508973</v>
      </c>
      <c r="B447" s="16" t="n">
        <v>91.31256412</v>
      </c>
      <c r="C447" s="16" t="n">
        <v>21.7876294461202</v>
      </c>
      <c r="D447" s="6" t="s">
        <v>67</v>
      </c>
      <c r="E447" s="6" t="s">
        <v>57</v>
      </c>
      <c r="F447" s="6" t="s">
        <v>60</v>
      </c>
      <c r="G447" s="6" t="s">
        <v>61</v>
      </c>
      <c r="H447" s="6" t="s">
        <v>68</v>
      </c>
      <c r="I447" s="6" t="str">
        <f aca="false">IF(A447&lt;Outliers!$E$6,"Low",IF(A447&gt;Outliers!$F$6,"High",""))</f>
        <v/>
      </c>
      <c r="J447" s="6" t="str">
        <f aca="false">IF(B447&lt;Outliers!$E$7,"Low",IF(B447&gt;Outliers!$F$7,"High",""))</f>
        <v/>
      </c>
      <c r="K447" s="6" t="str">
        <f aca="false">IF(C447&lt;Outliers!$E$8,"Low",IF(C447&gt;Outliers!$F$8,"High",""))</f>
        <v/>
      </c>
      <c r="L447" s="6" t="str">
        <f aca="false">A447&amp;";"&amp;B447&amp;";"&amp;C447</f>
        <v>31.07508973;91.31256412;21.7876294461202</v>
      </c>
      <c r="M447" s="6" t="n">
        <f aca="false">IF(COUNTIF($L$2:$L$2201,L447)&gt;1,1,0)</f>
        <v>0</v>
      </c>
      <c r="N447" s="6" t="str">
        <f aca="false">IF(AND(C447&lt;Assumptions!$B$9,B447&lt;Assumptions!$B$10),"Irrigate Now",IF(AND(C447&gt;=Assumptions!$B$11,B447&gt;=Assumptions!$B$12),"No Irrigation Needed","Monitor"))</f>
        <v>Monitor</v>
      </c>
      <c r="O447" s="6" t="n">
        <f aca="false">IF(N447=G447,1,0)</f>
        <v>1</v>
      </c>
    </row>
    <row r="448" customFormat="false" ht="15" hidden="false" customHeight="false" outlineLevel="0" collapsed="false">
      <c r="A448" s="16" t="n">
        <v>20.89342749</v>
      </c>
      <c r="B448" s="16" t="n">
        <v>195.5697875</v>
      </c>
      <c r="C448" s="16" t="n">
        <v>16.0346510624137</v>
      </c>
      <c r="D448" s="6" t="s">
        <v>57</v>
      </c>
      <c r="E448" s="6" t="s">
        <v>24</v>
      </c>
      <c r="F448" s="6" t="s">
        <v>60</v>
      </c>
      <c r="G448" s="6" t="s">
        <v>61</v>
      </c>
      <c r="H448" s="6" t="s">
        <v>62</v>
      </c>
      <c r="I448" s="6" t="str">
        <f aca="false">IF(A448&lt;Outliers!$E$6,"Low",IF(A448&gt;Outliers!$F$6,"High",""))</f>
        <v/>
      </c>
      <c r="J448" s="6" t="str">
        <f aca="false">IF(B448&lt;Outliers!$E$7,"Low",IF(B448&gt;Outliers!$F$7,"High",""))</f>
        <v/>
      </c>
      <c r="K448" s="6" t="str">
        <f aca="false">IF(C448&lt;Outliers!$E$8,"Low",IF(C448&gt;Outliers!$F$8,"High",""))</f>
        <v/>
      </c>
      <c r="L448" s="6" t="str">
        <f aca="false">A448&amp;";"&amp;B448&amp;";"&amp;C448</f>
        <v>20.89342749;195.5697875;16.0346510624137</v>
      </c>
      <c r="M448" s="6" t="n">
        <f aca="false">IF(COUNTIF($L$2:$L$2201,L448)&gt;1,1,0)</f>
        <v>0</v>
      </c>
      <c r="N448" s="6" t="str">
        <f aca="false">IF(AND(C448&lt;Assumptions!$B$9,B448&lt;Assumptions!$B$10),"Irrigate Now",IF(AND(C448&gt;=Assumptions!$B$11,B448&gt;=Assumptions!$B$12),"No Irrigation Needed","Monitor"))</f>
        <v>Monitor</v>
      </c>
      <c r="O448" s="6" t="n">
        <f aca="false">IF(N448=G448,1,0)</f>
        <v>1</v>
      </c>
    </row>
    <row r="449" customFormat="false" ht="15" hidden="false" customHeight="false" outlineLevel="0" collapsed="false">
      <c r="A449" s="16" t="n">
        <v>30.90607799</v>
      </c>
      <c r="B449" s="16" t="n">
        <v>170.9919828</v>
      </c>
      <c r="C449" s="16" t="n">
        <v>18.134095039371</v>
      </c>
      <c r="D449" s="6" t="s">
        <v>67</v>
      </c>
      <c r="E449" s="6" t="s">
        <v>24</v>
      </c>
      <c r="F449" s="6" t="s">
        <v>60</v>
      </c>
      <c r="G449" s="6" t="s">
        <v>61</v>
      </c>
      <c r="H449" s="6" t="s">
        <v>68</v>
      </c>
      <c r="I449" s="6" t="str">
        <f aca="false">IF(A449&lt;Outliers!$E$6,"Low",IF(A449&gt;Outliers!$F$6,"High",""))</f>
        <v/>
      </c>
      <c r="J449" s="6" t="str">
        <f aca="false">IF(B449&lt;Outliers!$E$7,"Low",IF(B449&gt;Outliers!$F$7,"High",""))</f>
        <v/>
      </c>
      <c r="K449" s="6" t="str">
        <f aca="false">IF(C449&lt;Outliers!$E$8,"Low",IF(C449&gt;Outliers!$F$8,"High",""))</f>
        <v/>
      </c>
      <c r="L449" s="6" t="str">
        <f aca="false">A449&amp;";"&amp;B449&amp;";"&amp;C449</f>
        <v>30.90607799;170.9919828;18.134095039371</v>
      </c>
      <c r="M449" s="6" t="n">
        <f aca="false">IF(COUNTIF($L$2:$L$2201,L449)&gt;1,1,0)</f>
        <v>0</v>
      </c>
      <c r="N449" s="6" t="str">
        <f aca="false">IF(AND(C449&lt;Assumptions!$B$9,B449&lt;Assumptions!$B$10),"Irrigate Now",IF(AND(C449&gt;=Assumptions!$B$11,B449&gt;=Assumptions!$B$12),"No Irrigation Needed","Monitor"))</f>
        <v>Monitor</v>
      </c>
      <c r="O449" s="6" t="n">
        <f aca="false">IF(N449=G449,1,0)</f>
        <v>1</v>
      </c>
    </row>
    <row r="450" customFormat="false" ht="15" hidden="false" customHeight="false" outlineLevel="0" collapsed="false">
      <c r="A450" s="16" t="n">
        <v>27.9348279</v>
      </c>
      <c r="B450" s="16" t="n">
        <v>145.3728801</v>
      </c>
      <c r="C450" s="16" t="n">
        <v>20.8697004207883</v>
      </c>
      <c r="D450" s="6" t="s">
        <v>57</v>
      </c>
      <c r="E450" s="6" t="s">
        <v>57</v>
      </c>
      <c r="F450" s="6" t="s">
        <v>60</v>
      </c>
      <c r="G450" s="6" t="s">
        <v>61</v>
      </c>
      <c r="H450" s="6" t="s">
        <v>63</v>
      </c>
      <c r="I450" s="6" t="str">
        <f aca="false">IF(A450&lt;Outliers!$E$6,"Low",IF(A450&gt;Outliers!$F$6,"High",""))</f>
        <v/>
      </c>
      <c r="J450" s="6" t="str">
        <f aca="false">IF(B450&lt;Outliers!$E$7,"Low",IF(B450&gt;Outliers!$F$7,"High",""))</f>
        <v/>
      </c>
      <c r="K450" s="6" t="str">
        <f aca="false">IF(C450&lt;Outliers!$E$8,"Low",IF(C450&gt;Outliers!$F$8,"High",""))</f>
        <v/>
      </c>
      <c r="L450" s="6" t="str">
        <f aca="false">A450&amp;";"&amp;B450&amp;";"&amp;C450</f>
        <v>27.9348279;145.3728801;20.8697004207883</v>
      </c>
      <c r="M450" s="6" t="n">
        <f aca="false">IF(COUNTIF($L$2:$L$2201,L450)&gt;1,1,0)</f>
        <v>0</v>
      </c>
      <c r="N450" s="6" t="str">
        <f aca="false">IF(AND(C450&lt;Assumptions!$B$9,B450&lt;Assumptions!$B$10),"Irrigate Now",IF(AND(C450&gt;=Assumptions!$B$11,B450&gt;=Assumptions!$B$12),"No Irrigation Needed","Monitor"))</f>
        <v>Monitor</v>
      </c>
      <c r="O450" s="6" t="n">
        <f aca="false">IF(N450=G450,1,0)</f>
        <v>1</v>
      </c>
    </row>
    <row r="451" customFormat="false" ht="15" hidden="false" customHeight="false" outlineLevel="0" collapsed="false">
      <c r="A451" s="16" t="n">
        <v>35.95176642</v>
      </c>
      <c r="B451" s="16" t="n">
        <v>136.0456753</v>
      </c>
      <c r="C451" s="16" t="n">
        <v>17.4466725833963</v>
      </c>
      <c r="D451" s="6" t="s">
        <v>67</v>
      </c>
      <c r="E451" s="6" t="s">
        <v>57</v>
      </c>
      <c r="F451" s="6" t="s">
        <v>60</v>
      </c>
      <c r="G451" s="6" t="s">
        <v>61</v>
      </c>
      <c r="H451" s="6" t="s">
        <v>68</v>
      </c>
      <c r="I451" s="6" t="str">
        <f aca="false">IF(A451&lt;Outliers!$E$6,"Low",IF(A451&gt;Outliers!$F$6,"High",""))</f>
        <v/>
      </c>
      <c r="J451" s="6" t="str">
        <f aca="false">IF(B451&lt;Outliers!$E$7,"Low",IF(B451&gt;Outliers!$F$7,"High",""))</f>
        <v/>
      </c>
      <c r="K451" s="6" t="str">
        <f aca="false">IF(C451&lt;Outliers!$E$8,"Low",IF(C451&gt;Outliers!$F$8,"High",""))</f>
        <v/>
      </c>
      <c r="L451" s="6" t="str">
        <f aca="false">A451&amp;";"&amp;B451&amp;";"&amp;C451</f>
        <v>35.95176642;136.0456753;17.4466725833963</v>
      </c>
      <c r="M451" s="6" t="n">
        <f aca="false">IF(COUNTIF($L$2:$L$2201,L451)&gt;1,1,0)</f>
        <v>0</v>
      </c>
      <c r="N451" s="6" t="str">
        <f aca="false">IF(AND(C451&lt;Assumptions!$B$9,B451&lt;Assumptions!$B$10),"Irrigate Now",IF(AND(C451&gt;=Assumptions!$B$11,B451&gt;=Assumptions!$B$12),"No Irrigation Needed","Monitor"))</f>
        <v>Monitor</v>
      </c>
      <c r="O451" s="6" t="n">
        <f aca="false">IF(N451=G451,1,0)</f>
        <v>1</v>
      </c>
    </row>
    <row r="452" customFormat="false" ht="15" hidden="false" customHeight="false" outlineLevel="0" collapsed="false">
      <c r="A452" s="16" t="n">
        <v>19.54317155</v>
      </c>
      <c r="B452" s="16" t="n">
        <v>173.1686574</v>
      </c>
      <c r="C452" s="16" t="n">
        <v>20.8171208872756</v>
      </c>
      <c r="D452" s="6" t="s">
        <v>66</v>
      </c>
      <c r="E452" s="6" t="s">
        <v>24</v>
      </c>
      <c r="F452" s="6" t="s">
        <v>23</v>
      </c>
      <c r="G452" s="6" t="s">
        <v>61</v>
      </c>
      <c r="H452" s="6" t="s">
        <v>62</v>
      </c>
      <c r="I452" s="6" t="str">
        <f aca="false">IF(A452&lt;Outliers!$E$6,"Low",IF(A452&gt;Outliers!$F$6,"High",""))</f>
        <v/>
      </c>
      <c r="J452" s="6" t="str">
        <f aca="false">IF(B452&lt;Outliers!$E$7,"Low",IF(B452&gt;Outliers!$F$7,"High",""))</f>
        <v/>
      </c>
      <c r="K452" s="6" t="str">
        <f aca="false">IF(C452&lt;Outliers!$E$8,"Low",IF(C452&gt;Outliers!$F$8,"High",""))</f>
        <v/>
      </c>
      <c r="L452" s="6" t="str">
        <f aca="false">A452&amp;";"&amp;B452&amp;";"&amp;C452</f>
        <v>19.54317155;173.1686574;20.8171208872756</v>
      </c>
      <c r="M452" s="6" t="n">
        <f aca="false">IF(COUNTIF($L$2:$L$2201,L452)&gt;1,1,0)</f>
        <v>0</v>
      </c>
      <c r="N452" s="6" t="str">
        <f aca="false">IF(AND(C452&lt;Assumptions!$B$9,B452&lt;Assumptions!$B$10),"Irrigate Now",IF(AND(C452&gt;=Assumptions!$B$11,B452&gt;=Assumptions!$B$12),"No Irrigation Needed","Monitor"))</f>
        <v>Monitor</v>
      </c>
      <c r="O452" s="6" t="n">
        <f aca="false">IF(N452=G452,1,0)</f>
        <v>1</v>
      </c>
    </row>
    <row r="453" customFormat="false" ht="15" hidden="false" customHeight="false" outlineLevel="0" collapsed="false">
      <c r="A453" s="16" t="n">
        <v>19.63736208</v>
      </c>
      <c r="B453" s="16" t="n">
        <v>176.4134092</v>
      </c>
      <c r="C453" s="16" t="n">
        <v>22.3177901181058</v>
      </c>
      <c r="D453" s="6" t="s">
        <v>66</v>
      </c>
      <c r="E453" s="6" t="s">
        <v>24</v>
      </c>
      <c r="F453" s="6" t="s">
        <v>23</v>
      </c>
      <c r="G453" s="6" t="s">
        <v>61</v>
      </c>
      <c r="H453" s="6" t="s">
        <v>62</v>
      </c>
      <c r="I453" s="6" t="str">
        <f aca="false">IF(A453&lt;Outliers!$E$6,"Low",IF(A453&gt;Outliers!$F$6,"High",""))</f>
        <v/>
      </c>
      <c r="J453" s="6" t="str">
        <f aca="false">IF(B453&lt;Outliers!$E$7,"Low",IF(B453&gt;Outliers!$F$7,"High",""))</f>
        <v/>
      </c>
      <c r="K453" s="6" t="str">
        <f aca="false">IF(C453&lt;Outliers!$E$8,"Low",IF(C453&gt;Outliers!$F$8,"High",""))</f>
        <v/>
      </c>
      <c r="L453" s="6" t="str">
        <f aca="false">A453&amp;";"&amp;B453&amp;";"&amp;C453</f>
        <v>19.63736208;176.4134092;22.3177901181058</v>
      </c>
      <c r="M453" s="6" t="n">
        <f aca="false">IF(COUNTIF($L$2:$L$2201,L453)&gt;1,1,0)</f>
        <v>0</v>
      </c>
      <c r="N453" s="6" t="str">
        <f aca="false">IF(AND(C453&lt;Assumptions!$B$9,B453&lt;Assumptions!$B$10),"Irrigate Now",IF(AND(C453&gt;=Assumptions!$B$11,B453&gt;=Assumptions!$B$12),"No Irrigation Needed","Monitor"))</f>
        <v>Monitor</v>
      </c>
      <c r="O453" s="6" t="n">
        <f aca="false">IF(N453=G453,1,0)</f>
        <v>1</v>
      </c>
    </row>
    <row r="454" customFormat="false" ht="15" hidden="false" customHeight="false" outlineLevel="0" collapsed="false">
      <c r="A454" s="16" t="n">
        <v>31.2192752</v>
      </c>
      <c r="B454" s="16" t="n">
        <v>129.2028653</v>
      </c>
      <c r="C454" s="16" t="n">
        <v>28.5845639600004</v>
      </c>
      <c r="D454" s="6" t="s">
        <v>67</v>
      </c>
      <c r="E454" s="6" t="s">
        <v>57</v>
      </c>
      <c r="F454" s="6" t="s">
        <v>23</v>
      </c>
      <c r="G454" s="6" t="s">
        <v>58</v>
      </c>
      <c r="H454" s="6" t="s">
        <v>59</v>
      </c>
      <c r="I454" s="6" t="str">
        <f aca="false">IF(A454&lt;Outliers!$E$6,"Low",IF(A454&gt;Outliers!$F$6,"High",""))</f>
        <v/>
      </c>
      <c r="J454" s="6" t="str">
        <f aca="false">IF(B454&lt;Outliers!$E$7,"Low",IF(B454&gt;Outliers!$F$7,"High",""))</f>
        <v/>
      </c>
      <c r="K454" s="6" t="str">
        <f aca="false">IF(C454&lt;Outliers!$E$8,"Low",IF(C454&gt;Outliers!$F$8,"High",""))</f>
        <v/>
      </c>
      <c r="L454" s="6" t="str">
        <f aca="false">A454&amp;";"&amp;B454&amp;";"&amp;C454</f>
        <v>31.2192752;129.2028653;28.5845639600004</v>
      </c>
      <c r="M454" s="6" t="n">
        <f aca="false">IF(COUNTIF($L$2:$L$2201,L454)&gt;1,1,0)</f>
        <v>0</v>
      </c>
      <c r="N454" s="6" t="str">
        <f aca="false">IF(AND(C454&lt;Assumptions!$B$9,B454&lt;Assumptions!$B$10),"Irrigate Now",IF(AND(C454&gt;=Assumptions!$B$11,B454&gt;=Assumptions!$B$12),"No Irrigation Needed","Monitor"))</f>
        <v>No Irrigation Needed</v>
      </c>
      <c r="O454" s="6" t="n">
        <f aca="false">IF(N454=G454,1,0)</f>
        <v>1</v>
      </c>
    </row>
    <row r="455" customFormat="false" ht="15" hidden="false" customHeight="false" outlineLevel="0" collapsed="false">
      <c r="A455" s="16" t="n">
        <v>33.50876355</v>
      </c>
      <c r="B455" s="16" t="n">
        <v>126.6738117</v>
      </c>
      <c r="C455" s="16" t="n">
        <v>26.7983041090574</v>
      </c>
      <c r="D455" s="6" t="s">
        <v>67</v>
      </c>
      <c r="E455" s="6" t="s">
        <v>57</v>
      </c>
      <c r="F455" s="6" t="s">
        <v>23</v>
      </c>
      <c r="G455" s="6" t="s">
        <v>58</v>
      </c>
      <c r="H455" s="6" t="s">
        <v>59</v>
      </c>
      <c r="I455" s="6" t="str">
        <f aca="false">IF(A455&lt;Outliers!$E$6,"Low",IF(A455&gt;Outliers!$F$6,"High",""))</f>
        <v/>
      </c>
      <c r="J455" s="6" t="str">
        <f aca="false">IF(B455&lt;Outliers!$E$7,"Low",IF(B455&gt;Outliers!$F$7,"High",""))</f>
        <v/>
      </c>
      <c r="K455" s="6" t="str">
        <f aca="false">IF(C455&lt;Outliers!$E$8,"Low",IF(C455&gt;Outliers!$F$8,"High",""))</f>
        <v/>
      </c>
      <c r="L455" s="6" t="str">
        <f aca="false">A455&amp;";"&amp;B455&amp;";"&amp;C455</f>
        <v>33.50876355;126.6738117;26.7983041090574</v>
      </c>
      <c r="M455" s="6" t="n">
        <f aca="false">IF(COUNTIF($L$2:$L$2201,L455)&gt;1,1,0)</f>
        <v>0</v>
      </c>
      <c r="N455" s="6" t="str">
        <f aca="false">IF(AND(C455&lt;Assumptions!$B$9,B455&lt;Assumptions!$B$10),"Irrigate Now",IF(AND(C455&gt;=Assumptions!$B$11,B455&gt;=Assumptions!$B$12),"No Irrigation Needed","Monitor"))</f>
        <v>No Irrigation Needed</v>
      </c>
      <c r="O455" s="6" t="n">
        <f aca="false">IF(N455=G455,1,0)</f>
        <v>1</v>
      </c>
    </row>
    <row r="456" customFormat="false" ht="15" hidden="false" customHeight="false" outlineLevel="0" collapsed="false">
      <c r="A456" s="16" t="n">
        <v>24.80710166</v>
      </c>
      <c r="B456" s="16" t="n">
        <v>188.4928637</v>
      </c>
      <c r="C456" s="16" t="n">
        <v>14.0764188625773</v>
      </c>
      <c r="D456" s="6" t="s">
        <v>57</v>
      </c>
      <c r="E456" s="6" t="s">
        <v>24</v>
      </c>
      <c r="F456" s="6" t="s">
        <v>60</v>
      </c>
      <c r="G456" s="6" t="s">
        <v>61</v>
      </c>
      <c r="H456" s="6" t="s">
        <v>62</v>
      </c>
      <c r="I456" s="6" t="str">
        <f aca="false">IF(A456&lt;Outliers!$E$6,"Low",IF(A456&gt;Outliers!$F$6,"High",""))</f>
        <v/>
      </c>
      <c r="J456" s="6" t="str">
        <f aca="false">IF(B456&lt;Outliers!$E$7,"Low",IF(B456&gt;Outliers!$F$7,"High",""))</f>
        <v/>
      </c>
      <c r="K456" s="6" t="str">
        <f aca="false">IF(C456&lt;Outliers!$E$8,"Low",IF(C456&gt;Outliers!$F$8,"High",""))</f>
        <v/>
      </c>
      <c r="L456" s="6" t="str">
        <f aca="false">A456&amp;";"&amp;B456&amp;";"&amp;C456</f>
        <v>24.80710166;188.4928637;14.0764188625773</v>
      </c>
      <c r="M456" s="6" t="n">
        <f aca="false">IF(COUNTIF($L$2:$L$2201,L456)&gt;1,1,0)</f>
        <v>0</v>
      </c>
      <c r="N456" s="6" t="str">
        <f aca="false">IF(AND(C456&lt;Assumptions!$B$9,B456&lt;Assumptions!$B$10),"Irrigate Now",IF(AND(C456&gt;=Assumptions!$B$11,B456&gt;=Assumptions!$B$12),"No Irrigation Needed","Monitor"))</f>
        <v>Monitor</v>
      </c>
      <c r="O456" s="6" t="n">
        <f aca="false">IF(N456=G456,1,0)</f>
        <v>1</v>
      </c>
    </row>
    <row r="457" customFormat="false" ht="15" hidden="false" customHeight="false" outlineLevel="0" collapsed="false">
      <c r="A457" s="16" t="n">
        <v>36.20970524</v>
      </c>
      <c r="B457" s="16" t="n">
        <v>191.0658531</v>
      </c>
      <c r="C457" s="16" t="n">
        <v>23.4473866080153</v>
      </c>
      <c r="D457" s="6" t="s">
        <v>67</v>
      </c>
      <c r="E457" s="6" t="s">
        <v>24</v>
      </c>
      <c r="F457" s="6" t="s">
        <v>23</v>
      </c>
      <c r="G457" s="6" t="s">
        <v>61</v>
      </c>
      <c r="H457" s="6" t="s">
        <v>62</v>
      </c>
      <c r="I457" s="6" t="str">
        <f aca="false">IF(A457&lt;Outliers!$E$6,"Low",IF(A457&gt;Outliers!$F$6,"High",""))</f>
        <v/>
      </c>
      <c r="J457" s="6" t="str">
        <f aca="false">IF(B457&lt;Outliers!$E$7,"Low",IF(B457&gt;Outliers!$F$7,"High",""))</f>
        <v/>
      </c>
      <c r="K457" s="6" t="str">
        <f aca="false">IF(C457&lt;Outliers!$E$8,"Low",IF(C457&gt;Outliers!$F$8,"High",""))</f>
        <v/>
      </c>
      <c r="L457" s="6" t="str">
        <f aca="false">A457&amp;";"&amp;B457&amp;";"&amp;C457</f>
        <v>36.20970524;191.0658531;23.4473866080153</v>
      </c>
      <c r="M457" s="6" t="n">
        <f aca="false">IF(COUNTIF($L$2:$L$2201,L457)&gt;1,1,0)</f>
        <v>0</v>
      </c>
      <c r="N457" s="6" t="str">
        <f aca="false">IF(AND(C457&lt;Assumptions!$B$9,B457&lt;Assumptions!$B$10),"Irrigate Now",IF(AND(C457&gt;=Assumptions!$B$11,B457&gt;=Assumptions!$B$12),"No Irrigation Needed","Monitor"))</f>
        <v>Monitor</v>
      </c>
      <c r="O457" s="6" t="n">
        <f aca="false">IF(N457=G457,1,0)</f>
        <v>1</v>
      </c>
    </row>
    <row r="458" customFormat="false" ht="15" hidden="false" customHeight="false" outlineLevel="0" collapsed="false">
      <c r="A458" s="16" t="n">
        <v>30.50420876</v>
      </c>
      <c r="B458" s="16" t="n">
        <v>162.5927723</v>
      </c>
      <c r="C458" s="16" t="n">
        <v>24.5560378729925</v>
      </c>
      <c r="D458" s="6" t="s">
        <v>67</v>
      </c>
      <c r="E458" s="6" t="s">
        <v>24</v>
      </c>
      <c r="F458" s="6" t="s">
        <v>23</v>
      </c>
      <c r="G458" s="6" t="s">
        <v>61</v>
      </c>
      <c r="H458" s="6" t="s">
        <v>62</v>
      </c>
      <c r="I458" s="6" t="str">
        <f aca="false">IF(A458&lt;Outliers!$E$6,"Low",IF(A458&gt;Outliers!$F$6,"High",""))</f>
        <v/>
      </c>
      <c r="J458" s="6" t="str">
        <f aca="false">IF(B458&lt;Outliers!$E$7,"Low",IF(B458&gt;Outliers!$F$7,"High",""))</f>
        <v/>
      </c>
      <c r="K458" s="6" t="str">
        <f aca="false">IF(C458&lt;Outliers!$E$8,"Low",IF(C458&gt;Outliers!$F$8,"High",""))</f>
        <v/>
      </c>
      <c r="L458" s="6" t="str">
        <f aca="false">A458&amp;";"&amp;B458&amp;";"&amp;C458</f>
        <v>30.50420876;162.5927723;24.5560378729925</v>
      </c>
      <c r="M458" s="6" t="n">
        <f aca="false">IF(COUNTIF($L$2:$L$2201,L458)&gt;1,1,0)</f>
        <v>0</v>
      </c>
      <c r="N458" s="6" t="str">
        <f aca="false">IF(AND(C458&lt;Assumptions!$B$9,B458&lt;Assumptions!$B$10),"Irrigate Now",IF(AND(C458&gt;=Assumptions!$B$11,B458&gt;=Assumptions!$B$12),"No Irrigation Needed","Monitor"))</f>
        <v>Monitor</v>
      </c>
      <c r="O458" s="6" t="n">
        <f aca="false">IF(N458=G458,1,0)</f>
        <v>1</v>
      </c>
    </row>
    <row r="459" customFormat="false" ht="15" hidden="false" customHeight="false" outlineLevel="0" collapsed="false">
      <c r="A459" s="16" t="n">
        <v>26.01630259</v>
      </c>
      <c r="B459" s="16" t="n">
        <v>160.3337447</v>
      </c>
      <c r="C459" s="16" t="n">
        <v>23.026259523357</v>
      </c>
      <c r="D459" s="6" t="s">
        <v>57</v>
      </c>
      <c r="E459" s="6" t="s">
        <v>24</v>
      </c>
      <c r="F459" s="6" t="s">
        <v>23</v>
      </c>
      <c r="G459" s="6" t="s">
        <v>61</v>
      </c>
      <c r="H459" s="6" t="s">
        <v>62</v>
      </c>
      <c r="I459" s="6" t="str">
        <f aca="false">IF(A459&lt;Outliers!$E$6,"Low",IF(A459&gt;Outliers!$F$6,"High",""))</f>
        <v/>
      </c>
      <c r="J459" s="6" t="str">
        <f aca="false">IF(B459&lt;Outliers!$E$7,"Low",IF(B459&gt;Outliers!$F$7,"High",""))</f>
        <v/>
      </c>
      <c r="K459" s="6" t="str">
        <f aca="false">IF(C459&lt;Outliers!$E$8,"Low",IF(C459&gt;Outliers!$F$8,"High",""))</f>
        <v/>
      </c>
      <c r="L459" s="6" t="str">
        <f aca="false">A459&amp;";"&amp;B459&amp;";"&amp;C459</f>
        <v>26.01630259;160.3337447;23.026259523357</v>
      </c>
      <c r="M459" s="6" t="n">
        <f aca="false">IF(COUNTIF($L$2:$L$2201,L459)&gt;1,1,0)</f>
        <v>0</v>
      </c>
      <c r="N459" s="6" t="str">
        <f aca="false">IF(AND(C459&lt;Assumptions!$B$9,B459&lt;Assumptions!$B$10),"Irrigate Now",IF(AND(C459&gt;=Assumptions!$B$11,B459&gt;=Assumptions!$B$12),"No Irrigation Needed","Monitor"))</f>
        <v>Monitor</v>
      </c>
      <c r="O459" s="6" t="n">
        <f aca="false">IF(N459=G459,1,0)</f>
        <v>1</v>
      </c>
    </row>
    <row r="460" customFormat="false" ht="15" hidden="false" customHeight="false" outlineLevel="0" collapsed="false">
      <c r="A460" s="16" t="n">
        <v>31.48469278</v>
      </c>
      <c r="B460" s="16" t="n">
        <v>100.546816</v>
      </c>
      <c r="C460" s="16" t="n">
        <v>13.5034434920691</v>
      </c>
      <c r="D460" s="6" t="s">
        <v>67</v>
      </c>
      <c r="E460" s="6" t="s">
        <v>57</v>
      </c>
      <c r="F460" s="6" t="s">
        <v>24</v>
      </c>
      <c r="G460" s="6" t="s">
        <v>61</v>
      </c>
      <c r="H460" s="6" t="s">
        <v>68</v>
      </c>
      <c r="I460" s="6" t="str">
        <f aca="false">IF(A460&lt;Outliers!$E$6,"Low",IF(A460&gt;Outliers!$F$6,"High",""))</f>
        <v/>
      </c>
      <c r="J460" s="6" t="str">
        <f aca="false">IF(B460&lt;Outliers!$E$7,"Low",IF(B460&gt;Outliers!$F$7,"High",""))</f>
        <v/>
      </c>
      <c r="K460" s="6" t="str">
        <f aca="false">IF(C460&lt;Outliers!$E$8,"Low",IF(C460&gt;Outliers!$F$8,"High",""))</f>
        <v/>
      </c>
      <c r="L460" s="6" t="str">
        <f aca="false">A460&amp;";"&amp;B460&amp;";"&amp;C460</f>
        <v>31.48469278;100.546816;13.5034434920691</v>
      </c>
      <c r="M460" s="6" t="n">
        <f aca="false">IF(COUNTIF($L$2:$L$2201,L460)&gt;1,1,0)</f>
        <v>0</v>
      </c>
      <c r="N460" s="6" t="str">
        <f aca="false">IF(AND(C460&lt;Assumptions!$B$9,B460&lt;Assumptions!$B$10),"Irrigate Now",IF(AND(C460&gt;=Assumptions!$B$11,B460&gt;=Assumptions!$B$12),"No Irrigation Needed","Monitor"))</f>
        <v>Monitor</v>
      </c>
      <c r="O460" s="6" t="n">
        <f aca="false">IF(N460=G460,1,0)</f>
        <v>1</v>
      </c>
    </row>
    <row r="461" customFormat="false" ht="15" hidden="false" customHeight="false" outlineLevel="0" collapsed="false">
      <c r="A461" s="16" t="n">
        <v>33.15122581</v>
      </c>
      <c r="B461" s="16" t="n">
        <v>105.0380275</v>
      </c>
      <c r="C461" s="16" t="n">
        <v>11.1444245510538</v>
      </c>
      <c r="D461" s="6" t="s">
        <v>67</v>
      </c>
      <c r="E461" s="6" t="s">
        <v>57</v>
      </c>
      <c r="F461" s="6" t="s">
        <v>24</v>
      </c>
      <c r="G461" s="6" t="s">
        <v>61</v>
      </c>
      <c r="H461" s="6" t="s">
        <v>68</v>
      </c>
      <c r="I461" s="6" t="str">
        <f aca="false">IF(A461&lt;Outliers!$E$6,"Low",IF(A461&gt;Outliers!$F$6,"High",""))</f>
        <v/>
      </c>
      <c r="J461" s="6" t="str">
        <f aca="false">IF(B461&lt;Outliers!$E$7,"Low",IF(B461&gt;Outliers!$F$7,"High",""))</f>
        <v/>
      </c>
      <c r="K461" s="6" t="str">
        <f aca="false">IF(C461&lt;Outliers!$E$8,"Low",IF(C461&gt;Outliers!$F$8,"High",""))</f>
        <v/>
      </c>
      <c r="L461" s="6" t="str">
        <f aca="false">A461&amp;";"&amp;B461&amp;";"&amp;C461</f>
        <v>33.15122581;105.0380275;11.1444245510538</v>
      </c>
      <c r="M461" s="6" t="n">
        <f aca="false">IF(COUNTIF($L$2:$L$2201,L461)&gt;1,1,0)</f>
        <v>0</v>
      </c>
      <c r="N461" s="6" t="str">
        <f aca="false">IF(AND(C461&lt;Assumptions!$B$9,B461&lt;Assumptions!$B$10),"Irrigate Now",IF(AND(C461&gt;=Assumptions!$B$11,B461&gt;=Assumptions!$B$12),"No Irrigation Needed","Monitor"))</f>
        <v>Monitor</v>
      </c>
      <c r="O461" s="6" t="n">
        <f aca="false">IF(N461=G461,1,0)</f>
        <v>1</v>
      </c>
    </row>
    <row r="462" customFormat="false" ht="15" hidden="false" customHeight="false" outlineLevel="0" collapsed="false">
      <c r="A462" s="16" t="n">
        <v>23.50222822</v>
      </c>
      <c r="B462" s="16" t="n">
        <v>192.3023991</v>
      </c>
      <c r="C462" s="16" t="n">
        <v>10.8612903271409</v>
      </c>
      <c r="D462" s="6" t="s">
        <v>57</v>
      </c>
      <c r="E462" s="6" t="s">
        <v>24</v>
      </c>
      <c r="F462" s="6" t="s">
        <v>24</v>
      </c>
      <c r="G462" s="6" t="s">
        <v>61</v>
      </c>
      <c r="H462" s="6" t="s">
        <v>62</v>
      </c>
      <c r="I462" s="6" t="str">
        <f aca="false">IF(A462&lt;Outliers!$E$6,"Low",IF(A462&gt;Outliers!$F$6,"High",""))</f>
        <v/>
      </c>
      <c r="J462" s="6" t="str">
        <f aca="false">IF(B462&lt;Outliers!$E$7,"Low",IF(B462&gt;Outliers!$F$7,"High",""))</f>
        <v/>
      </c>
      <c r="K462" s="6" t="str">
        <f aca="false">IF(C462&lt;Outliers!$E$8,"Low",IF(C462&gt;Outliers!$F$8,"High",""))</f>
        <v/>
      </c>
      <c r="L462" s="6" t="str">
        <f aca="false">A462&amp;";"&amp;B462&amp;";"&amp;C462</f>
        <v>23.50222822;192.3023991;10.8612903271409</v>
      </c>
      <c r="M462" s="6" t="n">
        <f aca="false">IF(COUNTIF($L$2:$L$2201,L462)&gt;1,1,0)</f>
        <v>0</v>
      </c>
      <c r="N462" s="6" t="str">
        <f aca="false">IF(AND(C462&lt;Assumptions!$B$9,B462&lt;Assumptions!$B$10),"Irrigate Now",IF(AND(C462&gt;=Assumptions!$B$11,B462&gt;=Assumptions!$B$12),"No Irrigation Needed","Monitor"))</f>
        <v>Monitor</v>
      </c>
      <c r="O462" s="6" t="n">
        <f aca="false">IF(N462=G462,1,0)</f>
        <v>1</v>
      </c>
    </row>
    <row r="463" customFormat="false" ht="15" hidden="false" customHeight="false" outlineLevel="0" collapsed="false">
      <c r="A463" s="16" t="n">
        <v>34.87248659</v>
      </c>
      <c r="B463" s="16" t="n">
        <v>148.2502786</v>
      </c>
      <c r="C463" s="16" t="n">
        <v>19.1350009460227</v>
      </c>
      <c r="D463" s="6" t="s">
        <v>67</v>
      </c>
      <c r="E463" s="6" t="s">
        <v>57</v>
      </c>
      <c r="F463" s="6" t="s">
        <v>60</v>
      </c>
      <c r="G463" s="6" t="s">
        <v>61</v>
      </c>
      <c r="H463" s="6" t="s">
        <v>68</v>
      </c>
      <c r="I463" s="6" t="str">
        <f aca="false">IF(A463&lt;Outliers!$E$6,"Low",IF(A463&gt;Outliers!$F$6,"High",""))</f>
        <v/>
      </c>
      <c r="J463" s="6" t="str">
        <f aca="false">IF(B463&lt;Outliers!$E$7,"Low",IF(B463&gt;Outliers!$F$7,"High",""))</f>
        <v/>
      </c>
      <c r="K463" s="6" t="str">
        <f aca="false">IF(C463&lt;Outliers!$E$8,"Low",IF(C463&gt;Outliers!$F$8,"High",""))</f>
        <v/>
      </c>
      <c r="L463" s="6" t="str">
        <f aca="false">A463&amp;";"&amp;B463&amp;";"&amp;C463</f>
        <v>34.87248659;148.2502786;19.1350009460227</v>
      </c>
      <c r="M463" s="6" t="n">
        <f aca="false">IF(COUNTIF($L$2:$L$2201,L463)&gt;1,1,0)</f>
        <v>0</v>
      </c>
      <c r="N463" s="6" t="str">
        <f aca="false">IF(AND(C463&lt;Assumptions!$B$9,B463&lt;Assumptions!$B$10),"Irrigate Now",IF(AND(C463&gt;=Assumptions!$B$11,B463&gt;=Assumptions!$B$12),"No Irrigation Needed","Monitor"))</f>
        <v>Monitor</v>
      </c>
      <c r="O463" s="6" t="n">
        <f aca="false">IF(N463=G463,1,0)</f>
        <v>1</v>
      </c>
    </row>
    <row r="464" customFormat="false" ht="15" hidden="false" customHeight="false" outlineLevel="0" collapsed="false">
      <c r="A464" s="16" t="n">
        <v>28.09269012</v>
      </c>
      <c r="B464" s="16" t="n">
        <v>197.1144011</v>
      </c>
      <c r="C464" s="16" t="n">
        <v>21.0150829736754</v>
      </c>
      <c r="D464" s="6" t="s">
        <v>57</v>
      </c>
      <c r="E464" s="6" t="s">
        <v>24</v>
      </c>
      <c r="F464" s="6" t="s">
        <v>23</v>
      </c>
      <c r="G464" s="6" t="s">
        <v>61</v>
      </c>
      <c r="H464" s="6" t="s">
        <v>62</v>
      </c>
      <c r="I464" s="6" t="str">
        <f aca="false">IF(A464&lt;Outliers!$E$6,"Low",IF(A464&gt;Outliers!$F$6,"High",""))</f>
        <v/>
      </c>
      <c r="J464" s="6" t="str">
        <f aca="false">IF(B464&lt;Outliers!$E$7,"Low",IF(B464&gt;Outliers!$F$7,"High",""))</f>
        <v/>
      </c>
      <c r="K464" s="6" t="str">
        <f aca="false">IF(C464&lt;Outliers!$E$8,"Low",IF(C464&gt;Outliers!$F$8,"High",""))</f>
        <v/>
      </c>
      <c r="L464" s="6" t="str">
        <f aca="false">A464&amp;";"&amp;B464&amp;";"&amp;C464</f>
        <v>28.09269012;197.1144011;21.0150829736754</v>
      </c>
      <c r="M464" s="6" t="n">
        <f aca="false">IF(COUNTIF($L$2:$L$2201,L464)&gt;1,1,0)</f>
        <v>0</v>
      </c>
      <c r="N464" s="6" t="str">
        <f aca="false">IF(AND(C464&lt;Assumptions!$B$9,B464&lt;Assumptions!$B$10),"Irrigate Now",IF(AND(C464&gt;=Assumptions!$B$11,B464&gt;=Assumptions!$B$12),"No Irrigation Needed","Monitor"))</f>
        <v>Monitor</v>
      </c>
      <c r="O464" s="6" t="n">
        <f aca="false">IF(N464=G464,1,0)</f>
        <v>1</v>
      </c>
    </row>
    <row r="465" customFormat="false" ht="15" hidden="false" customHeight="false" outlineLevel="0" collapsed="false">
      <c r="A465" s="16" t="n">
        <v>24.54757829</v>
      </c>
      <c r="B465" s="16" t="n">
        <v>118.3606557</v>
      </c>
      <c r="C465" s="16" t="n">
        <v>16.4363433516566</v>
      </c>
      <c r="D465" s="6" t="s">
        <v>57</v>
      </c>
      <c r="E465" s="6" t="s">
        <v>57</v>
      </c>
      <c r="F465" s="6" t="s">
        <v>60</v>
      </c>
      <c r="G465" s="6" t="s">
        <v>61</v>
      </c>
      <c r="H465" s="6" t="s">
        <v>63</v>
      </c>
      <c r="I465" s="6" t="str">
        <f aca="false">IF(A465&lt;Outliers!$E$6,"Low",IF(A465&gt;Outliers!$F$6,"High",""))</f>
        <v/>
      </c>
      <c r="J465" s="6" t="str">
        <f aca="false">IF(B465&lt;Outliers!$E$7,"Low",IF(B465&gt;Outliers!$F$7,"High",""))</f>
        <v/>
      </c>
      <c r="K465" s="6" t="str">
        <f aca="false">IF(C465&lt;Outliers!$E$8,"Low",IF(C465&gt;Outliers!$F$8,"High",""))</f>
        <v/>
      </c>
      <c r="L465" s="6" t="str">
        <f aca="false">A465&amp;";"&amp;B465&amp;";"&amp;C465</f>
        <v>24.54757829;118.3606557;16.4363433516566</v>
      </c>
      <c r="M465" s="6" t="n">
        <f aca="false">IF(COUNTIF($L$2:$L$2201,L465)&gt;1,1,0)</f>
        <v>0</v>
      </c>
      <c r="N465" s="6" t="str">
        <f aca="false">IF(AND(C465&lt;Assumptions!$B$9,B465&lt;Assumptions!$B$10),"Irrigate Now",IF(AND(C465&gt;=Assumptions!$B$11,B465&gt;=Assumptions!$B$12),"No Irrigation Needed","Monitor"))</f>
        <v>Monitor</v>
      </c>
      <c r="O465" s="6" t="n">
        <f aca="false">IF(N465=G465,1,0)</f>
        <v>1</v>
      </c>
    </row>
    <row r="466" customFormat="false" ht="15" hidden="false" customHeight="false" outlineLevel="0" collapsed="false">
      <c r="A466" s="16" t="n">
        <v>33.64769646</v>
      </c>
      <c r="B466" s="16" t="n">
        <v>100.4673278</v>
      </c>
      <c r="C466" s="16" t="n">
        <v>20.2733568218481</v>
      </c>
      <c r="D466" s="6" t="s">
        <v>67</v>
      </c>
      <c r="E466" s="6" t="s">
        <v>57</v>
      </c>
      <c r="F466" s="6" t="s">
        <v>60</v>
      </c>
      <c r="G466" s="6" t="s">
        <v>61</v>
      </c>
      <c r="H466" s="6" t="s">
        <v>68</v>
      </c>
      <c r="I466" s="6" t="str">
        <f aca="false">IF(A466&lt;Outliers!$E$6,"Low",IF(A466&gt;Outliers!$F$6,"High",""))</f>
        <v/>
      </c>
      <c r="J466" s="6" t="str">
        <f aca="false">IF(B466&lt;Outliers!$E$7,"Low",IF(B466&gt;Outliers!$F$7,"High",""))</f>
        <v/>
      </c>
      <c r="K466" s="6" t="str">
        <f aca="false">IF(C466&lt;Outliers!$E$8,"Low",IF(C466&gt;Outliers!$F$8,"High",""))</f>
        <v/>
      </c>
      <c r="L466" s="6" t="str">
        <f aca="false">A466&amp;";"&amp;B466&amp;";"&amp;C466</f>
        <v>33.64769646;100.4673278;20.2733568218481</v>
      </c>
      <c r="M466" s="6" t="n">
        <f aca="false">IF(COUNTIF($L$2:$L$2201,L466)&gt;1,1,0)</f>
        <v>0</v>
      </c>
      <c r="N466" s="6" t="str">
        <f aca="false">IF(AND(C466&lt;Assumptions!$B$9,B466&lt;Assumptions!$B$10),"Irrigate Now",IF(AND(C466&gt;=Assumptions!$B$11,B466&gt;=Assumptions!$B$12),"No Irrigation Needed","Monitor"))</f>
        <v>Monitor</v>
      </c>
      <c r="O466" s="6" t="n">
        <f aca="false">IF(N466=G466,1,0)</f>
        <v>1</v>
      </c>
    </row>
    <row r="467" customFormat="false" ht="15" hidden="false" customHeight="false" outlineLevel="0" collapsed="false">
      <c r="A467" s="16" t="n">
        <v>20.5591255</v>
      </c>
      <c r="B467" s="16" t="n">
        <v>191.0895109</v>
      </c>
      <c r="C467" s="16" t="n">
        <v>18.7726463540815</v>
      </c>
      <c r="D467" s="6" t="s">
        <v>57</v>
      </c>
      <c r="E467" s="6" t="s">
        <v>24</v>
      </c>
      <c r="F467" s="6" t="s">
        <v>60</v>
      </c>
      <c r="G467" s="6" t="s">
        <v>61</v>
      </c>
      <c r="H467" s="6" t="s">
        <v>62</v>
      </c>
      <c r="I467" s="6" t="str">
        <f aca="false">IF(A467&lt;Outliers!$E$6,"Low",IF(A467&gt;Outliers!$F$6,"High",""))</f>
        <v/>
      </c>
      <c r="J467" s="6" t="str">
        <f aca="false">IF(B467&lt;Outliers!$E$7,"Low",IF(B467&gt;Outliers!$F$7,"High",""))</f>
        <v/>
      </c>
      <c r="K467" s="6" t="str">
        <f aca="false">IF(C467&lt;Outliers!$E$8,"Low",IF(C467&gt;Outliers!$F$8,"High",""))</f>
        <v/>
      </c>
      <c r="L467" s="6" t="str">
        <f aca="false">A467&amp;";"&amp;B467&amp;";"&amp;C467</f>
        <v>20.5591255;191.0895109;18.7726463540815</v>
      </c>
      <c r="M467" s="6" t="n">
        <f aca="false">IF(COUNTIF($L$2:$L$2201,L467)&gt;1,1,0)</f>
        <v>0</v>
      </c>
      <c r="N467" s="6" t="str">
        <f aca="false">IF(AND(C467&lt;Assumptions!$B$9,B467&lt;Assumptions!$B$10),"Irrigate Now",IF(AND(C467&gt;=Assumptions!$B$11,B467&gt;=Assumptions!$B$12),"No Irrigation Needed","Monitor"))</f>
        <v>Monitor</v>
      </c>
      <c r="O467" s="6" t="n">
        <f aca="false">IF(N467=G467,1,0)</f>
        <v>1</v>
      </c>
    </row>
    <row r="468" customFormat="false" ht="15" hidden="false" customHeight="false" outlineLevel="0" collapsed="false">
      <c r="A468" s="16" t="n">
        <v>19.95991719</v>
      </c>
      <c r="B468" s="16" t="n">
        <v>195.787103</v>
      </c>
      <c r="C468" s="16" t="n">
        <v>29.5794451757439</v>
      </c>
      <c r="D468" s="6" t="s">
        <v>66</v>
      </c>
      <c r="E468" s="6" t="s">
        <v>24</v>
      </c>
      <c r="F468" s="6" t="s">
        <v>23</v>
      </c>
      <c r="G468" s="6" t="s">
        <v>58</v>
      </c>
      <c r="H468" s="6" t="s">
        <v>59</v>
      </c>
      <c r="I468" s="6" t="str">
        <f aca="false">IF(A468&lt;Outliers!$E$6,"Low",IF(A468&gt;Outliers!$F$6,"High",""))</f>
        <v/>
      </c>
      <c r="J468" s="6" t="str">
        <f aca="false">IF(B468&lt;Outliers!$E$7,"Low",IF(B468&gt;Outliers!$F$7,"High",""))</f>
        <v/>
      </c>
      <c r="K468" s="6" t="str">
        <f aca="false">IF(C468&lt;Outliers!$E$8,"Low",IF(C468&gt;Outliers!$F$8,"High",""))</f>
        <v/>
      </c>
      <c r="L468" s="6" t="str">
        <f aca="false">A468&amp;";"&amp;B468&amp;";"&amp;C468</f>
        <v>19.95991719;195.787103;29.5794451757439</v>
      </c>
      <c r="M468" s="6" t="n">
        <f aca="false">IF(COUNTIF($L$2:$L$2201,L468)&gt;1,1,0)</f>
        <v>0</v>
      </c>
      <c r="N468" s="6" t="str">
        <f aca="false">IF(AND(C468&lt;Assumptions!$B$9,B468&lt;Assumptions!$B$10),"Irrigate Now",IF(AND(C468&gt;=Assumptions!$B$11,B468&gt;=Assumptions!$B$12),"No Irrigation Needed","Monitor"))</f>
        <v>No Irrigation Needed</v>
      </c>
      <c r="O468" s="6" t="n">
        <f aca="false">IF(N468=G468,1,0)</f>
        <v>1</v>
      </c>
    </row>
    <row r="469" customFormat="false" ht="15" hidden="false" customHeight="false" outlineLevel="0" collapsed="false">
      <c r="A469" s="16" t="n">
        <v>28.87667593</v>
      </c>
      <c r="B469" s="16" t="n">
        <v>182.2688175</v>
      </c>
      <c r="C469" s="16" t="n">
        <v>15.6392459654876</v>
      </c>
      <c r="D469" s="6" t="s">
        <v>57</v>
      </c>
      <c r="E469" s="6" t="s">
        <v>24</v>
      </c>
      <c r="F469" s="6" t="s">
        <v>60</v>
      </c>
      <c r="G469" s="6" t="s">
        <v>61</v>
      </c>
      <c r="H469" s="6" t="s">
        <v>62</v>
      </c>
      <c r="I469" s="6" t="str">
        <f aca="false">IF(A469&lt;Outliers!$E$6,"Low",IF(A469&gt;Outliers!$F$6,"High",""))</f>
        <v/>
      </c>
      <c r="J469" s="6" t="str">
        <f aca="false">IF(B469&lt;Outliers!$E$7,"Low",IF(B469&gt;Outliers!$F$7,"High",""))</f>
        <v/>
      </c>
      <c r="K469" s="6" t="str">
        <f aca="false">IF(C469&lt;Outliers!$E$8,"Low",IF(C469&gt;Outliers!$F$8,"High",""))</f>
        <v/>
      </c>
      <c r="L469" s="6" t="str">
        <f aca="false">A469&amp;";"&amp;B469&amp;";"&amp;C469</f>
        <v>28.87667593;182.2688175;15.6392459654876</v>
      </c>
      <c r="M469" s="6" t="n">
        <f aca="false">IF(COUNTIF($L$2:$L$2201,L469)&gt;1,1,0)</f>
        <v>0</v>
      </c>
      <c r="N469" s="6" t="str">
        <f aca="false">IF(AND(C469&lt;Assumptions!$B$9,B469&lt;Assumptions!$B$10),"Irrigate Now",IF(AND(C469&gt;=Assumptions!$B$11,B469&gt;=Assumptions!$B$12),"No Irrigation Needed","Monitor"))</f>
        <v>Monitor</v>
      </c>
      <c r="O469" s="6" t="n">
        <f aca="false">IF(N469=G469,1,0)</f>
        <v>1</v>
      </c>
    </row>
    <row r="470" customFormat="false" ht="15" hidden="false" customHeight="false" outlineLevel="0" collapsed="false">
      <c r="A470" s="16" t="n">
        <v>36.04353699</v>
      </c>
      <c r="B470" s="16" t="n">
        <v>159.8938645</v>
      </c>
      <c r="C470" s="16" t="n">
        <v>16.83072382914</v>
      </c>
      <c r="D470" s="6" t="s">
        <v>67</v>
      </c>
      <c r="E470" s="6" t="s">
        <v>24</v>
      </c>
      <c r="F470" s="6" t="s">
        <v>60</v>
      </c>
      <c r="G470" s="6" t="s">
        <v>61</v>
      </c>
      <c r="H470" s="6" t="s">
        <v>68</v>
      </c>
      <c r="I470" s="6" t="str">
        <f aca="false">IF(A470&lt;Outliers!$E$6,"Low",IF(A470&gt;Outliers!$F$6,"High",""))</f>
        <v/>
      </c>
      <c r="J470" s="6" t="str">
        <f aca="false">IF(B470&lt;Outliers!$E$7,"Low",IF(B470&gt;Outliers!$F$7,"High",""))</f>
        <v/>
      </c>
      <c r="K470" s="6" t="str">
        <f aca="false">IF(C470&lt;Outliers!$E$8,"Low",IF(C470&gt;Outliers!$F$8,"High",""))</f>
        <v/>
      </c>
      <c r="L470" s="6" t="str">
        <f aca="false">A470&amp;";"&amp;B470&amp;";"&amp;C470</f>
        <v>36.04353699;159.8938645;16.83072382914</v>
      </c>
      <c r="M470" s="6" t="n">
        <f aca="false">IF(COUNTIF($L$2:$L$2201,L470)&gt;1,1,0)</f>
        <v>0</v>
      </c>
      <c r="N470" s="6" t="str">
        <f aca="false">IF(AND(C470&lt;Assumptions!$B$9,B470&lt;Assumptions!$B$10),"Irrigate Now",IF(AND(C470&gt;=Assumptions!$B$11,B470&gt;=Assumptions!$B$12),"No Irrigation Needed","Monitor"))</f>
        <v>Monitor</v>
      </c>
      <c r="O470" s="6" t="n">
        <f aca="false">IF(N470=G470,1,0)</f>
        <v>1</v>
      </c>
    </row>
    <row r="471" customFormat="false" ht="15" hidden="false" customHeight="false" outlineLevel="0" collapsed="false">
      <c r="A471" s="16" t="n">
        <v>23.6734328</v>
      </c>
      <c r="B471" s="16" t="n">
        <v>141.1250722</v>
      </c>
      <c r="C471" s="16" t="n">
        <v>24.7021654509977</v>
      </c>
      <c r="D471" s="6" t="s">
        <v>57</v>
      </c>
      <c r="E471" s="6" t="s">
        <v>57</v>
      </c>
      <c r="F471" s="6" t="s">
        <v>23</v>
      </c>
      <c r="G471" s="6" t="s">
        <v>61</v>
      </c>
      <c r="H471" s="6" t="s">
        <v>63</v>
      </c>
      <c r="I471" s="6" t="str">
        <f aca="false">IF(A471&lt;Outliers!$E$6,"Low",IF(A471&gt;Outliers!$F$6,"High",""))</f>
        <v/>
      </c>
      <c r="J471" s="6" t="str">
        <f aca="false">IF(B471&lt;Outliers!$E$7,"Low",IF(B471&gt;Outliers!$F$7,"High",""))</f>
        <v/>
      </c>
      <c r="K471" s="6" t="str">
        <f aca="false">IF(C471&lt;Outliers!$E$8,"Low",IF(C471&gt;Outliers!$F$8,"High",""))</f>
        <v/>
      </c>
      <c r="L471" s="6" t="str">
        <f aca="false">A471&amp;";"&amp;B471&amp;";"&amp;C471</f>
        <v>23.6734328;141.1250722;24.7021654509977</v>
      </c>
      <c r="M471" s="6" t="n">
        <f aca="false">IF(COUNTIF($L$2:$L$2201,L471)&gt;1,1,0)</f>
        <v>0</v>
      </c>
      <c r="N471" s="6" t="str">
        <f aca="false">IF(AND(C471&lt;Assumptions!$B$9,B471&lt;Assumptions!$B$10),"Irrigate Now",IF(AND(C471&gt;=Assumptions!$B$11,B471&gt;=Assumptions!$B$12),"No Irrigation Needed","Monitor"))</f>
        <v>Monitor</v>
      </c>
      <c r="O471" s="6" t="n">
        <f aca="false">IF(N471=G471,1,0)</f>
        <v>1</v>
      </c>
    </row>
    <row r="472" customFormat="false" ht="15" hidden="false" customHeight="false" outlineLevel="0" collapsed="false">
      <c r="A472" s="16" t="n">
        <v>25.74679443</v>
      </c>
      <c r="B472" s="16" t="n">
        <v>100.7791633</v>
      </c>
      <c r="C472" s="16" t="n">
        <v>22.861683929649</v>
      </c>
      <c r="D472" s="6" t="s">
        <v>57</v>
      </c>
      <c r="E472" s="6" t="s">
        <v>57</v>
      </c>
      <c r="F472" s="6" t="s">
        <v>60</v>
      </c>
      <c r="G472" s="6" t="s">
        <v>61</v>
      </c>
      <c r="H472" s="6" t="s">
        <v>63</v>
      </c>
      <c r="I472" s="6" t="str">
        <f aca="false">IF(A472&lt;Outliers!$E$6,"Low",IF(A472&gt;Outliers!$F$6,"High",""))</f>
        <v/>
      </c>
      <c r="J472" s="6" t="str">
        <f aca="false">IF(B472&lt;Outliers!$E$7,"Low",IF(B472&gt;Outliers!$F$7,"High",""))</f>
        <v/>
      </c>
      <c r="K472" s="6" t="str">
        <f aca="false">IF(C472&lt;Outliers!$E$8,"Low",IF(C472&gt;Outliers!$F$8,"High",""))</f>
        <v/>
      </c>
      <c r="L472" s="6" t="str">
        <f aca="false">A472&amp;";"&amp;B472&amp;";"&amp;C472</f>
        <v>25.74679443;100.7791633;22.861683929649</v>
      </c>
      <c r="M472" s="6" t="n">
        <f aca="false">IF(COUNTIF($L$2:$L$2201,L472)&gt;1,1,0)</f>
        <v>0</v>
      </c>
      <c r="N472" s="6" t="str">
        <f aca="false">IF(AND(C472&lt;Assumptions!$B$9,B472&lt;Assumptions!$B$10),"Irrigate Now",IF(AND(C472&gt;=Assumptions!$B$11,B472&gt;=Assumptions!$B$12),"No Irrigation Needed","Monitor"))</f>
        <v>Monitor</v>
      </c>
      <c r="O472" s="6" t="n">
        <f aca="false">IF(N472=G472,1,0)</f>
        <v>1</v>
      </c>
    </row>
    <row r="473" customFormat="false" ht="15" hidden="false" customHeight="false" outlineLevel="0" collapsed="false">
      <c r="A473" s="16" t="n">
        <v>31.08564994</v>
      </c>
      <c r="B473" s="16" t="n">
        <v>175.9303271</v>
      </c>
      <c r="C473" s="16" t="n">
        <v>28.3520434185265</v>
      </c>
      <c r="D473" s="6" t="s">
        <v>67</v>
      </c>
      <c r="E473" s="6" t="s">
        <v>24</v>
      </c>
      <c r="F473" s="6" t="s">
        <v>23</v>
      </c>
      <c r="G473" s="6" t="s">
        <v>58</v>
      </c>
      <c r="H473" s="6" t="s">
        <v>59</v>
      </c>
      <c r="I473" s="6" t="str">
        <f aca="false">IF(A473&lt;Outliers!$E$6,"Low",IF(A473&gt;Outliers!$F$6,"High",""))</f>
        <v/>
      </c>
      <c r="J473" s="6" t="str">
        <f aca="false">IF(B473&lt;Outliers!$E$7,"Low",IF(B473&gt;Outliers!$F$7,"High",""))</f>
        <v/>
      </c>
      <c r="K473" s="6" t="str">
        <f aca="false">IF(C473&lt;Outliers!$E$8,"Low",IF(C473&gt;Outliers!$F$8,"High",""))</f>
        <v/>
      </c>
      <c r="L473" s="6" t="str">
        <f aca="false">A473&amp;";"&amp;B473&amp;";"&amp;C473</f>
        <v>31.08564994;175.9303271;28.3520434185265</v>
      </c>
      <c r="M473" s="6" t="n">
        <f aca="false">IF(COUNTIF($L$2:$L$2201,L473)&gt;1,1,0)</f>
        <v>0</v>
      </c>
      <c r="N473" s="6" t="str">
        <f aca="false">IF(AND(C473&lt;Assumptions!$B$9,B473&lt;Assumptions!$B$10),"Irrigate Now",IF(AND(C473&gt;=Assumptions!$B$11,B473&gt;=Assumptions!$B$12),"No Irrigation Needed","Monitor"))</f>
        <v>No Irrigation Needed</v>
      </c>
      <c r="O473" s="6" t="n">
        <f aca="false">IF(N473=G473,1,0)</f>
        <v>1</v>
      </c>
    </row>
    <row r="474" customFormat="false" ht="15" hidden="false" customHeight="false" outlineLevel="0" collapsed="false">
      <c r="A474" s="16" t="n">
        <v>18.72987676</v>
      </c>
      <c r="B474" s="16" t="n">
        <v>139.8710041</v>
      </c>
      <c r="C474" s="16" t="n">
        <v>17.9908528936466</v>
      </c>
      <c r="D474" s="6" t="s">
        <v>66</v>
      </c>
      <c r="E474" s="6" t="s">
        <v>57</v>
      </c>
      <c r="F474" s="6" t="s">
        <v>60</v>
      </c>
      <c r="G474" s="6" t="s">
        <v>61</v>
      </c>
      <c r="H474" s="6" t="s">
        <v>63</v>
      </c>
      <c r="I474" s="6" t="str">
        <f aca="false">IF(A474&lt;Outliers!$E$6,"Low",IF(A474&gt;Outliers!$F$6,"High",""))</f>
        <v/>
      </c>
      <c r="J474" s="6" t="str">
        <f aca="false">IF(B474&lt;Outliers!$E$7,"Low",IF(B474&gt;Outliers!$F$7,"High",""))</f>
        <v/>
      </c>
      <c r="K474" s="6" t="str">
        <f aca="false">IF(C474&lt;Outliers!$E$8,"Low",IF(C474&gt;Outliers!$F$8,"High",""))</f>
        <v/>
      </c>
      <c r="L474" s="6" t="str">
        <f aca="false">A474&amp;";"&amp;B474&amp;";"&amp;C474</f>
        <v>18.72987676;139.8710041;17.9908528936466</v>
      </c>
      <c r="M474" s="6" t="n">
        <f aca="false">IF(COUNTIF($L$2:$L$2201,L474)&gt;1,1,0)</f>
        <v>0</v>
      </c>
      <c r="N474" s="6" t="str">
        <f aca="false">IF(AND(C474&lt;Assumptions!$B$9,B474&lt;Assumptions!$B$10),"Irrigate Now",IF(AND(C474&gt;=Assumptions!$B$11,B474&gt;=Assumptions!$B$12),"No Irrigation Needed","Monitor"))</f>
        <v>Monitor</v>
      </c>
      <c r="O474" s="6" t="n">
        <f aca="false">IF(N474=G474,1,0)</f>
        <v>1</v>
      </c>
    </row>
    <row r="475" customFormat="false" ht="15" hidden="false" customHeight="false" outlineLevel="0" collapsed="false">
      <c r="A475" s="16" t="n">
        <v>29.50304807</v>
      </c>
      <c r="B475" s="16" t="n">
        <v>189.5208915</v>
      </c>
      <c r="C475" s="16" t="n">
        <v>16.2440482003726</v>
      </c>
      <c r="D475" s="6" t="s">
        <v>57</v>
      </c>
      <c r="E475" s="6" t="s">
        <v>24</v>
      </c>
      <c r="F475" s="6" t="s">
        <v>60</v>
      </c>
      <c r="G475" s="6" t="s">
        <v>61</v>
      </c>
      <c r="H475" s="6" t="s">
        <v>62</v>
      </c>
      <c r="I475" s="6" t="str">
        <f aca="false">IF(A475&lt;Outliers!$E$6,"Low",IF(A475&gt;Outliers!$F$6,"High",""))</f>
        <v/>
      </c>
      <c r="J475" s="6" t="str">
        <f aca="false">IF(B475&lt;Outliers!$E$7,"Low",IF(B475&gt;Outliers!$F$7,"High",""))</f>
        <v/>
      </c>
      <c r="K475" s="6" t="str">
        <f aca="false">IF(C475&lt;Outliers!$E$8,"Low",IF(C475&gt;Outliers!$F$8,"High",""))</f>
        <v/>
      </c>
      <c r="L475" s="6" t="str">
        <f aca="false">A475&amp;";"&amp;B475&amp;";"&amp;C475</f>
        <v>29.50304807;189.5208915;16.2440482003726</v>
      </c>
      <c r="M475" s="6" t="n">
        <f aca="false">IF(COUNTIF($L$2:$L$2201,L475)&gt;1,1,0)</f>
        <v>0</v>
      </c>
      <c r="N475" s="6" t="str">
        <f aca="false">IF(AND(C475&lt;Assumptions!$B$9,B475&lt;Assumptions!$B$10),"Irrigate Now",IF(AND(C475&gt;=Assumptions!$B$11,B475&gt;=Assumptions!$B$12),"No Irrigation Needed","Monitor"))</f>
        <v>Monitor</v>
      </c>
      <c r="O475" s="6" t="n">
        <f aca="false">IF(N475=G475,1,0)</f>
        <v>1</v>
      </c>
    </row>
    <row r="476" customFormat="false" ht="15" hidden="false" customHeight="false" outlineLevel="0" collapsed="false">
      <c r="A476" s="16" t="n">
        <v>20.43517772</v>
      </c>
      <c r="B476" s="16" t="n">
        <v>137.2279662</v>
      </c>
      <c r="C476" s="16" t="n">
        <v>24.1183703433458</v>
      </c>
      <c r="D476" s="6" t="s">
        <v>57</v>
      </c>
      <c r="E476" s="6" t="s">
        <v>57</v>
      </c>
      <c r="F476" s="6" t="s">
        <v>23</v>
      </c>
      <c r="G476" s="6" t="s">
        <v>61</v>
      </c>
      <c r="H476" s="6" t="s">
        <v>63</v>
      </c>
      <c r="I476" s="6" t="str">
        <f aca="false">IF(A476&lt;Outliers!$E$6,"Low",IF(A476&gt;Outliers!$F$6,"High",""))</f>
        <v/>
      </c>
      <c r="J476" s="6" t="str">
        <f aca="false">IF(B476&lt;Outliers!$E$7,"Low",IF(B476&gt;Outliers!$F$7,"High",""))</f>
        <v/>
      </c>
      <c r="K476" s="6" t="str">
        <f aca="false">IF(C476&lt;Outliers!$E$8,"Low",IF(C476&gt;Outliers!$F$8,"High",""))</f>
        <v/>
      </c>
      <c r="L476" s="6" t="str">
        <f aca="false">A476&amp;";"&amp;B476&amp;";"&amp;C476</f>
        <v>20.43517772;137.2279662;24.1183703433458</v>
      </c>
      <c r="M476" s="6" t="n">
        <f aca="false">IF(COUNTIF($L$2:$L$2201,L476)&gt;1,1,0)</f>
        <v>0</v>
      </c>
      <c r="N476" s="6" t="str">
        <f aca="false">IF(AND(C476&lt;Assumptions!$B$9,B476&lt;Assumptions!$B$10),"Irrigate Now",IF(AND(C476&gt;=Assumptions!$B$11,B476&gt;=Assumptions!$B$12),"No Irrigation Needed","Monitor"))</f>
        <v>Monitor</v>
      </c>
      <c r="O476" s="6" t="n">
        <f aca="false">IF(N476=G476,1,0)</f>
        <v>1</v>
      </c>
    </row>
    <row r="477" customFormat="false" ht="15" hidden="false" customHeight="false" outlineLevel="0" collapsed="false">
      <c r="A477" s="16" t="n">
        <v>36.00415838</v>
      </c>
      <c r="B477" s="16" t="n">
        <v>134.8596466</v>
      </c>
      <c r="C477" s="16" t="n">
        <v>22.7039820593924</v>
      </c>
      <c r="D477" s="6" t="s">
        <v>67</v>
      </c>
      <c r="E477" s="6" t="s">
        <v>57</v>
      </c>
      <c r="F477" s="6" t="s">
        <v>23</v>
      </c>
      <c r="G477" s="6" t="s">
        <v>61</v>
      </c>
      <c r="H477" s="6" t="s">
        <v>63</v>
      </c>
      <c r="I477" s="6" t="str">
        <f aca="false">IF(A477&lt;Outliers!$E$6,"Low",IF(A477&gt;Outliers!$F$6,"High",""))</f>
        <v/>
      </c>
      <c r="J477" s="6" t="str">
        <f aca="false">IF(B477&lt;Outliers!$E$7,"Low",IF(B477&gt;Outliers!$F$7,"High",""))</f>
        <v/>
      </c>
      <c r="K477" s="6" t="str">
        <f aca="false">IF(C477&lt;Outliers!$E$8,"Low",IF(C477&gt;Outliers!$F$8,"High",""))</f>
        <v/>
      </c>
      <c r="L477" s="6" t="str">
        <f aca="false">A477&amp;";"&amp;B477&amp;";"&amp;C477</f>
        <v>36.00415838;134.8596466;22.7039820593924</v>
      </c>
      <c r="M477" s="6" t="n">
        <f aca="false">IF(COUNTIF($L$2:$L$2201,L477)&gt;1,1,0)</f>
        <v>0</v>
      </c>
      <c r="N477" s="6" t="str">
        <f aca="false">IF(AND(C477&lt;Assumptions!$B$9,B477&lt;Assumptions!$B$10),"Irrigate Now",IF(AND(C477&gt;=Assumptions!$B$11,B477&gt;=Assumptions!$B$12),"No Irrigation Needed","Monitor"))</f>
        <v>Monitor</v>
      </c>
      <c r="O477" s="6" t="n">
        <f aca="false">IF(N477=G477,1,0)</f>
        <v>1</v>
      </c>
    </row>
    <row r="478" customFormat="false" ht="15" hidden="false" customHeight="false" outlineLevel="0" collapsed="false">
      <c r="A478" s="16" t="n">
        <v>31.46846241</v>
      </c>
      <c r="B478" s="16" t="n">
        <v>174.5723999</v>
      </c>
      <c r="C478" s="16" t="n">
        <v>15.5072531041274</v>
      </c>
      <c r="D478" s="6" t="s">
        <v>67</v>
      </c>
      <c r="E478" s="6" t="s">
        <v>24</v>
      </c>
      <c r="F478" s="6" t="s">
        <v>60</v>
      </c>
      <c r="G478" s="6" t="s">
        <v>61</v>
      </c>
      <c r="H478" s="6" t="s">
        <v>68</v>
      </c>
      <c r="I478" s="6" t="str">
        <f aca="false">IF(A478&lt;Outliers!$E$6,"Low",IF(A478&gt;Outliers!$F$6,"High",""))</f>
        <v/>
      </c>
      <c r="J478" s="6" t="str">
        <f aca="false">IF(B478&lt;Outliers!$E$7,"Low",IF(B478&gt;Outliers!$F$7,"High",""))</f>
        <v/>
      </c>
      <c r="K478" s="6" t="str">
        <f aca="false">IF(C478&lt;Outliers!$E$8,"Low",IF(C478&gt;Outliers!$F$8,"High",""))</f>
        <v/>
      </c>
      <c r="L478" s="6" t="str">
        <f aca="false">A478&amp;";"&amp;B478&amp;";"&amp;C478</f>
        <v>31.46846241;174.5723999;15.5072531041274</v>
      </c>
      <c r="M478" s="6" t="n">
        <f aca="false">IF(COUNTIF($L$2:$L$2201,L478)&gt;1,1,0)</f>
        <v>0</v>
      </c>
      <c r="N478" s="6" t="str">
        <f aca="false">IF(AND(C478&lt;Assumptions!$B$9,B478&lt;Assumptions!$B$10),"Irrigate Now",IF(AND(C478&gt;=Assumptions!$B$11,B478&gt;=Assumptions!$B$12),"No Irrigation Needed","Monitor"))</f>
        <v>Monitor</v>
      </c>
      <c r="O478" s="6" t="n">
        <f aca="false">IF(N478=G478,1,0)</f>
        <v>1</v>
      </c>
    </row>
    <row r="479" customFormat="false" ht="15" hidden="false" customHeight="false" outlineLevel="0" collapsed="false">
      <c r="A479" s="16" t="n">
        <v>36.30049702</v>
      </c>
      <c r="B479" s="16" t="n">
        <v>101.6073988</v>
      </c>
      <c r="C479" s="16" t="n">
        <v>17.2451111310092</v>
      </c>
      <c r="D479" s="6" t="s">
        <v>67</v>
      </c>
      <c r="E479" s="6" t="s">
        <v>57</v>
      </c>
      <c r="F479" s="6" t="s">
        <v>60</v>
      </c>
      <c r="G479" s="6" t="s">
        <v>61</v>
      </c>
      <c r="H479" s="6" t="s">
        <v>68</v>
      </c>
      <c r="I479" s="6" t="str">
        <f aca="false">IF(A479&lt;Outliers!$E$6,"Low",IF(A479&gt;Outliers!$F$6,"High",""))</f>
        <v/>
      </c>
      <c r="J479" s="6" t="str">
        <f aca="false">IF(B479&lt;Outliers!$E$7,"Low",IF(B479&gt;Outliers!$F$7,"High",""))</f>
        <v/>
      </c>
      <c r="K479" s="6" t="str">
        <f aca="false">IF(C479&lt;Outliers!$E$8,"Low",IF(C479&gt;Outliers!$F$8,"High",""))</f>
        <v/>
      </c>
      <c r="L479" s="6" t="str">
        <f aca="false">A479&amp;";"&amp;B479&amp;";"&amp;C479</f>
        <v>36.30049702;101.6073988;17.2451111310092</v>
      </c>
      <c r="M479" s="6" t="n">
        <f aca="false">IF(COUNTIF($L$2:$L$2201,L479)&gt;1,1,0)</f>
        <v>0</v>
      </c>
      <c r="N479" s="6" t="str">
        <f aca="false">IF(AND(C479&lt;Assumptions!$B$9,B479&lt;Assumptions!$B$10),"Irrigate Now",IF(AND(C479&gt;=Assumptions!$B$11,B479&gt;=Assumptions!$B$12),"No Irrigation Needed","Monitor"))</f>
        <v>Monitor</v>
      </c>
      <c r="O479" s="6" t="n">
        <f aca="false">IF(N479=G479,1,0)</f>
        <v>1</v>
      </c>
    </row>
    <row r="480" customFormat="false" ht="15" hidden="false" customHeight="false" outlineLevel="0" collapsed="false">
      <c r="A480" s="16" t="n">
        <v>29.49096726</v>
      </c>
      <c r="B480" s="16" t="n">
        <v>153.2504506</v>
      </c>
      <c r="C480" s="16" t="n">
        <v>14.2396293937972</v>
      </c>
      <c r="D480" s="6" t="s">
        <v>57</v>
      </c>
      <c r="E480" s="6" t="s">
        <v>24</v>
      </c>
      <c r="F480" s="6" t="s">
        <v>24</v>
      </c>
      <c r="G480" s="6" t="s">
        <v>61</v>
      </c>
      <c r="H480" s="6" t="s">
        <v>62</v>
      </c>
      <c r="I480" s="6" t="str">
        <f aca="false">IF(A480&lt;Outliers!$E$6,"Low",IF(A480&gt;Outliers!$F$6,"High",""))</f>
        <v/>
      </c>
      <c r="J480" s="6" t="str">
        <f aca="false">IF(B480&lt;Outliers!$E$7,"Low",IF(B480&gt;Outliers!$F$7,"High",""))</f>
        <v/>
      </c>
      <c r="K480" s="6" t="str">
        <f aca="false">IF(C480&lt;Outliers!$E$8,"Low",IF(C480&gt;Outliers!$F$8,"High",""))</f>
        <v/>
      </c>
      <c r="L480" s="6" t="str">
        <f aca="false">A480&amp;";"&amp;B480&amp;";"&amp;C480</f>
        <v>29.49096726;153.2504506;14.2396293937972</v>
      </c>
      <c r="M480" s="6" t="n">
        <f aca="false">IF(COUNTIF($L$2:$L$2201,L480)&gt;1,1,0)</f>
        <v>0</v>
      </c>
      <c r="N480" s="6" t="str">
        <f aca="false">IF(AND(C480&lt;Assumptions!$B$9,B480&lt;Assumptions!$B$10),"Irrigate Now",IF(AND(C480&gt;=Assumptions!$B$11,B480&gt;=Assumptions!$B$12),"No Irrigation Needed","Monitor"))</f>
        <v>Monitor</v>
      </c>
      <c r="O480" s="6" t="n">
        <f aca="false">IF(N480=G480,1,0)</f>
        <v>1</v>
      </c>
    </row>
    <row r="481" customFormat="false" ht="15" hidden="false" customHeight="false" outlineLevel="0" collapsed="false">
      <c r="A481" s="16" t="n">
        <v>30.5753044</v>
      </c>
      <c r="B481" s="16" t="n">
        <v>177.5764304</v>
      </c>
      <c r="C481" s="16" t="n">
        <v>22.880546308604</v>
      </c>
      <c r="D481" s="6" t="s">
        <v>67</v>
      </c>
      <c r="E481" s="6" t="s">
        <v>24</v>
      </c>
      <c r="F481" s="6" t="s">
        <v>23</v>
      </c>
      <c r="G481" s="6" t="s">
        <v>61</v>
      </c>
      <c r="H481" s="6" t="s">
        <v>62</v>
      </c>
      <c r="I481" s="6" t="str">
        <f aca="false">IF(A481&lt;Outliers!$E$6,"Low",IF(A481&gt;Outliers!$F$6,"High",""))</f>
        <v/>
      </c>
      <c r="J481" s="6" t="str">
        <f aca="false">IF(B481&lt;Outliers!$E$7,"Low",IF(B481&gt;Outliers!$F$7,"High",""))</f>
        <v/>
      </c>
      <c r="K481" s="6" t="str">
        <f aca="false">IF(C481&lt;Outliers!$E$8,"Low",IF(C481&gt;Outliers!$F$8,"High",""))</f>
        <v/>
      </c>
      <c r="L481" s="6" t="str">
        <f aca="false">A481&amp;";"&amp;B481&amp;";"&amp;C481</f>
        <v>30.5753044;177.5764304;22.880546308604</v>
      </c>
      <c r="M481" s="6" t="n">
        <f aca="false">IF(COUNTIF($L$2:$L$2201,L481)&gt;1,1,0)</f>
        <v>0</v>
      </c>
      <c r="N481" s="6" t="str">
        <f aca="false">IF(AND(C481&lt;Assumptions!$B$9,B481&lt;Assumptions!$B$10),"Irrigate Now",IF(AND(C481&gt;=Assumptions!$B$11,B481&gt;=Assumptions!$B$12),"No Irrigation Needed","Monitor"))</f>
        <v>Monitor</v>
      </c>
      <c r="O481" s="6" t="n">
        <f aca="false">IF(N481=G481,1,0)</f>
        <v>1</v>
      </c>
    </row>
    <row r="482" customFormat="false" ht="15" hidden="false" customHeight="false" outlineLevel="0" collapsed="false">
      <c r="A482" s="16" t="n">
        <v>24.69487673</v>
      </c>
      <c r="B482" s="16" t="n">
        <v>91.95792434</v>
      </c>
      <c r="C482" s="16" t="n">
        <v>13.6515980670008</v>
      </c>
      <c r="D482" s="6" t="s">
        <v>57</v>
      </c>
      <c r="E482" s="6" t="s">
        <v>57</v>
      </c>
      <c r="F482" s="6" t="s">
        <v>24</v>
      </c>
      <c r="G482" s="6" t="s">
        <v>64</v>
      </c>
      <c r="H482" s="6" t="s">
        <v>65</v>
      </c>
      <c r="I482" s="6" t="str">
        <f aca="false">IF(A482&lt;Outliers!$E$6,"Low",IF(A482&gt;Outliers!$F$6,"High",""))</f>
        <v/>
      </c>
      <c r="J482" s="6" t="str">
        <f aca="false">IF(B482&lt;Outliers!$E$7,"Low",IF(B482&gt;Outliers!$F$7,"High",""))</f>
        <v/>
      </c>
      <c r="K482" s="6" t="str">
        <f aca="false">IF(C482&lt;Outliers!$E$8,"Low",IF(C482&gt;Outliers!$F$8,"High",""))</f>
        <v/>
      </c>
      <c r="L482" s="6" t="str">
        <f aca="false">A482&amp;";"&amp;B482&amp;";"&amp;C482</f>
        <v>24.69487673;91.95792434;13.6515980670008</v>
      </c>
      <c r="M482" s="6" t="n">
        <f aca="false">IF(COUNTIF($L$2:$L$2201,L482)&gt;1,1,0)</f>
        <v>0</v>
      </c>
      <c r="N482" s="6" t="str">
        <f aca="false">IF(AND(C482&lt;Assumptions!$B$9,B482&lt;Assumptions!$B$10),"Irrigate Now",IF(AND(C482&gt;=Assumptions!$B$11,B482&gt;=Assumptions!$B$12),"No Irrigation Needed","Monitor"))</f>
        <v>Irrigate Now</v>
      </c>
      <c r="O482" s="6" t="n">
        <f aca="false">IF(N482=G482,1,0)</f>
        <v>1</v>
      </c>
    </row>
    <row r="483" customFormat="false" ht="15" hidden="false" customHeight="false" outlineLevel="0" collapsed="false">
      <c r="A483" s="16" t="n">
        <v>23.17409556</v>
      </c>
      <c r="B483" s="16" t="n">
        <v>162.5931264</v>
      </c>
      <c r="C483" s="16" t="n">
        <v>27.4085117606762</v>
      </c>
      <c r="D483" s="6" t="s">
        <v>57</v>
      </c>
      <c r="E483" s="6" t="s">
        <v>24</v>
      </c>
      <c r="F483" s="6" t="s">
        <v>23</v>
      </c>
      <c r="G483" s="6" t="s">
        <v>58</v>
      </c>
      <c r="H483" s="6" t="s">
        <v>59</v>
      </c>
      <c r="I483" s="6" t="str">
        <f aca="false">IF(A483&lt;Outliers!$E$6,"Low",IF(A483&gt;Outliers!$F$6,"High",""))</f>
        <v/>
      </c>
      <c r="J483" s="6" t="str">
        <f aca="false">IF(B483&lt;Outliers!$E$7,"Low",IF(B483&gt;Outliers!$F$7,"High",""))</f>
        <v/>
      </c>
      <c r="K483" s="6" t="str">
        <f aca="false">IF(C483&lt;Outliers!$E$8,"Low",IF(C483&gt;Outliers!$F$8,"High",""))</f>
        <v/>
      </c>
      <c r="L483" s="6" t="str">
        <f aca="false">A483&amp;";"&amp;B483&amp;";"&amp;C483</f>
        <v>23.17409556;162.5931264;27.4085117606762</v>
      </c>
      <c r="M483" s="6" t="n">
        <f aca="false">IF(COUNTIF($L$2:$L$2201,L483)&gt;1,1,0)</f>
        <v>0</v>
      </c>
      <c r="N483" s="6" t="str">
        <f aca="false">IF(AND(C483&lt;Assumptions!$B$9,B483&lt;Assumptions!$B$10),"Irrigate Now",IF(AND(C483&gt;=Assumptions!$B$11,B483&gt;=Assumptions!$B$12),"No Irrigation Needed","Monitor"))</f>
        <v>No Irrigation Needed</v>
      </c>
      <c r="O483" s="6" t="n">
        <f aca="false">IF(N483=G483,1,0)</f>
        <v>1</v>
      </c>
    </row>
    <row r="484" customFormat="false" ht="15" hidden="false" customHeight="false" outlineLevel="0" collapsed="false">
      <c r="A484" s="16" t="n">
        <v>19.04380471</v>
      </c>
      <c r="B484" s="16" t="n">
        <v>155.3705624</v>
      </c>
      <c r="C484" s="16" t="n">
        <v>10.0441985883704</v>
      </c>
      <c r="D484" s="6" t="s">
        <v>66</v>
      </c>
      <c r="E484" s="6" t="s">
        <v>24</v>
      </c>
      <c r="F484" s="6" t="s">
        <v>24</v>
      </c>
      <c r="G484" s="6" t="s">
        <v>61</v>
      </c>
      <c r="H484" s="6" t="s">
        <v>62</v>
      </c>
      <c r="I484" s="6" t="str">
        <f aca="false">IF(A484&lt;Outliers!$E$6,"Low",IF(A484&gt;Outliers!$F$6,"High",""))</f>
        <v/>
      </c>
      <c r="J484" s="6" t="str">
        <f aca="false">IF(B484&lt;Outliers!$E$7,"Low",IF(B484&gt;Outliers!$F$7,"High",""))</f>
        <v/>
      </c>
      <c r="K484" s="6" t="str">
        <f aca="false">IF(C484&lt;Outliers!$E$8,"Low",IF(C484&gt;Outliers!$F$8,"High",""))</f>
        <v/>
      </c>
      <c r="L484" s="6" t="str">
        <f aca="false">A484&amp;";"&amp;B484&amp;";"&amp;C484</f>
        <v>19.04380471;155.3705624;10.0441985883704</v>
      </c>
      <c r="M484" s="6" t="n">
        <f aca="false">IF(COUNTIF($L$2:$L$2201,L484)&gt;1,1,0)</f>
        <v>0</v>
      </c>
      <c r="N484" s="6" t="str">
        <f aca="false">IF(AND(C484&lt;Assumptions!$B$9,B484&lt;Assumptions!$B$10),"Irrigate Now",IF(AND(C484&gt;=Assumptions!$B$11,B484&gt;=Assumptions!$B$12),"No Irrigation Needed","Monitor"))</f>
        <v>Monitor</v>
      </c>
      <c r="O484" s="6" t="n">
        <f aca="false">IF(N484=G484,1,0)</f>
        <v>1</v>
      </c>
    </row>
    <row r="485" customFormat="false" ht="15" hidden="false" customHeight="false" outlineLevel="0" collapsed="false">
      <c r="A485" s="16" t="n">
        <v>29.32379604</v>
      </c>
      <c r="B485" s="16" t="n">
        <v>165.4113371</v>
      </c>
      <c r="C485" s="16" t="n">
        <v>22.2283443910825</v>
      </c>
      <c r="D485" s="6" t="s">
        <v>57</v>
      </c>
      <c r="E485" s="6" t="s">
        <v>24</v>
      </c>
      <c r="F485" s="6" t="s">
        <v>23</v>
      </c>
      <c r="G485" s="6" t="s">
        <v>61</v>
      </c>
      <c r="H485" s="6" t="s">
        <v>62</v>
      </c>
      <c r="I485" s="6" t="str">
        <f aca="false">IF(A485&lt;Outliers!$E$6,"Low",IF(A485&gt;Outliers!$F$6,"High",""))</f>
        <v/>
      </c>
      <c r="J485" s="6" t="str">
        <f aca="false">IF(B485&lt;Outliers!$E$7,"Low",IF(B485&gt;Outliers!$F$7,"High",""))</f>
        <v/>
      </c>
      <c r="K485" s="6" t="str">
        <f aca="false">IF(C485&lt;Outliers!$E$8,"Low",IF(C485&gt;Outliers!$F$8,"High",""))</f>
        <v/>
      </c>
      <c r="L485" s="6" t="str">
        <f aca="false">A485&amp;";"&amp;B485&amp;";"&amp;C485</f>
        <v>29.32379604;165.4113371;22.2283443910825</v>
      </c>
      <c r="M485" s="6" t="n">
        <f aca="false">IF(COUNTIF($L$2:$L$2201,L485)&gt;1,1,0)</f>
        <v>0</v>
      </c>
      <c r="N485" s="6" t="str">
        <f aca="false">IF(AND(C485&lt;Assumptions!$B$9,B485&lt;Assumptions!$B$10),"Irrigate Now",IF(AND(C485&gt;=Assumptions!$B$11,B485&gt;=Assumptions!$B$12),"No Irrigation Needed","Monitor"))</f>
        <v>Monitor</v>
      </c>
      <c r="O485" s="6" t="n">
        <f aca="false">IF(N485=G485,1,0)</f>
        <v>1</v>
      </c>
    </row>
    <row r="486" customFormat="false" ht="15" hidden="false" customHeight="false" outlineLevel="0" collapsed="false">
      <c r="A486" s="16" t="n">
        <v>34.6455408</v>
      </c>
      <c r="B486" s="16" t="n">
        <v>180.9009998</v>
      </c>
      <c r="C486" s="16" t="n">
        <v>14.7456598618854</v>
      </c>
      <c r="D486" s="6" t="s">
        <v>67</v>
      </c>
      <c r="E486" s="6" t="s">
        <v>24</v>
      </c>
      <c r="F486" s="6" t="s">
        <v>60</v>
      </c>
      <c r="G486" s="6" t="s">
        <v>61</v>
      </c>
      <c r="H486" s="6" t="s">
        <v>68</v>
      </c>
      <c r="I486" s="6" t="str">
        <f aca="false">IF(A486&lt;Outliers!$E$6,"Low",IF(A486&gt;Outliers!$F$6,"High",""))</f>
        <v/>
      </c>
      <c r="J486" s="6" t="str">
        <f aca="false">IF(B486&lt;Outliers!$E$7,"Low",IF(B486&gt;Outliers!$F$7,"High",""))</f>
        <v/>
      </c>
      <c r="K486" s="6" t="str">
        <f aca="false">IF(C486&lt;Outliers!$E$8,"Low",IF(C486&gt;Outliers!$F$8,"High",""))</f>
        <v/>
      </c>
      <c r="L486" s="6" t="str">
        <f aca="false">A486&amp;";"&amp;B486&amp;";"&amp;C486</f>
        <v>34.6455408;180.9009998;14.7456598618854</v>
      </c>
      <c r="M486" s="6" t="n">
        <f aca="false">IF(COUNTIF($L$2:$L$2201,L486)&gt;1,1,0)</f>
        <v>0</v>
      </c>
      <c r="N486" s="6" t="str">
        <f aca="false">IF(AND(C486&lt;Assumptions!$B$9,B486&lt;Assumptions!$B$10),"Irrigate Now",IF(AND(C486&gt;=Assumptions!$B$11,B486&gt;=Assumptions!$B$12),"No Irrigation Needed","Monitor"))</f>
        <v>Monitor</v>
      </c>
      <c r="O486" s="6" t="n">
        <f aca="false">IF(N486=G486,1,0)</f>
        <v>1</v>
      </c>
    </row>
    <row r="487" customFormat="false" ht="15" hidden="false" customHeight="false" outlineLevel="0" collapsed="false">
      <c r="A487" s="16" t="n">
        <v>21.9989826</v>
      </c>
      <c r="B487" s="16" t="n">
        <v>136.8274312</v>
      </c>
      <c r="C487" s="16" t="n">
        <v>14.66714332327</v>
      </c>
      <c r="D487" s="6" t="s">
        <v>57</v>
      </c>
      <c r="E487" s="6" t="s">
        <v>57</v>
      </c>
      <c r="F487" s="6" t="s">
        <v>24</v>
      </c>
      <c r="G487" s="6" t="s">
        <v>61</v>
      </c>
      <c r="H487" s="6" t="s">
        <v>63</v>
      </c>
      <c r="I487" s="6" t="str">
        <f aca="false">IF(A487&lt;Outliers!$E$6,"Low",IF(A487&gt;Outliers!$F$6,"High",""))</f>
        <v/>
      </c>
      <c r="J487" s="6" t="str">
        <f aca="false">IF(B487&lt;Outliers!$E$7,"Low",IF(B487&gt;Outliers!$F$7,"High",""))</f>
        <v/>
      </c>
      <c r="K487" s="6" t="str">
        <f aca="false">IF(C487&lt;Outliers!$E$8,"Low",IF(C487&gt;Outliers!$F$8,"High",""))</f>
        <v/>
      </c>
      <c r="L487" s="6" t="str">
        <f aca="false">A487&amp;";"&amp;B487&amp;";"&amp;C487</f>
        <v>21.9989826;136.8274312;14.66714332327</v>
      </c>
      <c r="M487" s="6" t="n">
        <f aca="false">IF(COUNTIF($L$2:$L$2201,L487)&gt;1,1,0)</f>
        <v>0</v>
      </c>
      <c r="N487" s="6" t="str">
        <f aca="false">IF(AND(C487&lt;Assumptions!$B$9,B487&lt;Assumptions!$B$10),"Irrigate Now",IF(AND(C487&gt;=Assumptions!$B$11,B487&gt;=Assumptions!$B$12),"No Irrigation Needed","Monitor"))</f>
        <v>Monitor</v>
      </c>
      <c r="O487" s="6" t="n">
        <f aca="false">IF(N487=G487,1,0)</f>
        <v>1</v>
      </c>
    </row>
    <row r="488" customFormat="false" ht="15" hidden="false" customHeight="false" outlineLevel="0" collapsed="false">
      <c r="A488" s="16" t="n">
        <v>22.99774444</v>
      </c>
      <c r="B488" s="16" t="n">
        <v>159.689339</v>
      </c>
      <c r="C488" s="16" t="n">
        <v>29.5257195598956</v>
      </c>
      <c r="D488" s="6" t="s">
        <v>57</v>
      </c>
      <c r="E488" s="6" t="s">
        <v>24</v>
      </c>
      <c r="F488" s="6" t="s">
        <v>23</v>
      </c>
      <c r="G488" s="6" t="s">
        <v>58</v>
      </c>
      <c r="H488" s="6" t="s">
        <v>59</v>
      </c>
      <c r="I488" s="6" t="str">
        <f aca="false">IF(A488&lt;Outliers!$E$6,"Low",IF(A488&gt;Outliers!$F$6,"High",""))</f>
        <v/>
      </c>
      <c r="J488" s="6" t="str">
        <f aca="false">IF(B488&lt;Outliers!$E$7,"Low",IF(B488&gt;Outliers!$F$7,"High",""))</f>
        <v/>
      </c>
      <c r="K488" s="6" t="str">
        <f aca="false">IF(C488&lt;Outliers!$E$8,"Low",IF(C488&gt;Outliers!$F$8,"High",""))</f>
        <v/>
      </c>
      <c r="L488" s="6" t="str">
        <f aca="false">A488&amp;";"&amp;B488&amp;";"&amp;C488</f>
        <v>22.99774444;159.689339;29.5257195598956</v>
      </c>
      <c r="M488" s="6" t="n">
        <f aca="false">IF(COUNTIF($L$2:$L$2201,L488)&gt;1,1,0)</f>
        <v>0</v>
      </c>
      <c r="N488" s="6" t="str">
        <f aca="false">IF(AND(C488&lt;Assumptions!$B$9,B488&lt;Assumptions!$B$10),"Irrigate Now",IF(AND(C488&gt;=Assumptions!$B$11,B488&gt;=Assumptions!$B$12),"No Irrigation Needed","Monitor"))</f>
        <v>No Irrigation Needed</v>
      </c>
      <c r="O488" s="6" t="n">
        <f aca="false">IF(N488=G488,1,0)</f>
        <v>1</v>
      </c>
    </row>
    <row r="489" customFormat="false" ht="15" hidden="false" customHeight="false" outlineLevel="0" collapsed="false">
      <c r="A489" s="16" t="n">
        <v>30.55992394</v>
      </c>
      <c r="B489" s="16" t="n">
        <v>178.8998611</v>
      </c>
      <c r="C489" s="16" t="n">
        <v>11.9945078783396</v>
      </c>
      <c r="D489" s="6" t="s">
        <v>67</v>
      </c>
      <c r="E489" s="6" t="s">
        <v>24</v>
      </c>
      <c r="F489" s="6" t="s">
        <v>24</v>
      </c>
      <c r="G489" s="6" t="s">
        <v>61</v>
      </c>
      <c r="H489" s="6" t="s">
        <v>68</v>
      </c>
      <c r="I489" s="6" t="str">
        <f aca="false">IF(A489&lt;Outliers!$E$6,"Low",IF(A489&gt;Outliers!$F$6,"High",""))</f>
        <v/>
      </c>
      <c r="J489" s="6" t="str">
        <f aca="false">IF(B489&lt;Outliers!$E$7,"Low",IF(B489&gt;Outliers!$F$7,"High",""))</f>
        <v/>
      </c>
      <c r="K489" s="6" t="str">
        <f aca="false">IF(C489&lt;Outliers!$E$8,"Low",IF(C489&gt;Outliers!$F$8,"High",""))</f>
        <v/>
      </c>
      <c r="L489" s="6" t="str">
        <f aca="false">A489&amp;";"&amp;B489&amp;";"&amp;C489</f>
        <v>30.55992394;178.8998611;11.9945078783396</v>
      </c>
      <c r="M489" s="6" t="n">
        <f aca="false">IF(COUNTIF($L$2:$L$2201,L489)&gt;1,1,0)</f>
        <v>0</v>
      </c>
      <c r="N489" s="6" t="str">
        <f aca="false">IF(AND(C489&lt;Assumptions!$B$9,B489&lt;Assumptions!$B$10),"Irrigate Now",IF(AND(C489&gt;=Assumptions!$B$11,B489&gt;=Assumptions!$B$12),"No Irrigation Needed","Monitor"))</f>
        <v>Monitor</v>
      </c>
      <c r="O489" s="6" t="n">
        <f aca="false">IF(N489=G489,1,0)</f>
        <v>1</v>
      </c>
    </row>
    <row r="490" customFormat="false" ht="15" hidden="false" customHeight="false" outlineLevel="0" collapsed="false">
      <c r="A490" s="16" t="n">
        <v>31.46417866</v>
      </c>
      <c r="B490" s="16" t="n">
        <v>165.405354</v>
      </c>
      <c r="C490" s="16" t="n">
        <v>16.8330886128547</v>
      </c>
      <c r="D490" s="6" t="s">
        <v>67</v>
      </c>
      <c r="E490" s="6" t="s">
        <v>24</v>
      </c>
      <c r="F490" s="6" t="s">
        <v>60</v>
      </c>
      <c r="G490" s="6" t="s">
        <v>61</v>
      </c>
      <c r="H490" s="6" t="s">
        <v>68</v>
      </c>
      <c r="I490" s="6" t="str">
        <f aca="false">IF(A490&lt;Outliers!$E$6,"Low",IF(A490&gt;Outliers!$F$6,"High",""))</f>
        <v/>
      </c>
      <c r="J490" s="6" t="str">
        <f aca="false">IF(B490&lt;Outliers!$E$7,"Low",IF(B490&gt;Outliers!$F$7,"High",""))</f>
        <v/>
      </c>
      <c r="K490" s="6" t="str">
        <f aca="false">IF(C490&lt;Outliers!$E$8,"Low",IF(C490&gt;Outliers!$F$8,"High",""))</f>
        <v/>
      </c>
      <c r="L490" s="6" t="str">
        <f aca="false">A490&amp;";"&amp;B490&amp;";"&amp;C490</f>
        <v>31.46417866;165.405354;16.8330886128547</v>
      </c>
      <c r="M490" s="6" t="n">
        <f aca="false">IF(COUNTIF($L$2:$L$2201,L490)&gt;1,1,0)</f>
        <v>0</v>
      </c>
      <c r="N490" s="6" t="str">
        <f aca="false">IF(AND(C490&lt;Assumptions!$B$9,B490&lt;Assumptions!$B$10),"Irrigate Now",IF(AND(C490&gt;=Assumptions!$B$11,B490&gt;=Assumptions!$B$12),"No Irrigation Needed","Monitor"))</f>
        <v>Monitor</v>
      </c>
      <c r="O490" s="6" t="n">
        <f aca="false">IF(N490=G490,1,0)</f>
        <v>1</v>
      </c>
    </row>
    <row r="491" customFormat="false" ht="15" hidden="false" customHeight="false" outlineLevel="0" collapsed="false">
      <c r="A491" s="16" t="n">
        <v>25.95058595</v>
      </c>
      <c r="B491" s="16" t="n">
        <v>109.1821183</v>
      </c>
      <c r="C491" s="16" t="n">
        <v>24.3372471630159</v>
      </c>
      <c r="D491" s="6" t="s">
        <v>57</v>
      </c>
      <c r="E491" s="6" t="s">
        <v>57</v>
      </c>
      <c r="F491" s="6" t="s">
        <v>23</v>
      </c>
      <c r="G491" s="6" t="s">
        <v>61</v>
      </c>
      <c r="H491" s="6" t="s">
        <v>63</v>
      </c>
      <c r="I491" s="6" t="str">
        <f aca="false">IF(A491&lt;Outliers!$E$6,"Low",IF(A491&gt;Outliers!$F$6,"High",""))</f>
        <v/>
      </c>
      <c r="J491" s="6" t="str">
        <f aca="false">IF(B491&lt;Outliers!$E$7,"Low",IF(B491&gt;Outliers!$F$7,"High",""))</f>
        <v/>
      </c>
      <c r="K491" s="6" t="str">
        <f aca="false">IF(C491&lt;Outliers!$E$8,"Low",IF(C491&gt;Outliers!$F$8,"High",""))</f>
        <v/>
      </c>
      <c r="L491" s="6" t="str">
        <f aca="false">A491&amp;";"&amp;B491&amp;";"&amp;C491</f>
        <v>25.95058595;109.1821183;24.3372471630159</v>
      </c>
      <c r="M491" s="6" t="n">
        <f aca="false">IF(COUNTIF($L$2:$L$2201,L491)&gt;1,1,0)</f>
        <v>0</v>
      </c>
      <c r="N491" s="6" t="str">
        <f aca="false">IF(AND(C491&lt;Assumptions!$B$9,B491&lt;Assumptions!$B$10),"Irrigate Now",IF(AND(C491&gt;=Assumptions!$B$11,B491&gt;=Assumptions!$B$12),"No Irrigation Needed","Monitor"))</f>
        <v>Monitor</v>
      </c>
      <c r="O491" s="6" t="n">
        <f aca="false">IF(N491=G491,1,0)</f>
        <v>1</v>
      </c>
    </row>
    <row r="492" customFormat="false" ht="15" hidden="false" customHeight="false" outlineLevel="0" collapsed="false">
      <c r="A492" s="16" t="n">
        <v>21.01142393</v>
      </c>
      <c r="B492" s="16" t="n">
        <v>185.2039114</v>
      </c>
      <c r="C492" s="16" t="n">
        <v>16.046434214997</v>
      </c>
      <c r="D492" s="6" t="s">
        <v>57</v>
      </c>
      <c r="E492" s="6" t="s">
        <v>24</v>
      </c>
      <c r="F492" s="6" t="s">
        <v>60</v>
      </c>
      <c r="G492" s="6" t="s">
        <v>61</v>
      </c>
      <c r="H492" s="6" t="s">
        <v>62</v>
      </c>
      <c r="I492" s="6" t="str">
        <f aca="false">IF(A492&lt;Outliers!$E$6,"Low",IF(A492&gt;Outliers!$F$6,"High",""))</f>
        <v/>
      </c>
      <c r="J492" s="6" t="str">
        <f aca="false">IF(B492&lt;Outliers!$E$7,"Low",IF(B492&gt;Outliers!$F$7,"High",""))</f>
        <v/>
      </c>
      <c r="K492" s="6" t="str">
        <f aca="false">IF(C492&lt;Outliers!$E$8,"Low",IF(C492&gt;Outliers!$F$8,"High",""))</f>
        <v/>
      </c>
      <c r="L492" s="6" t="str">
        <f aca="false">A492&amp;";"&amp;B492&amp;";"&amp;C492</f>
        <v>21.01142393;185.2039114;16.046434214997</v>
      </c>
      <c r="M492" s="6" t="n">
        <f aca="false">IF(COUNTIF($L$2:$L$2201,L492)&gt;1,1,0)</f>
        <v>0</v>
      </c>
      <c r="N492" s="6" t="str">
        <f aca="false">IF(AND(C492&lt;Assumptions!$B$9,B492&lt;Assumptions!$B$10),"Irrigate Now",IF(AND(C492&gt;=Assumptions!$B$11,B492&gt;=Assumptions!$B$12),"No Irrigation Needed","Monitor"))</f>
        <v>Monitor</v>
      </c>
      <c r="O492" s="6" t="n">
        <f aca="false">IF(N492=G492,1,0)</f>
        <v>1</v>
      </c>
    </row>
    <row r="493" customFormat="false" ht="15" hidden="false" customHeight="false" outlineLevel="0" collapsed="false">
      <c r="A493" s="16" t="n">
        <v>19.25100056</v>
      </c>
      <c r="B493" s="16" t="n">
        <v>149.063196</v>
      </c>
      <c r="C493" s="16" t="n">
        <v>25.8926555396102</v>
      </c>
      <c r="D493" s="6" t="s">
        <v>66</v>
      </c>
      <c r="E493" s="6" t="s">
        <v>57</v>
      </c>
      <c r="F493" s="6" t="s">
        <v>23</v>
      </c>
      <c r="G493" s="6" t="s">
        <v>58</v>
      </c>
      <c r="H493" s="6" t="s">
        <v>59</v>
      </c>
      <c r="I493" s="6" t="str">
        <f aca="false">IF(A493&lt;Outliers!$E$6,"Low",IF(A493&gt;Outliers!$F$6,"High",""))</f>
        <v/>
      </c>
      <c r="J493" s="6" t="str">
        <f aca="false">IF(B493&lt;Outliers!$E$7,"Low",IF(B493&gt;Outliers!$F$7,"High",""))</f>
        <v/>
      </c>
      <c r="K493" s="6" t="str">
        <f aca="false">IF(C493&lt;Outliers!$E$8,"Low",IF(C493&gt;Outliers!$F$8,"High",""))</f>
        <v/>
      </c>
      <c r="L493" s="6" t="str">
        <f aca="false">A493&amp;";"&amp;B493&amp;";"&amp;C493</f>
        <v>19.25100056;149.063196;25.8926555396102</v>
      </c>
      <c r="M493" s="6" t="n">
        <f aca="false">IF(COUNTIF($L$2:$L$2201,L493)&gt;1,1,0)</f>
        <v>0</v>
      </c>
      <c r="N493" s="6" t="str">
        <f aca="false">IF(AND(C493&lt;Assumptions!$B$9,B493&lt;Assumptions!$B$10),"Irrigate Now",IF(AND(C493&gt;=Assumptions!$B$11,B493&gt;=Assumptions!$B$12),"No Irrigation Needed","Monitor"))</f>
        <v>No Irrigation Needed</v>
      </c>
      <c r="O493" s="6" t="n">
        <f aca="false">IF(N493=G493,1,0)</f>
        <v>1</v>
      </c>
    </row>
    <row r="494" customFormat="false" ht="15" hidden="false" customHeight="false" outlineLevel="0" collapsed="false">
      <c r="A494" s="16" t="n">
        <v>19.24462755</v>
      </c>
      <c r="B494" s="16" t="n">
        <v>180.6465282</v>
      </c>
      <c r="C494" s="16" t="n">
        <v>14.8318562499686</v>
      </c>
      <c r="D494" s="6" t="s">
        <v>66</v>
      </c>
      <c r="E494" s="6" t="s">
        <v>24</v>
      </c>
      <c r="F494" s="6" t="s">
        <v>60</v>
      </c>
      <c r="G494" s="6" t="s">
        <v>61</v>
      </c>
      <c r="H494" s="6" t="s">
        <v>62</v>
      </c>
      <c r="I494" s="6" t="str">
        <f aca="false">IF(A494&lt;Outliers!$E$6,"Low",IF(A494&gt;Outliers!$F$6,"High",""))</f>
        <v/>
      </c>
      <c r="J494" s="6" t="str">
        <f aca="false">IF(B494&lt;Outliers!$E$7,"Low",IF(B494&gt;Outliers!$F$7,"High",""))</f>
        <v/>
      </c>
      <c r="K494" s="6" t="str">
        <f aca="false">IF(C494&lt;Outliers!$E$8,"Low",IF(C494&gt;Outliers!$F$8,"High",""))</f>
        <v/>
      </c>
      <c r="L494" s="6" t="str">
        <f aca="false">A494&amp;";"&amp;B494&amp;";"&amp;C494</f>
        <v>19.24462755;180.6465282;14.8318562499686</v>
      </c>
      <c r="M494" s="6" t="n">
        <f aca="false">IF(COUNTIF($L$2:$L$2201,L494)&gt;1,1,0)</f>
        <v>0</v>
      </c>
      <c r="N494" s="6" t="str">
        <f aca="false">IF(AND(C494&lt;Assumptions!$B$9,B494&lt;Assumptions!$B$10),"Irrigate Now",IF(AND(C494&gt;=Assumptions!$B$11,B494&gt;=Assumptions!$B$12),"No Irrigation Needed","Monitor"))</f>
        <v>Monitor</v>
      </c>
      <c r="O494" s="6" t="n">
        <f aca="false">IF(N494=G494,1,0)</f>
        <v>1</v>
      </c>
    </row>
    <row r="495" customFormat="false" ht="15" hidden="false" customHeight="false" outlineLevel="0" collapsed="false">
      <c r="A495" s="16" t="n">
        <v>22.47253208</v>
      </c>
      <c r="B495" s="16" t="n">
        <v>96.74706956</v>
      </c>
      <c r="C495" s="16" t="n">
        <v>29.6402719957349</v>
      </c>
      <c r="D495" s="6" t="s">
        <v>57</v>
      </c>
      <c r="E495" s="6" t="s">
        <v>57</v>
      </c>
      <c r="F495" s="6" t="s">
        <v>23</v>
      </c>
      <c r="G495" s="6" t="s">
        <v>61</v>
      </c>
      <c r="H495" s="6" t="s">
        <v>63</v>
      </c>
      <c r="I495" s="6" t="str">
        <f aca="false">IF(A495&lt;Outliers!$E$6,"Low",IF(A495&gt;Outliers!$F$6,"High",""))</f>
        <v/>
      </c>
      <c r="J495" s="6" t="str">
        <f aca="false">IF(B495&lt;Outliers!$E$7,"Low",IF(B495&gt;Outliers!$F$7,"High",""))</f>
        <v/>
      </c>
      <c r="K495" s="6" t="str">
        <f aca="false">IF(C495&lt;Outliers!$E$8,"Low",IF(C495&gt;Outliers!$F$8,"High",""))</f>
        <v/>
      </c>
      <c r="L495" s="6" t="str">
        <f aca="false">A495&amp;";"&amp;B495&amp;";"&amp;C495</f>
        <v>22.47253208;96.74706956;29.6402719957349</v>
      </c>
      <c r="M495" s="6" t="n">
        <f aca="false">IF(COUNTIF($L$2:$L$2201,L495)&gt;1,1,0)</f>
        <v>0</v>
      </c>
      <c r="N495" s="6" t="str">
        <f aca="false">IF(AND(C495&lt;Assumptions!$B$9,B495&lt;Assumptions!$B$10),"Irrigate Now",IF(AND(C495&gt;=Assumptions!$B$11,B495&gt;=Assumptions!$B$12),"No Irrigation Needed","Monitor"))</f>
        <v>Monitor</v>
      </c>
      <c r="O495" s="6" t="n">
        <f aca="false">IF(N495=G495,1,0)</f>
        <v>1</v>
      </c>
    </row>
    <row r="496" customFormat="false" ht="15" hidden="false" customHeight="false" outlineLevel="0" collapsed="false">
      <c r="A496" s="16" t="n">
        <v>36.75087487</v>
      </c>
      <c r="B496" s="16" t="n">
        <v>124.6028153</v>
      </c>
      <c r="C496" s="16" t="n">
        <v>13.4520767480751</v>
      </c>
      <c r="D496" s="6" t="s">
        <v>67</v>
      </c>
      <c r="E496" s="6" t="s">
        <v>57</v>
      </c>
      <c r="F496" s="6" t="s">
        <v>24</v>
      </c>
      <c r="G496" s="6" t="s">
        <v>61</v>
      </c>
      <c r="H496" s="6" t="s">
        <v>68</v>
      </c>
      <c r="I496" s="6" t="str">
        <f aca="false">IF(A496&lt;Outliers!$E$6,"Low",IF(A496&gt;Outliers!$F$6,"High",""))</f>
        <v/>
      </c>
      <c r="J496" s="6" t="str">
        <f aca="false">IF(B496&lt;Outliers!$E$7,"Low",IF(B496&gt;Outliers!$F$7,"High",""))</f>
        <v/>
      </c>
      <c r="K496" s="6" t="str">
        <f aca="false">IF(C496&lt;Outliers!$E$8,"Low",IF(C496&gt;Outliers!$F$8,"High",""))</f>
        <v/>
      </c>
      <c r="L496" s="6" t="str">
        <f aca="false">A496&amp;";"&amp;B496&amp;";"&amp;C496</f>
        <v>36.75087487;124.6028153;13.4520767480751</v>
      </c>
      <c r="M496" s="6" t="n">
        <f aca="false">IF(COUNTIF($L$2:$L$2201,L496)&gt;1,1,0)</f>
        <v>0</v>
      </c>
      <c r="N496" s="6" t="str">
        <f aca="false">IF(AND(C496&lt;Assumptions!$B$9,B496&lt;Assumptions!$B$10),"Irrigate Now",IF(AND(C496&gt;=Assumptions!$B$11,B496&gt;=Assumptions!$B$12),"No Irrigation Needed","Monitor"))</f>
        <v>Monitor</v>
      </c>
      <c r="O496" s="6" t="n">
        <f aca="false">IF(N496=G496,1,0)</f>
        <v>1</v>
      </c>
    </row>
    <row r="497" customFormat="false" ht="15" hidden="false" customHeight="false" outlineLevel="0" collapsed="false">
      <c r="A497" s="16" t="n">
        <v>29.89286629</v>
      </c>
      <c r="B497" s="16" t="n">
        <v>198.1403003</v>
      </c>
      <c r="C497" s="16" t="n">
        <v>19.7293881472391</v>
      </c>
      <c r="D497" s="6" t="s">
        <v>57</v>
      </c>
      <c r="E497" s="6" t="s">
        <v>24</v>
      </c>
      <c r="F497" s="6" t="s">
        <v>23</v>
      </c>
      <c r="G497" s="6" t="s">
        <v>61</v>
      </c>
      <c r="H497" s="6" t="s">
        <v>62</v>
      </c>
      <c r="I497" s="6" t="str">
        <f aca="false">IF(A497&lt;Outliers!$E$6,"Low",IF(A497&gt;Outliers!$F$6,"High",""))</f>
        <v/>
      </c>
      <c r="J497" s="6" t="str">
        <f aca="false">IF(B497&lt;Outliers!$E$7,"Low",IF(B497&gt;Outliers!$F$7,"High",""))</f>
        <v/>
      </c>
      <c r="K497" s="6" t="str">
        <f aca="false">IF(C497&lt;Outliers!$E$8,"Low",IF(C497&gt;Outliers!$F$8,"High",""))</f>
        <v/>
      </c>
      <c r="L497" s="6" t="str">
        <f aca="false">A497&amp;";"&amp;B497&amp;";"&amp;C497</f>
        <v>29.89286629;198.1403003;19.7293881472391</v>
      </c>
      <c r="M497" s="6" t="n">
        <f aca="false">IF(COUNTIF($L$2:$L$2201,L497)&gt;1,1,0)</f>
        <v>0</v>
      </c>
      <c r="N497" s="6" t="str">
        <f aca="false">IF(AND(C497&lt;Assumptions!$B$9,B497&lt;Assumptions!$B$10),"Irrigate Now",IF(AND(C497&gt;=Assumptions!$B$11,B497&gt;=Assumptions!$B$12),"No Irrigation Needed","Monitor"))</f>
        <v>Monitor</v>
      </c>
      <c r="O497" s="6" t="n">
        <f aca="false">IF(N497=G497,1,0)</f>
        <v>1</v>
      </c>
    </row>
    <row r="498" customFormat="false" ht="15" hidden="false" customHeight="false" outlineLevel="0" collapsed="false">
      <c r="A498" s="16" t="n">
        <v>29.37735586</v>
      </c>
      <c r="B498" s="16" t="n">
        <v>172.40168</v>
      </c>
      <c r="C498" s="16" t="n">
        <v>11.165825145074</v>
      </c>
      <c r="D498" s="6" t="s">
        <v>57</v>
      </c>
      <c r="E498" s="6" t="s">
        <v>24</v>
      </c>
      <c r="F498" s="6" t="s">
        <v>24</v>
      </c>
      <c r="G498" s="6" t="s">
        <v>61</v>
      </c>
      <c r="H498" s="6" t="s">
        <v>62</v>
      </c>
      <c r="I498" s="6" t="str">
        <f aca="false">IF(A498&lt;Outliers!$E$6,"Low",IF(A498&gt;Outliers!$F$6,"High",""))</f>
        <v/>
      </c>
      <c r="J498" s="6" t="str">
        <f aca="false">IF(B498&lt;Outliers!$E$7,"Low",IF(B498&gt;Outliers!$F$7,"High",""))</f>
        <v/>
      </c>
      <c r="K498" s="6" t="str">
        <f aca="false">IF(C498&lt;Outliers!$E$8,"Low",IF(C498&gt;Outliers!$F$8,"High",""))</f>
        <v/>
      </c>
      <c r="L498" s="6" t="str">
        <f aca="false">A498&amp;";"&amp;B498&amp;";"&amp;C498</f>
        <v>29.37735586;172.40168;11.165825145074</v>
      </c>
      <c r="M498" s="6" t="n">
        <f aca="false">IF(COUNTIF($L$2:$L$2201,L498)&gt;1,1,0)</f>
        <v>0</v>
      </c>
      <c r="N498" s="6" t="str">
        <f aca="false">IF(AND(C498&lt;Assumptions!$B$9,B498&lt;Assumptions!$B$10),"Irrigate Now",IF(AND(C498&gt;=Assumptions!$B$11,B498&gt;=Assumptions!$B$12),"No Irrigation Needed","Monitor"))</f>
        <v>Monitor</v>
      </c>
      <c r="O498" s="6" t="n">
        <f aca="false">IF(N498=G498,1,0)</f>
        <v>1</v>
      </c>
    </row>
    <row r="499" customFormat="false" ht="15" hidden="false" customHeight="false" outlineLevel="0" collapsed="false">
      <c r="A499" s="16" t="n">
        <v>29.65052947</v>
      </c>
      <c r="B499" s="16" t="n">
        <v>186.9226052</v>
      </c>
      <c r="C499" s="16" t="n">
        <v>28.1946531906955</v>
      </c>
      <c r="D499" s="6" t="s">
        <v>57</v>
      </c>
      <c r="E499" s="6" t="s">
        <v>24</v>
      </c>
      <c r="F499" s="6" t="s">
        <v>23</v>
      </c>
      <c r="G499" s="6" t="s">
        <v>58</v>
      </c>
      <c r="H499" s="6" t="s">
        <v>59</v>
      </c>
      <c r="I499" s="6" t="str">
        <f aca="false">IF(A499&lt;Outliers!$E$6,"Low",IF(A499&gt;Outliers!$F$6,"High",""))</f>
        <v/>
      </c>
      <c r="J499" s="6" t="str">
        <f aca="false">IF(B499&lt;Outliers!$E$7,"Low",IF(B499&gt;Outliers!$F$7,"High",""))</f>
        <v/>
      </c>
      <c r="K499" s="6" t="str">
        <f aca="false">IF(C499&lt;Outliers!$E$8,"Low",IF(C499&gt;Outliers!$F$8,"High",""))</f>
        <v/>
      </c>
      <c r="L499" s="6" t="str">
        <f aca="false">A499&amp;";"&amp;B499&amp;";"&amp;C499</f>
        <v>29.65052947;186.9226052;28.1946531906955</v>
      </c>
      <c r="M499" s="6" t="n">
        <f aca="false">IF(COUNTIF($L$2:$L$2201,L499)&gt;1,1,0)</f>
        <v>0</v>
      </c>
      <c r="N499" s="6" t="str">
        <f aca="false">IF(AND(C499&lt;Assumptions!$B$9,B499&lt;Assumptions!$B$10),"Irrigate Now",IF(AND(C499&gt;=Assumptions!$B$11,B499&gt;=Assumptions!$B$12),"No Irrigation Needed","Monitor"))</f>
        <v>No Irrigation Needed</v>
      </c>
      <c r="O499" s="6" t="n">
        <f aca="false">IF(N499=G499,1,0)</f>
        <v>1</v>
      </c>
    </row>
    <row r="500" customFormat="false" ht="15" hidden="false" customHeight="false" outlineLevel="0" collapsed="false">
      <c r="A500" s="16" t="n">
        <v>19.54284889</v>
      </c>
      <c r="B500" s="16" t="n">
        <v>173.1106982</v>
      </c>
      <c r="C500" s="16" t="n">
        <v>27.8632376935757</v>
      </c>
      <c r="D500" s="6" t="s">
        <v>66</v>
      </c>
      <c r="E500" s="6" t="s">
        <v>24</v>
      </c>
      <c r="F500" s="6" t="s">
        <v>23</v>
      </c>
      <c r="G500" s="6" t="s">
        <v>58</v>
      </c>
      <c r="H500" s="6" t="s">
        <v>59</v>
      </c>
      <c r="I500" s="6" t="str">
        <f aca="false">IF(A500&lt;Outliers!$E$6,"Low",IF(A500&gt;Outliers!$F$6,"High",""))</f>
        <v/>
      </c>
      <c r="J500" s="6" t="str">
        <f aca="false">IF(B500&lt;Outliers!$E$7,"Low",IF(B500&gt;Outliers!$F$7,"High",""))</f>
        <v/>
      </c>
      <c r="K500" s="6" t="str">
        <f aca="false">IF(C500&lt;Outliers!$E$8,"Low",IF(C500&gt;Outliers!$F$8,"High",""))</f>
        <v/>
      </c>
      <c r="L500" s="6" t="str">
        <f aca="false">A500&amp;";"&amp;B500&amp;";"&amp;C500</f>
        <v>19.54284889;173.1106982;27.8632376935757</v>
      </c>
      <c r="M500" s="6" t="n">
        <f aca="false">IF(COUNTIF($L$2:$L$2201,L500)&gt;1,1,0)</f>
        <v>0</v>
      </c>
      <c r="N500" s="6" t="str">
        <f aca="false">IF(AND(C500&lt;Assumptions!$B$9,B500&lt;Assumptions!$B$10),"Irrigate Now",IF(AND(C500&gt;=Assumptions!$B$11,B500&gt;=Assumptions!$B$12),"No Irrigation Needed","Monitor"))</f>
        <v>No Irrigation Needed</v>
      </c>
      <c r="O500" s="6" t="n">
        <f aca="false">IF(N500=G500,1,0)</f>
        <v>1</v>
      </c>
    </row>
    <row r="501" customFormat="false" ht="15" hidden="false" customHeight="false" outlineLevel="0" collapsed="false">
      <c r="A501" s="16" t="n">
        <v>20.04611791</v>
      </c>
      <c r="B501" s="16" t="n">
        <v>122.4564203</v>
      </c>
      <c r="C501" s="16" t="n">
        <v>27.7985136335523</v>
      </c>
      <c r="D501" s="6" t="s">
        <v>57</v>
      </c>
      <c r="E501" s="6" t="s">
        <v>57</v>
      </c>
      <c r="F501" s="6" t="s">
        <v>23</v>
      </c>
      <c r="G501" s="6" t="s">
        <v>58</v>
      </c>
      <c r="H501" s="6" t="s">
        <v>59</v>
      </c>
      <c r="I501" s="6" t="str">
        <f aca="false">IF(A501&lt;Outliers!$E$6,"Low",IF(A501&gt;Outliers!$F$6,"High",""))</f>
        <v/>
      </c>
      <c r="J501" s="6" t="str">
        <f aca="false">IF(B501&lt;Outliers!$E$7,"Low",IF(B501&gt;Outliers!$F$7,"High",""))</f>
        <v/>
      </c>
      <c r="K501" s="6" t="str">
        <f aca="false">IF(C501&lt;Outliers!$E$8,"Low",IF(C501&gt;Outliers!$F$8,"High",""))</f>
        <v/>
      </c>
      <c r="L501" s="6" t="str">
        <f aca="false">A501&amp;";"&amp;B501&amp;";"&amp;C501</f>
        <v>20.04611791;122.4564203;27.7985136335523</v>
      </c>
      <c r="M501" s="6" t="n">
        <f aca="false">IF(COUNTIF($L$2:$L$2201,L501)&gt;1,1,0)</f>
        <v>0</v>
      </c>
      <c r="N501" s="6" t="str">
        <f aca="false">IF(AND(C501&lt;Assumptions!$B$9,B501&lt;Assumptions!$B$10),"Irrigate Now",IF(AND(C501&gt;=Assumptions!$B$11,B501&gt;=Assumptions!$B$12),"No Irrigation Needed","Monitor"))</f>
        <v>No Irrigation Needed</v>
      </c>
      <c r="O501" s="6" t="n">
        <f aca="false">IF(N501=G501,1,0)</f>
        <v>1</v>
      </c>
    </row>
    <row r="502" customFormat="false" ht="15" hidden="false" customHeight="false" outlineLevel="0" collapsed="false">
      <c r="A502" s="16" t="n">
        <v>27.91095209</v>
      </c>
      <c r="B502" s="16" t="n">
        <v>32.67891866</v>
      </c>
      <c r="C502" s="16" t="n">
        <v>17.5732823972108</v>
      </c>
      <c r="D502" s="6" t="s">
        <v>57</v>
      </c>
      <c r="E502" s="6" t="s">
        <v>23</v>
      </c>
      <c r="F502" s="6" t="s">
        <v>24</v>
      </c>
      <c r="G502" s="6" t="s">
        <v>64</v>
      </c>
      <c r="H502" s="6" t="s">
        <v>65</v>
      </c>
      <c r="I502" s="6" t="str">
        <f aca="false">IF(A502&lt;Outliers!$E$6,"Low",IF(A502&gt;Outliers!$F$6,"High",""))</f>
        <v/>
      </c>
      <c r="J502" s="6" t="str">
        <f aca="false">IF(B502&lt;Outliers!$E$7,"Low",IF(B502&gt;Outliers!$F$7,"High",""))</f>
        <v/>
      </c>
      <c r="K502" s="6" t="str">
        <f aca="false">IF(C502&lt;Outliers!$E$8,"Low",IF(C502&gt;Outliers!$F$8,"High",""))</f>
        <v/>
      </c>
      <c r="L502" s="6" t="str">
        <f aca="false">A502&amp;";"&amp;B502&amp;";"&amp;C502</f>
        <v>27.91095209;32.67891866;17.5732823972108</v>
      </c>
      <c r="M502" s="6" t="n">
        <f aca="false">IF(COUNTIF($L$2:$L$2201,L502)&gt;1,1,0)</f>
        <v>0</v>
      </c>
      <c r="N502" s="6" t="str">
        <f aca="false">IF(AND(C502&lt;Assumptions!$B$9,B502&lt;Assumptions!$B$10),"Irrigate Now",IF(AND(C502&gt;=Assumptions!$B$11,B502&gt;=Assumptions!$B$12),"No Irrigation Needed","Monitor"))</f>
        <v>Irrigate Now</v>
      </c>
      <c r="O502" s="6" t="n">
        <f aca="false">IF(N502=G502,1,0)</f>
        <v>1</v>
      </c>
    </row>
    <row r="503" customFormat="false" ht="15" hidden="false" customHeight="false" outlineLevel="0" collapsed="false">
      <c r="A503" s="16" t="n">
        <v>27.32220619</v>
      </c>
      <c r="B503" s="16" t="n">
        <v>36.5037914</v>
      </c>
      <c r="C503" s="16" t="n">
        <v>26.0140562392339</v>
      </c>
      <c r="D503" s="6" t="s">
        <v>57</v>
      </c>
      <c r="E503" s="6" t="s">
        <v>23</v>
      </c>
      <c r="F503" s="6" t="s">
        <v>60</v>
      </c>
      <c r="G503" s="6" t="s">
        <v>61</v>
      </c>
      <c r="H503" s="6" t="s">
        <v>63</v>
      </c>
      <c r="I503" s="6" t="str">
        <f aca="false">IF(A503&lt;Outliers!$E$6,"Low",IF(A503&gt;Outliers!$F$6,"High",""))</f>
        <v/>
      </c>
      <c r="J503" s="6" t="str">
        <f aca="false">IF(B503&lt;Outliers!$E$7,"Low",IF(B503&gt;Outliers!$F$7,"High",""))</f>
        <v/>
      </c>
      <c r="K503" s="6" t="str">
        <f aca="false">IF(C503&lt;Outliers!$E$8,"Low",IF(C503&gt;Outliers!$F$8,"High",""))</f>
        <v/>
      </c>
      <c r="L503" s="6" t="str">
        <f aca="false">A503&amp;";"&amp;B503&amp;";"&amp;C503</f>
        <v>27.32220619;36.5037914;26.0140562392339</v>
      </c>
      <c r="M503" s="6" t="n">
        <f aca="false">IF(COUNTIF($L$2:$L$2201,L503)&gt;1,1,0)</f>
        <v>0</v>
      </c>
      <c r="N503" s="6" t="str">
        <f aca="false">IF(AND(C503&lt;Assumptions!$B$9,B503&lt;Assumptions!$B$10),"Irrigate Now",IF(AND(C503&gt;=Assumptions!$B$11,B503&gt;=Assumptions!$B$12),"No Irrigation Needed","Monitor"))</f>
        <v>Monitor</v>
      </c>
      <c r="O503" s="6" t="n">
        <f aca="false">IF(N503=G503,1,0)</f>
        <v>1</v>
      </c>
    </row>
    <row r="504" customFormat="false" ht="15" hidden="false" customHeight="false" outlineLevel="0" collapsed="false">
      <c r="A504" s="16" t="n">
        <v>28.66024187</v>
      </c>
      <c r="B504" s="16" t="n">
        <v>36.92629678</v>
      </c>
      <c r="C504" s="16" t="n">
        <v>17.12723207973</v>
      </c>
      <c r="D504" s="6" t="s">
        <v>57</v>
      </c>
      <c r="E504" s="6" t="s">
        <v>23</v>
      </c>
      <c r="F504" s="6" t="s">
        <v>24</v>
      </c>
      <c r="G504" s="6" t="s">
        <v>64</v>
      </c>
      <c r="H504" s="6" t="s">
        <v>65</v>
      </c>
      <c r="I504" s="6" t="str">
        <f aca="false">IF(A504&lt;Outliers!$E$6,"Low",IF(A504&gt;Outliers!$F$6,"High",""))</f>
        <v/>
      </c>
      <c r="J504" s="6" t="str">
        <f aca="false">IF(B504&lt;Outliers!$E$7,"Low",IF(B504&gt;Outliers!$F$7,"High",""))</f>
        <v/>
      </c>
      <c r="K504" s="6" t="str">
        <f aca="false">IF(C504&lt;Outliers!$E$8,"Low",IF(C504&gt;Outliers!$F$8,"High",""))</f>
        <v/>
      </c>
      <c r="L504" s="6" t="str">
        <f aca="false">A504&amp;";"&amp;B504&amp;";"&amp;C504</f>
        <v>28.66024187;36.92629678;17.12723207973</v>
      </c>
      <c r="M504" s="6" t="n">
        <f aca="false">IF(COUNTIF($L$2:$L$2201,L504)&gt;1,1,0)</f>
        <v>0</v>
      </c>
      <c r="N504" s="6" t="str">
        <f aca="false">IF(AND(C504&lt;Assumptions!$B$9,B504&lt;Assumptions!$B$10),"Irrigate Now",IF(AND(C504&gt;=Assumptions!$B$11,B504&gt;=Assumptions!$B$12),"No Irrigation Needed","Monitor"))</f>
        <v>Irrigate Now</v>
      </c>
      <c r="O504" s="6" t="n">
        <f aca="false">IF(N504=G504,1,0)</f>
        <v>1</v>
      </c>
    </row>
    <row r="505" customFormat="false" ht="15" hidden="false" customHeight="false" outlineLevel="0" collapsed="false">
      <c r="A505" s="16" t="n">
        <v>29.02955344</v>
      </c>
      <c r="B505" s="16" t="n">
        <v>72.98016599</v>
      </c>
      <c r="C505" s="16" t="n">
        <v>12.6065225735576</v>
      </c>
      <c r="D505" s="6" t="s">
        <v>57</v>
      </c>
      <c r="E505" s="6" t="s">
        <v>57</v>
      </c>
      <c r="F505" s="6" t="s">
        <v>24</v>
      </c>
      <c r="G505" s="6" t="s">
        <v>64</v>
      </c>
      <c r="H505" s="6" t="s">
        <v>65</v>
      </c>
      <c r="I505" s="6" t="str">
        <f aca="false">IF(A505&lt;Outliers!$E$6,"Low",IF(A505&gt;Outliers!$F$6,"High",""))</f>
        <v/>
      </c>
      <c r="J505" s="6" t="str">
        <f aca="false">IF(B505&lt;Outliers!$E$7,"Low",IF(B505&gt;Outliers!$F$7,"High",""))</f>
        <v/>
      </c>
      <c r="K505" s="6" t="str">
        <f aca="false">IF(C505&lt;Outliers!$E$8,"Low",IF(C505&gt;Outliers!$F$8,"High",""))</f>
        <v/>
      </c>
      <c r="L505" s="6" t="str">
        <f aca="false">A505&amp;";"&amp;B505&amp;";"&amp;C505</f>
        <v>29.02955344;72.98016599;12.6065225735576</v>
      </c>
      <c r="M505" s="6" t="n">
        <f aca="false">IF(COUNTIF($L$2:$L$2201,L505)&gt;1,1,0)</f>
        <v>0</v>
      </c>
      <c r="N505" s="6" t="str">
        <f aca="false">IF(AND(C505&lt;Assumptions!$B$9,B505&lt;Assumptions!$B$10),"Irrigate Now",IF(AND(C505&gt;=Assumptions!$B$11,B505&gt;=Assumptions!$B$12),"No Irrigation Needed","Monitor"))</f>
        <v>Irrigate Now</v>
      </c>
      <c r="O505" s="6" t="n">
        <f aca="false">IF(N505=G505,1,0)</f>
        <v>1</v>
      </c>
    </row>
    <row r="506" customFormat="false" ht="15" hidden="false" customHeight="false" outlineLevel="0" collapsed="false">
      <c r="A506" s="16" t="n">
        <v>27.78031515</v>
      </c>
      <c r="B506" s="16" t="n">
        <v>32.05025323</v>
      </c>
      <c r="C506" s="16" t="n">
        <v>11.6151986980875</v>
      </c>
      <c r="D506" s="6" t="s">
        <v>57</v>
      </c>
      <c r="E506" s="6" t="s">
        <v>23</v>
      </c>
      <c r="F506" s="6" t="s">
        <v>24</v>
      </c>
      <c r="G506" s="6" t="s">
        <v>64</v>
      </c>
      <c r="H506" s="6" t="s">
        <v>65</v>
      </c>
      <c r="I506" s="6" t="str">
        <f aca="false">IF(A506&lt;Outliers!$E$6,"Low",IF(A506&gt;Outliers!$F$6,"High",""))</f>
        <v/>
      </c>
      <c r="J506" s="6" t="str">
        <f aca="false">IF(B506&lt;Outliers!$E$7,"Low",IF(B506&gt;Outliers!$F$7,"High",""))</f>
        <v/>
      </c>
      <c r="K506" s="6" t="str">
        <f aca="false">IF(C506&lt;Outliers!$E$8,"Low",IF(C506&gt;Outliers!$F$8,"High",""))</f>
        <v/>
      </c>
      <c r="L506" s="6" t="str">
        <f aca="false">A506&amp;";"&amp;B506&amp;";"&amp;C506</f>
        <v>27.78031515;32.05025323;11.6151986980875</v>
      </c>
      <c r="M506" s="6" t="n">
        <f aca="false">IF(COUNTIF($L$2:$L$2201,L506)&gt;1,1,0)</f>
        <v>0</v>
      </c>
      <c r="N506" s="6" t="str">
        <f aca="false">IF(AND(C506&lt;Assumptions!$B$9,B506&lt;Assumptions!$B$10),"Irrigate Now",IF(AND(C506&gt;=Assumptions!$B$11,B506&gt;=Assumptions!$B$12),"No Irrigation Needed","Monitor"))</f>
        <v>Irrigate Now</v>
      </c>
      <c r="O506" s="6" t="n">
        <f aca="false">IF(N506=G506,1,0)</f>
        <v>1</v>
      </c>
    </row>
    <row r="507" customFormat="false" ht="15" hidden="false" customHeight="false" outlineLevel="0" collapsed="false">
      <c r="A507" s="16" t="n">
        <v>31.99928579</v>
      </c>
      <c r="B507" s="16" t="n">
        <v>71.6266696</v>
      </c>
      <c r="C507" s="16" t="n">
        <v>24.8390466107584</v>
      </c>
      <c r="D507" s="6" t="s">
        <v>67</v>
      </c>
      <c r="E507" s="6" t="s">
        <v>57</v>
      </c>
      <c r="F507" s="6" t="s">
        <v>60</v>
      </c>
      <c r="G507" s="6" t="s">
        <v>61</v>
      </c>
      <c r="H507" s="6" t="s">
        <v>63</v>
      </c>
      <c r="I507" s="6" t="str">
        <f aca="false">IF(A507&lt;Outliers!$E$6,"Low",IF(A507&gt;Outliers!$F$6,"High",""))</f>
        <v/>
      </c>
      <c r="J507" s="6" t="str">
        <f aca="false">IF(B507&lt;Outliers!$E$7,"Low",IF(B507&gt;Outliers!$F$7,"High",""))</f>
        <v/>
      </c>
      <c r="K507" s="6" t="str">
        <f aca="false">IF(C507&lt;Outliers!$E$8,"Low",IF(C507&gt;Outliers!$F$8,"High",""))</f>
        <v/>
      </c>
      <c r="L507" s="6" t="str">
        <f aca="false">A507&amp;";"&amp;B507&amp;";"&amp;C507</f>
        <v>31.99928579;71.6266696;24.8390466107584</v>
      </c>
      <c r="M507" s="6" t="n">
        <f aca="false">IF(COUNTIF($L$2:$L$2201,L507)&gt;1,1,0)</f>
        <v>0</v>
      </c>
      <c r="N507" s="6" t="str">
        <f aca="false">IF(AND(C507&lt;Assumptions!$B$9,B507&lt;Assumptions!$B$10),"Irrigate Now",IF(AND(C507&gt;=Assumptions!$B$11,B507&gt;=Assumptions!$B$12),"No Irrigation Needed","Monitor"))</f>
        <v>Monitor</v>
      </c>
      <c r="O507" s="6" t="n">
        <f aca="false">IF(N507=G507,1,0)</f>
        <v>1</v>
      </c>
    </row>
    <row r="508" customFormat="false" ht="15" hidden="false" customHeight="false" outlineLevel="0" collapsed="false">
      <c r="A508" s="16" t="n">
        <v>27.33580911</v>
      </c>
      <c r="B508" s="16" t="n">
        <v>73.44775287</v>
      </c>
      <c r="C508" s="16" t="n">
        <v>11.5442664521782</v>
      </c>
      <c r="D508" s="6" t="s">
        <v>57</v>
      </c>
      <c r="E508" s="6" t="s">
        <v>57</v>
      </c>
      <c r="F508" s="6" t="s">
        <v>24</v>
      </c>
      <c r="G508" s="6" t="s">
        <v>64</v>
      </c>
      <c r="H508" s="6" t="s">
        <v>65</v>
      </c>
      <c r="I508" s="6" t="str">
        <f aca="false">IF(A508&lt;Outliers!$E$6,"Low",IF(A508&gt;Outliers!$F$6,"High",""))</f>
        <v/>
      </c>
      <c r="J508" s="6" t="str">
        <f aca="false">IF(B508&lt;Outliers!$E$7,"Low",IF(B508&gt;Outliers!$F$7,"High",""))</f>
        <v/>
      </c>
      <c r="K508" s="6" t="str">
        <f aca="false">IF(C508&lt;Outliers!$E$8,"Low",IF(C508&gt;Outliers!$F$8,"High",""))</f>
        <v/>
      </c>
      <c r="L508" s="6" t="str">
        <f aca="false">A508&amp;";"&amp;B508&amp;";"&amp;C508</f>
        <v>27.33580911;73.44775287;11.5442664521782</v>
      </c>
      <c r="M508" s="6" t="n">
        <f aca="false">IF(COUNTIF($L$2:$L$2201,L508)&gt;1,1,0)</f>
        <v>0</v>
      </c>
      <c r="N508" s="6" t="str">
        <f aca="false">IF(AND(C508&lt;Assumptions!$B$9,B508&lt;Assumptions!$B$10),"Irrigate Now",IF(AND(C508&gt;=Assumptions!$B$11,B508&gt;=Assumptions!$B$12),"No Irrigation Needed","Monitor"))</f>
        <v>Irrigate Now</v>
      </c>
      <c r="O508" s="6" t="n">
        <f aca="false">IF(N508=G508,1,0)</f>
        <v>1</v>
      </c>
    </row>
    <row r="509" customFormat="false" ht="15" hidden="false" customHeight="false" outlineLevel="0" collapsed="false">
      <c r="A509" s="16" t="n">
        <v>28.92952635</v>
      </c>
      <c r="B509" s="16" t="n">
        <v>66.35634104</v>
      </c>
      <c r="C509" s="16" t="n">
        <v>26.9082556482246</v>
      </c>
      <c r="D509" s="6" t="s">
        <v>57</v>
      </c>
      <c r="E509" s="6" t="s">
        <v>57</v>
      </c>
      <c r="F509" s="6" t="s">
        <v>23</v>
      </c>
      <c r="G509" s="6" t="s">
        <v>61</v>
      </c>
      <c r="H509" s="6" t="s">
        <v>63</v>
      </c>
      <c r="I509" s="6" t="str">
        <f aca="false">IF(A509&lt;Outliers!$E$6,"Low",IF(A509&gt;Outliers!$F$6,"High",""))</f>
        <v/>
      </c>
      <c r="J509" s="6" t="str">
        <f aca="false">IF(B509&lt;Outliers!$E$7,"Low",IF(B509&gt;Outliers!$F$7,"High",""))</f>
        <v/>
      </c>
      <c r="K509" s="6" t="str">
        <f aca="false">IF(C509&lt;Outliers!$E$8,"Low",IF(C509&gt;Outliers!$F$8,"High",""))</f>
        <v/>
      </c>
      <c r="L509" s="6" t="str">
        <f aca="false">A509&amp;";"&amp;B509&amp;";"&amp;C509</f>
        <v>28.92952635;66.35634104;26.9082556482246</v>
      </c>
      <c r="M509" s="6" t="n">
        <f aca="false">IF(COUNTIF($L$2:$L$2201,L509)&gt;1,1,0)</f>
        <v>0</v>
      </c>
      <c r="N509" s="6" t="str">
        <f aca="false">IF(AND(C509&lt;Assumptions!$B$9,B509&lt;Assumptions!$B$10),"Irrigate Now",IF(AND(C509&gt;=Assumptions!$B$11,B509&gt;=Assumptions!$B$12),"No Irrigation Needed","Monitor"))</f>
        <v>Monitor</v>
      </c>
      <c r="O509" s="6" t="n">
        <f aca="false">IF(N509=G509,1,0)</f>
        <v>1</v>
      </c>
    </row>
    <row r="510" customFormat="false" ht="15" hidden="false" customHeight="false" outlineLevel="0" collapsed="false">
      <c r="A510" s="16" t="n">
        <v>27.65472156</v>
      </c>
      <c r="B510" s="16" t="n">
        <v>36.94255012</v>
      </c>
      <c r="C510" s="16" t="n">
        <v>21.0751703824924</v>
      </c>
      <c r="D510" s="6" t="s">
        <v>57</v>
      </c>
      <c r="E510" s="6" t="s">
        <v>23</v>
      </c>
      <c r="F510" s="6" t="s">
        <v>60</v>
      </c>
      <c r="G510" s="6" t="s">
        <v>61</v>
      </c>
      <c r="H510" s="6" t="s">
        <v>63</v>
      </c>
      <c r="I510" s="6" t="str">
        <f aca="false">IF(A510&lt;Outliers!$E$6,"Low",IF(A510&gt;Outliers!$F$6,"High",""))</f>
        <v/>
      </c>
      <c r="J510" s="6" t="str">
        <f aca="false">IF(B510&lt;Outliers!$E$7,"Low",IF(B510&gt;Outliers!$F$7,"High",""))</f>
        <v/>
      </c>
      <c r="K510" s="6" t="str">
        <f aca="false">IF(C510&lt;Outliers!$E$8,"Low",IF(C510&gt;Outliers!$F$8,"High",""))</f>
        <v/>
      </c>
      <c r="L510" s="6" t="str">
        <f aca="false">A510&amp;";"&amp;B510&amp;";"&amp;C510</f>
        <v>27.65472156;36.94255012;21.0751703824924</v>
      </c>
      <c r="M510" s="6" t="n">
        <f aca="false">IF(COUNTIF($L$2:$L$2201,L510)&gt;1,1,0)</f>
        <v>0</v>
      </c>
      <c r="N510" s="6" t="str">
        <f aca="false">IF(AND(C510&lt;Assumptions!$B$9,B510&lt;Assumptions!$B$10),"Irrigate Now",IF(AND(C510&gt;=Assumptions!$B$11,B510&gt;=Assumptions!$B$12),"No Irrigation Needed","Monitor"))</f>
        <v>Monitor</v>
      </c>
      <c r="O510" s="6" t="n">
        <f aca="false">IF(N510=G510,1,0)</f>
        <v>1</v>
      </c>
    </row>
    <row r="511" customFormat="false" ht="15" hidden="false" customHeight="false" outlineLevel="0" collapsed="false">
      <c r="A511" s="16" t="n">
        <v>28.52396666</v>
      </c>
      <c r="B511" s="16" t="n">
        <v>61.32935611</v>
      </c>
      <c r="C511" s="16" t="n">
        <v>18.2504334345832</v>
      </c>
      <c r="D511" s="6" t="s">
        <v>57</v>
      </c>
      <c r="E511" s="6" t="s">
        <v>57</v>
      </c>
      <c r="F511" s="6" t="s">
        <v>24</v>
      </c>
      <c r="G511" s="6" t="s">
        <v>61</v>
      </c>
      <c r="H511" s="6" t="s">
        <v>63</v>
      </c>
      <c r="I511" s="6" t="str">
        <f aca="false">IF(A511&lt;Outliers!$E$6,"Low",IF(A511&gt;Outliers!$F$6,"High",""))</f>
        <v/>
      </c>
      <c r="J511" s="6" t="str">
        <f aca="false">IF(B511&lt;Outliers!$E$7,"Low",IF(B511&gt;Outliers!$F$7,"High",""))</f>
        <v/>
      </c>
      <c r="K511" s="6" t="str">
        <f aca="false">IF(C511&lt;Outliers!$E$8,"Low",IF(C511&gt;Outliers!$F$8,"High",""))</f>
        <v/>
      </c>
      <c r="L511" s="6" t="str">
        <f aca="false">A511&amp;";"&amp;B511&amp;";"&amp;C511</f>
        <v>28.52396666;61.32935611;18.2504334345832</v>
      </c>
      <c r="M511" s="6" t="n">
        <f aca="false">IF(COUNTIF($L$2:$L$2201,L511)&gt;1,1,0)</f>
        <v>0</v>
      </c>
      <c r="N511" s="6" t="str">
        <f aca="false">IF(AND(C511&lt;Assumptions!$B$9,B511&lt;Assumptions!$B$10),"Irrigate Now",IF(AND(C511&gt;=Assumptions!$B$11,B511&gt;=Assumptions!$B$12),"No Irrigation Needed","Monitor"))</f>
        <v>Monitor</v>
      </c>
      <c r="O511" s="6" t="n">
        <f aca="false">IF(N511=G511,1,0)</f>
        <v>1</v>
      </c>
    </row>
    <row r="512" customFormat="false" ht="15" hidden="false" customHeight="false" outlineLevel="0" collapsed="false">
      <c r="A512" s="16" t="n">
        <v>31.02215872</v>
      </c>
      <c r="B512" s="16" t="n">
        <v>53.56783314</v>
      </c>
      <c r="C512" s="16" t="n">
        <v>17.0485859625133</v>
      </c>
      <c r="D512" s="6" t="s">
        <v>67</v>
      </c>
      <c r="E512" s="6" t="s">
        <v>57</v>
      </c>
      <c r="F512" s="6" t="s">
        <v>24</v>
      </c>
      <c r="G512" s="6" t="s">
        <v>64</v>
      </c>
      <c r="H512" s="6" t="s">
        <v>65</v>
      </c>
      <c r="I512" s="6" t="str">
        <f aca="false">IF(A512&lt;Outliers!$E$6,"Low",IF(A512&gt;Outliers!$F$6,"High",""))</f>
        <v/>
      </c>
      <c r="J512" s="6" t="str">
        <f aca="false">IF(B512&lt;Outliers!$E$7,"Low",IF(B512&gt;Outliers!$F$7,"High",""))</f>
        <v/>
      </c>
      <c r="K512" s="6" t="str">
        <f aca="false">IF(C512&lt;Outliers!$E$8,"Low",IF(C512&gt;Outliers!$F$8,"High",""))</f>
        <v/>
      </c>
      <c r="L512" s="6" t="str">
        <f aca="false">A512&amp;";"&amp;B512&amp;";"&amp;C512</f>
        <v>31.02215872;53.56783314;17.0485859625133</v>
      </c>
      <c r="M512" s="6" t="n">
        <f aca="false">IF(COUNTIF($L$2:$L$2201,L512)&gt;1,1,0)</f>
        <v>0</v>
      </c>
      <c r="N512" s="6" t="str">
        <f aca="false">IF(AND(C512&lt;Assumptions!$B$9,B512&lt;Assumptions!$B$10),"Irrigate Now",IF(AND(C512&gt;=Assumptions!$B$11,B512&gt;=Assumptions!$B$12),"No Irrigation Needed","Monitor"))</f>
        <v>Irrigate Now</v>
      </c>
      <c r="O512" s="6" t="n">
        <f aca="false">IF(N512=G512,1,0)</f>
        <v>1</v>
      </c>
    </row>
    <row r="513" customFormat="false" ht="15" hidden="false" customHeight="false" outlineLevel="0" collapsed="false">
      <c r="A513" s="16" t="n">
        <v>25.74095321</v>
      </c>
      <c r="B513" s="16" t="n">
        <v>67.43488235</v>
      </c>
      <c r="C513" s="16" t="n">
        <v>24.868561308494</v>
      </c>
      <c r="D513" s="6" t="s">
        <v>57</v>
      </c>
      <c r="E513" s="6" t="s">
        <v>57</v>
      </c>
      <c r="F513" s="6" t="s">
        <v>60</v>
      </c>
      <c r="G513" s="6" t="s">
        <v>61</v>
      </c>
      <c r="H513" s="6" t="s">
        <v>63</v>
      </c>
      <c r="I513" s="6" t="str">
        <f aca="false">IF(A513&lt;Outliers!$E$6,"Low",IF(A513&gt;Outliers!$F$6,"High",""))</f>
        <v/>
      </c>
      <c r="J513" s="6" t="str">
        <f aca="false">IF(B513&lt;Outliers!$E$7,"Low",IF(B513&gt;Outliers!$F$7,"High",""))</f>
        <v/>
      </c>
      <c r="K513" s="6" t="str">
        <f aca="false">IF(C513&lt;Outliers!$E$8,"Low",IF(C513&gt;Outliers!$F$8,"High",""))</f>
        <v/>
      </c>
      <c r="L513" s="6" t="str">
        <f aca="false">A513&amp;";"&amp;B513&amp;";"&amp;C513</f>
        <v>25.74095321;67.43488235;24.868561308494</v>
      </c>
      <c r="M513" s="6" t="n">
        <f aca="false">IF(COUNTIF($L$2:$L$2201,L513)&gt;1,1,0)</f>
        <v>0</v>
      </c>
      <c r="N513" s="6" t="str">
        <f aca="false">IF(AND(C513&lt;Assumptions!$B$9,B513&lt;Assumptions!$B$10),"Irrigate Now",IF(AND(C513&gt;=Assumptions!$B$11,B513&gt;=Assumptions!$B$12),"No Irrigation Needed","Monitor"))</f>
        <v>Monitor</v>
      </c>
      <c r="O513" s="6" t="n">
        <f aca="false">IF(N513=G513,1,0)</f>
        <v>1</v>
      </c>
    </row>
    <row r="514" customFormat="false" ht="15" hidden="false" customHeight="false" outlineLevel="0" collapsed="false">
      <c r="A514" s="16" t="n">
        <v>31.70447482</v>
      </c>
      <c r="B514" s="16" t="n">
        <v>44.94317432</v>
      </c>
      <c r="C514" s="16" t="n">
        <v>27.8066592331641</v>
      </c>
      <c r="D514" s="6" t="s">
        <v>67</v>
      </c>
      <c r="E514" s="6" t="s">
        <v>23</v>
      </c>
      <c r="F514" s="6" t="s">
        <v>23</v>
      </c>
      <c r="G514" s="6" t="s">
        <v>61</v>
      </c>
      <c r="H514" s="6" t="s">
        <v>63</v>
      </c>
      <c r="I514" s="6" t="str">
        <f aca="false">IF(A514&lt;Outliers!$E$6,"Low",IF(A514&gt;Outliers!$F$6,"High",""))</f>
        <v/>
      </c>
      <c r="J514" s="6" t="str">
        <f aca="false">IF(B514&lt;Outliers!$E$7,"Low",IF(B514&gt;Outliers!$F$7,"High",""))</f>
        <v/>
      </c>
      <c r="K514" s="6" t="str">
        <f aca="false">IF(C514&lt;Outliers!$E$8,"Low",IF(C514&gt;Outliers!$F$8,"High",""))</f>
        <v/>
      </c>
      <c r="L514" s="6" t="str">
        <f aca="false">A514&amp;";"&amp;B514&amp;";"&amp;C514</f>
        <v>31.70447482;44.94317432;27.8066592331641</v>
      </c>
      <c r="M514" s="6" t="n">
        <f aca="false">IF(COUNTIF($L$2:$L$2201,L514)&gt;1,1,0)</f>
        <v>0</v>
      </c>
      <c r="N514" s="6" t="str">
        <f aca="false">IF(AND(C514&lt;Assumptions!$B$9,B514&lt;Assumptions!$B$10),"Irrigate Now",IF(AND(C514&gt;=Assumptions!$B$11,B514&gt;=Assumptions!$B$12),"No Irrigation Needed","Monitor"))</f>
        <v>Monitor</v>
      </c>
      <c r="O514" s="6" t="n">
        <f aca="false">IF(N514=G514,1,0)</f>
        <v>1</v>
      </c>
    </row>
    <row r="515" customFormat="false" ht="15" hidden="false" customHeight="false" outlineLevel="0" collapsed="false">
      <c r="A515" s="16" t="n">
        <v>24.47876451</v>
      </c>
      <c r="B515" s="16" t="n">
        <v>34.96933295</v>
      </c>
      <c r="C515" s="16" t="n">
        <v>23.2571990510889</v>
      </c>
      <c r="D515" s="6" t="s">
        <v>57</v>
      </c>
      <c r="E515" s="6" t="s">
        <v>23</v>
      </c>
      <c r="F515" s="6" t="s">
        <v>60</v>
      </c>
      <c r="G515" s="6" t="s">
        <v>61</v>
      </c>
      <c r="H515" s="6" t="s">
        <v>63</v>
      </c>
      <c r="I515" s="6" t="str">
        <f aca="false">IF(A515&lt;Outliers!$E$6,"Low",IF(A515&gt;Outliers!$F$6,"High",""))</f>
        <v/>
      </c>
      <c r="J515" s="6" t="str">
        <f aca="false">IF(B515&lt;Outliers!$E$7,"Low",IF(B515&gt;Outliers!$F$7,"High",""))</f>
        <v/>
      </c>
      <c r="K515" s="6" t="str">
        <f aca="false">IF(C515&lt;Outliers!$E$8,"Low",IF(C515&gt;Outliers!$F$8,"High",""))</f>
        <v/>
      </c>
      <c r="L515" s="6" t="str">
        <f aca="false">A515&amp;";"&amp;B515&amp;";"&amp;C515</f>
        <v>24.47876451;34.96933295;23.2571990510889</v>
      </c>
      <c r="M515" s="6" t="n">
        <f aca="false">IF(COUNTIF($L$2:$L$2201,L515)&gt;1,1,0)</f>
        <v>0</v>
      </c>
      <c r="N515" s="6" t="str">
        <f aca="false">IF(AND(C515&lt;Assumptions!$B$9,B515&lt;Assumptions!$B$10),"Irrigate Now",IF(AND(C515&gt;=Assumptions!$B$11,B515&gt;=Assumptions!$B$12),"No Irrigation Needed","Monitor"))</f>
        <v>Monitor</v>
      </c>
      <c r="O515" s="6" t="n">
        <f aca="false">IF(N515=G515,1,0)</f>
        <v>1</v>
      </c>
    </row>
    <row r="516" customFormat="false" ht="15" hidden="false" customHeight="false" outlineLevel="0" collapsed="false">
      <c r="A516" s="16" t="n">
        <v>31.46511256</v>
      </c>
      <c r="B516" s="16" t="n">
        <v>74.44330654</v>
      </c>
      <c r="C516" s="16" t="n">
        <v>18.1186534542038</v>
      </c>
      <c r="D516" s="6" t="s">
        <v>67</v>
      </c>
      <c r="E516" s="6" t="s">
        <v>57</v>
      </c>
      <c r="F516" s="6" t="s">
        <v>24</v>
      </c>
      <c r="G516" s="6" t="s">
        <v>61</v>
      </c>
      <c r="H516" s="6" t="s">
        <v>68</v>
      </c>
      <c r="I516" s="6" t="str">
        <f aca="false">IF(A516&lt;Outliers!$E$6,"Low",IF(A516&gt;Outliers!$F$6,"High",""))</f>
        <v/>
      </c>
      <c r="J516" s="6" t="str">
        <f aca="false">IF(B516&lt;Outliers!$E$7,"Low",IF(B516&gt;Outliers!$F$7,"High",""))</f>
        <v/>
      </c>
      <c r="K516" s="6" t="str">
        <f aca="false">IF(C516&lt;Outliers!$E$8,"Low",IF(C516&gt;Outliers!$F$8,"High",""))</f>
        <v/>
      </c>
      <c r="L516" s="6" t="str">
        <f aca="false">A516&amp;";"&amp;B516&amp;";"&amp;C516</f>
        <v>31.46511256;74.44330654;18.1186534542038</v>
      </c>
      <c r="M516" s="6" t="n">
        <f aca="false">IF(COUNTIF($L$2:$L$2201,L516)&gt;1,1,0)</f>
        <v>0</v>
      </c>
      <c r="N516" s="6" t="str">
        <f aca="false">IF(AND(C516&lt;Assumptions!$B$9,B516&lt;Assumptions!$B$10),"Irrigate Now",IF(AND(C516&gt;=Assumptions!$B$11,B516&gt;=Assumptions!$B$12),"No Irrigation Needed","Monitor"))</f>
        <v>Monitor</v>
      </c>
      <c r="O516" s="6" t="n">
        <f aca="false">IF(N516=G516,1,0)</f>
        <v>1</v>
      </c>
    </row>
    <row r="517" customFormat="false" ht="15" hidden="false" customHeight="false" outlineLevel="0" collapsed="false">
      <c r="A517" s="16" t="n">
        <v>25.60973447</v>
      </c>
      <c r="B517" s="16" t="n">
        <v>53.39249517</v>
      </c>
      <c r="C517" s="16" t="n">
        <v>29.1697429217835</v>
      </c>
      <c r="D517" s="6" t="s">
        <v>57</v>
      </c>
      <c r="E517" s="6" t="s">
        <v>57</v>
      </c>
      <c r="F517" s="6" t="s">
        <v>23</v>
      </c>
      <c r="G517" s="6" t="s">
        <v>61</v>
      </c>
      <c r="H517" s="6" t="s">
        <v>63</v>
      </c>
      <c r="I517" s="6" t="str">
        <f aca="false">IF(A517&lt;Outliers!$E$6,"Low",IF(A517&gt;Outliers!$F$6,"High",""))</f>
        <v/>
      </c>
      <c r="J517" s="6" t="str">
        <f aca="false">IF(B517&lt;Outliers!$E$7,"Low",IF(B517&gt;Outliers!$F$7,"High",""))</f>
        <v/>
      </c>
      <c r="K517" s="6" t="str">
        <f aca="false">IF(C517&lt;Outliers!$E$8,"Low",IF(C517&gt;Outliers!$F$8,"High",""))</f>
        <v/>
      </c>
      <c r="L517" s="6" t="str">
        <f aca="false">A517&amp;";"&amp;B517&amp;";"&amp;C517</f>
        <v>25.60973447;53.39249517;29.1697429217835</v>
      </c>
      <c r="M517" s="6" t="n">
        <f aca="false">IF(COUNTIF($L$2:$L$2201,L517)&gt;1,1,0)</f>
        <v>0</v>
      </c>
      <c r="N517" s="6" t="str">
        <f aca="false">IF(AND(C517&lt;Assumptions!$B$9,B517&lt;Assumptions!$B$10),"Irrigate Now",IF(AND(C517&gt;=Assumptions!$B$11,B517&gt;=Assumptions!$B$12),"No Irrigation Needed","Monitor"))</f>
        <v>Monitor</v>
      </c>
      <c r="O517" s="6" t="n">
        <f aca="false">IF(N517=G517,1,0)</f>
        <v>1</v>
      </c>
    </row>
    <row r="518" customFormat="false" ht="15" hidden="false" customHeight="false" outlineLevel="0" collapsed="false">
      <c r="A518" s="16" t="n">
        <v>30.30260453</v>
      </c>
      <c r="B518" s="16" t="n">
        <v>68.04039813</v>
      </c>
      <c r="C518" s="16" t="n">
        <v>25.3525159799297</v>
      </c>
      <c r="D518" s="6" t="s">
        <v>67</v>
      </c>
      <c r="E518" s="6" t="s">
        <v>57</v>
      </c>
      <c r="F518" s="6" t="s">
        <v>23</v>
      </c>
      <c r="G518" s="6" t="s">
        <v>61</v>
      </c>
      <c r="H518" s="6" t="s">
        <v>63</v>
      </c>
      <c r="I518" s="6" t="str">
        <f aca="false">IF(A518&lt;Outliers!$E$6,"Low",IF(A518&gt;Outliers!$F$6,"High",""))</f>
        <v/>
      </c>
      <c r="J518" s="6" t="str">
        <f aca="false">IF(B518&lt;Outliers!$E$7,"Low",IF(B518&gt;Outliers!$F$7,"High",""))</f>
        <v/>
      </c>
      <c r="K518" s="6" t="str">
        <f aca="false">IF(C518&lt;Outliers!$E$8,"Low",IF(C518&gt;Outliers!$F$8,"High",""))</f>
        <v/>
      </c>
      <c r="L518" s="6" t="str">
        <f aca="false">A518&amp;";"&amp;B518&amp;";"&amp;C518</f>
        <v>30.30260453;68.04039813;25.3525159799297</v>
      </c>
      <c r="M518" s="6" t="n">
        <f aca="false">IF(COUNTIF($L$2:$L$2201,L518)&gt;1,1,0)</f>
        <v>0</v>
      </c>
      <c r="N518" s="6" t="str">
        <f aca="false">IF(AND(C518&lt;Assumptions!$B$9,B518&lt;Assumptions!$B$10),"Irrigate Now",IF(AND(C518&gt;=Assumptions!$B$11,B518&gt;=Assumptions!$B$12),"No Irrigation Needed","Monitor"))</f>
        <v>Monitor</v>
      </c>
      <c r="O518" s="6" t="n">
        <f aca="false">IF(N518=G518,1,0)</f>
        <v>1</v>
      </c>
    </row>
    <row r="519" customFormat="false" ht="15" hidden="false" customHeight="false" outlineLevel="0" collapsed="false">
      <c r="A519" s="16" t="n">
        <v>28.17489437</v>
      </c>
      <c r="B519" s="16" t="n">
        <v>45.78172762</v>
      </c>
      <c r="C519" s="16" t="n">
        <v>28.0955124110515</v>
      </c>
      <c r="D519" s="6" t="s">
        <v>57</v>
      </c>
      <c r="E519" s="6" t="s">
        <v>23</v>
      </c>
      <c r="F519" s="6" t="s">
        <v>23</v>
      </c>
      <c r="G519" s="6" t="s">
        <v>61</v>
      </c>
      <c r="H519" s="6" t="s">
        <v>63</v>
      </c>
      <c r="I519" s="6" t="str">
        <f aca="false">IF(A519&lt;Outliers!$E$6,"Low",IF(A519&gt;Outliers!$F$6,"High",""))</f>
        <v/>
      </c>
      <c r="J519" s="6" t="str">
        <f aca="false">IF(B519&lt;Outliers!$E$7,"Low",IF(B519&gt;Outliers!$F$7,"High",""))</f>
        <v/>
      </c>
      <c r="K519" s="6" t="str">
        <f aca="false">IF(C519&lt;Outliers!$E$8,"Low",IF(C519&gt;Outliers!$F$8,"High",""))</f>
        <v/>
      </c>
      <c r="L519" s="6" t="str">
        <f aca="false">A519&amp;";"&amp;B519&amp;";"&amp;C519</f>
        <v>28.17489437;45.78172762;28.0955124110515</v>
      </c>
      <c r="M519" s="6" t="n">
        <f aca="false">IF(COUNTIF($L$2:$L$2201,L519)&gt;1,1,0)</f>
        <v>0</v>
      </c>
      <c r="N519" s="6" t="str">
        <f aca="false">IF(AND(C519&lt;Assumptions!$B$9,B519&lt;Assumptions!$B$10),"Irrigate Now",IF(AND(C519&gt;=Assumptions!$B$11,B519&gt;=Assumptions!$B$12),"No Irrigation Needed","Monitor"))</f>
        <v>Monitor</v>
      </c>
      <c r="O519" s="6" t="n">
        <f aca="false">IF(N519=G519,1,0)</f>
        <v>1</v>
      </c>
    </row>
    <row r="520" customFormat="false" ht="15" hidden="false" customHeight="false" outlineLevel="0" collapsed="false">
      <c r="A520" s="16" t="n">
        <v>25.50634557</v>
      </c>
      <c r="B520" s="16" t="n">
        <v>74.32635105</v>
      </c>
      <c r="C520" s="16" t="n">
        <v>10.9260846519874</v>
      </c>
      <c r="D520" s="6" t="s">
        <v>57</v>
      </c>
      <c r="E520" s="6" t="s">
        <v>57</v>
      </c>
      <c r="F520" s="6" t="s">
        <v>24</v>
      </c>
      <c r="G520" s="6" t="s">
        <v>64</v>
      </c>
      <c r="H520" s="6" t="s">
        <v>65</v>
      </c>
      <c r="I520" s="6" t="str">
        <f aca="false">IF(A520&lt;Outliers!$E$6,"Low",IF(A520&gt;Outliers!$F$6,"High",""))</f>
        <v/>
      </c>
      <c r="J520" s="6" t="str">
        <f aca="false">IF(B520&lt;Outliers!$E$7,"Low",IF(B520&gt;Outliers!$F$7,"High",""))</f>
        <v/>
      </c>
      <c r="K520" s="6" t="str">
        <f aca="false">IF(C520&lt;Outliers!$E$8,"Low",IF(C520&gt;Outliers!$F$8,"High",""))</f>
        <v/>
      </c>
      <c r="L520" s="6" t="str">
        <f aca="false">A520&amp;";"&amp;B520&amp;";"&amp;C520</f>
        <v>25.50634557;74.32635105;10.9260846519874</v>
      </c>
      <c r="M520" s="6" t="n">
        <f aca="false">IF(COUNTIF($L$2:$L$2201,L520)&gt;1,1,0)</f>
        <v>0</v>
      </c>
      <c r="N520" s="6" t="str">
        <f aca="false">IF(AND(C520&lt;Assumptions!$B$9,B520&lt;Assumptions!$B$10),"Irrigate Now",IF(AND(C520&gt;=Assumptions!$B$11,B520&gt;=Assumptions!$B$12),"No Irrigation Needed","Monitor"))</f>
        <v>Irrigate Now</v>
      </c>
      <c r="O520" s="6" t="n">
        <f aca="false">IF(N520=G520,1,0)</f>
        <v>1</v>
      </c>
    </row>
    <row r="521" customFormat="false" ht="15" hidden="false" customHeight="false" outlineLevel="0" collapsed="false">
      <c r="A521" s="16" t="n">
        <v>31.12896766</v>
      </c>
      <c r="B521" s="16" t="n">
        <v>32.76742894</v>
      </c>
      <c r="C521" s="16" t="n">
        <v>24.1256898882515</v>
      </c>
      <c r="D521" s="6" t="s">
        <v>67</v>
      </c>
      <c r="E521" s="6" t="s">
        <v>23</v>
      </c>
      <c r="F521" s="6" t="s">
        <v>60</v>
      </c>
      <c r="G521" s="6" t="s">
        <v>61</v>
      </c>
      <c r="H521" s="6" t="s">
        <v>63</v>
      </c>
      <c r="I521" s="6" t="str">
        <f aca="false">IF(A521&lt;Outliers!$E$6,"Low",IF(A521&gt;Outliers!$F$6,"High",""))</f>
        <v/>
      </c>
      <c r="J521" s="6" t="str">
        <f aca="false">IF(B521&lt;Outliers!$E$7,"Low",IF(B521&gt;Outliers!$F$7,"High",""))</f>
        <v/>
      </c>
      <c r="K521" s="6" t="str">
        <f aca="false">IF(C521&lt;Outliers!$E$8,"Low",IF(C521&gt;Outliers!$F$8,"High",""))</f>
        <v/>
      </c>
      <c r="L521" s="6" t="str">
        <f aca="false">A521&amp;";"&amp;B521&amp;";"&amp;C521</f>
        <v>31.12896766;32.76742894;24.1256898882515</v>
      </c>
      <c r="M521" s="6" t="n">
        <f aca="false">IF(COUNTIF($L$2:$L$2201,L521)&gt;1,1,0)</f>
        <v>0</v>
      </c>
      <c r="N521" s="6" t="str">
        <f aca="false">IF(AND(C521&lt;Assumptions!$B$9,B521&lt;Assumptions!$B$10),"Irrigate Now",IF(AND(C521&gt;=Assumptions!$B$11,B521&gt;=Assumptions!$B$12),"No Irrigation Needed","Monitor"))</f>
        <v>Monitor</v>
      </c>
      <c r="O521" s="6" t="n">
        <f aca="false">IF(N521=G521,1,0)</f>
        <v>1</v>
      </c>
    </row>
    <row r="522" customFormat="false" ht="15" hidden="false" customHeight="false" outlineLevel="0" collapsed="false">
      <c r="A522" s="16" t="n">
        <v>26.34043268</v>
      </c>
      <c r="B522" s="16" t="n">
        <v>35.1051197</v>
      </c>
      <c r="C522" s="16" t="n">
        <v>11.5737803534817</v>
      </c>
      <c r="D522" s="6" t="s">
        <v>57</v>
      </c>
      <c r="E522" s="6" t="s">
        <v>23</v>
      </c>
      <c r="F522" s="6" t="s">
        <v>24</v>
      </c>
      <c r="G522" s="6" t="s">
        <v>64</v>
      </c>
      <c r="H522" s="6" t="s">
        <v>65</v>
      </c>
      <c r="I522" s="6" t="str">
        <f aca="false">IF(A522&lt;Outliers!$E$6,"Low",IF(A522&gt;Outliers!$F$6,"High",""))</f>
        <v/>
      </c>
      <c r="J522" s="6" t="str">
        <f aca="false">IF(B522&lt;Outliers!$E$7,"Low",IF(B522&gt;Outliers!$F$7,"High",""))</f>
        <v/>
      </c>
      <c r="K522" s="6" t="str">
        <f aca="false">IF(C522&lt;Outliers!$E$8,"Low",IF(C522&gt;Outliers!$F$8,"High",""))</f>
        <v/>
      </c>
      <c r="L522" s="6" t="str">
        <f aca="false">A522&amp;";"&amp;B522&amp;";"&amp;C522</f>
        <v>26.34043268;35.1051197;11.5737803534817</v>
      </c>
      <c r="M522" s="6" t="n">
        <f aca="false">IF(COUNTIF($L$2:$L$2201,L522)&gt;1,1,0)</f>
        <v>0</v>
      </c>
      <c r="N522" s="6" t="str">
        <f aca="false">IF(AND(C522&lt;Assumptions!$B$9,B522&lt;Assumptions!$B$10),"Irrigate Now",IF(AND(C522&gt;=Assumptions!$B$11,B522&gt;=Assumptions!$B$12),"No Irrigation Needed","Monitor"))</f>
        <v>Irrigate Now</v>
      </c>
      <c r="O522" s="6" t="n">
        <f aca="false">IF(N522=G522,1,0)</f>
        <v>1</v>
      </c>
    </row>
    <row r="523" customFormat="false" ht="15" hidden="false" customHeight="false" outlineLevel="0" collapsed="false">
      <c r="A523" s="16" t="n">
        <v>28.23494706</v>
      </c>
      <c r="B523" s="16" t="n">
        <v>72.66666443</v>
      </c>
      <c r="C523" s="16" t="n">
        <v>11.2653767547768</v>
      </c>
      <c r="D523" s="6" t="s">
        <v>57</v>
      </c>
      <c r="E523" s="6" t="s">
        <v>57</v>
      </c>
      <c r="F523" s="6" t="s">
        <v>24</v>
      </c>
      <c r="G523" s="6" t="s">
        <v>64</v>
      </c>
      <c r="H523" s="6" t="s">
        <v>65</v>
      </c>
      <c r="I523" s="6" t="str">
        <f aca="false">IF(A523&lt;Outliers!$E$6,"Low",IF(A523&gt;Outliers!$F$6,"High",""))</f>
        <v/>
      </c>
      <c r="J523" s="6" t="str">
        <f aca="false">IF(B523&lt;Outliers!$E$7,"Low",IF(B523&gt;Outliers!$F$7,"High",""))</f>
        <v/>
      </c>
      <c r="K523" s="6" t="str">
        <f aca="false">IF(C523&lt;Outliers!$E$8,"Low",IF(C523&gt;Outliers!$F$8,"High",""))</f>
        <v/>
      </c>
      <c r="L523" s="6" t="str">
        <f aca="false">A523&amp;";"&amp;B523&amp;";"&amp;C523</f>
        <v>28.23494706;72.66666443;11.2653767547768</v>
      </c>
      <c r="M523" s="6" t="n">
        <f aca="false">IF(COUNTIF($L$2:$L$2201,L523)&gt;1,1,0)</f>
        <v>0</v>
      </c>
      <c r="N523" s="6" t="str">
        <f aca="false">IF(AND(C523&lt;Assumptions!$B$9,B523&lt;Assumptions!$B$10),"Irrigate Now",IF(AND(C523&gt;=Assumptions!$B$11,B523&gt;=Assumptions!$B$12),"No Irrigation Needed","Monitor"))</f>
        <v>Irrigate Now</v>
      </c>
      <c r="O523" s="6" t="n">
        <f aca="false">IF(N523=G523,1,0)</f>
        <v>1</v>
      </c>
    </row>
    <row r="524" customFormat="false" ht="15" hidden="false" customHeight="false" outlineLevel="0" collapsed="false">
      <c r="A524" s="16" t="n">
        <v>27.04453473</v>
      </c>
      <c r="B524" s="16" t="n">
        <v>48.25207759</v>
      </c>
      <c r="C524" s="16" t="n">
        <v>26.0270729146411</v>
      </c>
      <c r="D524" s="6" t="s">
        <v>57</v>
      </c>
      <c r="E524" s="6" t="s">
        <v>23</v>
      </c>
      <c r="F524" s="6" t="s">
        <v>60</v>
      </c>
      <c r="G524" s="6" t="s">
        <v>61</v>
      </c>
      <c r="H524" s="6" t="s">
        <v>63</v>
      </c>
      <c r="I524" s="6" t="str">
        <f aca="false">IF(A524&lt;Outliers!$E$6,"Low",IF(A524&gt;Outliers!$F$6,"High",""))</f>
        <v/>
      </c>
      <c r="J524" s="6" t="str">
        <f aca="false">IF(B524&lt;Outliers!$E$7,"Low",IF(B524&gt;Outliers!$F$7,"High",""))</f>
        <v/>
      </c>
      <c r="K524" s="6" t="str">
        <f aca="false">IF(C524&lt;Outliers!$E$8,"Low",IF(C524&gt;Outliers!$F$8,"High",""))</f>
        <v/>
      </c>
      <c r="L524" s="6" t="str">
        <f aca="false">A524&amp;";"&amp;B524&amp;";"&amp;C524</f>
        <v>27.04453473;48.25207759;26.0270729146411</v>
      </c>
      <c r="M524" s="6" t="n">
        <f aca="false">IF(COUNTIF($L$2:$L$2201,L524)&gt;1,1,0)</f>
        <v>0</v>
      </c>
      <c r="N524" s="6" t="str">
        <f aca="false">IF(AND(C524&lt;Assumptions!$B$9,B524&lt;Assumptions!$B$10),"Irrigate Now",IF(AND(C524&gt;=Assumptions!$B$11,B524&gt;=Assumptions!$B$12),"No Irrigation Needed","Monitor"))</f>
        <v>Monitor</v>
      </c>
      <c r="O524" s="6" t="n">
        <f aca="false">IF(N524=G524,1,0)</f>
        <v>1</v>
      </c>
    </row>
    <row r="525" customFormat="false" ht="15" hidden="false" customHeight="false" outlineLevel="0" collapsed="false">
      <c r="A525" s="16" t="n">
        <v>25.16125354</v>
      </c>
      <c r="B525" s="16" t="n">
        <v>40.89732789</v>
      </c>
      <c r="C525" s="16" t="n">
        <v>13.5253328363388</v>
      </c>
      <c r="D525" s="6" t="s">
        <v>57</v>
      </c>
      <c r="E525" s="6" t="s">
        <v>23</v>
      </c>
      <c r="F525" s="6" t="s">
        <v>24</v>
      </c>
      <c r="G525" s="6" t="s">
        <v>64</v>
      </c>
      <c r="H525" s="6" t="s">
        <v>65</v>
      </c>
      <c r="I525" s="6" t="str">
        <f aca="false">IF(A525&lt;Outliers!$E$6,"Low",IF(A525&gt;Outliers!$F$6,"High",""))</f>
        <v/>
      </c>
      <c r="J525" s="6" t="str">
        <f aca="false">IF(B525&lt;Outliers!$E$7,"Low",IF(B525&gt;Outliers!$F$7,"High",""))</f>
        <v/>
      </c>
      <c r="K525" s="6" t="str">
        <f aca="false">IF(C525&lt;Outliers!$E$8,"Low",IF(C525&gt;Outliers!$F$8,"High",""))</f>
        <v/>
      </c>
      <c r="L525" s="6" t="str">
        <f aca="false">A525&amp;";"&amp;B525&amp;";"&amp;C525</f>
        <v>25.16125354;40.89732789;13.5253328363388</v>
      </c>
      <c r="M525" s="6" t="n">
        <f aca="false">IF(COUNTIF($L$2:$L$2201,L525)&gt;1,1,0)</f>
        <v>0</v>
      </c>
      <c r="N525" s="6" t="str">
        <f aca="false">IF(AND(C525&lt;Assumptions!$B$9,B525&lt;Assumptions!$B$10),"Irrigate Now",IF(AND(C525&gt;=Assumptions!$B$11,B525&gt;=Assumptions!$B$12),"No Irrigation Needed","Monitor"))</f>
        <v>Irrigate Now</v>
      </c>
      <c r="O525" s="6" t="n">
        <f aca="false">IF(N525=G525,1,0)</f>
        <v>1</v>
      </c>
    </row>
    <row r="526" customFormat="false" ht="15" hidden="false" customHeight="false" outlineLevel="0" collapsed="false">
      <c r="A526" s="16" t="n">
        <v>27.3179125</v>
      </c>
      <c r="B526" s="16" t="n">
        <v>32.55919573</v>
      </c>
      <c r="C526" s="16" t="n">
        <v>19.0180765728324</v>
      </c>
      <c r="D526" s="6" t="s">
        <v>57</v>
      </c>
      <c r="E526" s="6" t="s">
        <v>23</v>
      </c>
      <c r="F526" s="6" t="s">
        <v>24</v>
      </c>
      <c r="G526" s="6" t="s">
        <v>61</v>
      </c>
      <c r="H526" s="6" t="s">
        <v>63</v>
      </c>
      <c r="I526" s="6" t="str">
        <f aca="false">IF(A526&lt;Outliers!$E$6,"Low",IF(A526&gt;Outliers!$F$6,"High",""))</f>
        <v/>
      </c>
      <c r="J526" s="6" t="str">
        <f aca="false">IF(B526&lt;Outliers!$E$7,"Low",IF(B526&gt;Outliers!$F$7,"High",""))</f>
        <v/>
      </c>
      <c r="K526" s="6" t="str">
        <f aca="false">IF(C526&lt;Outliers!$E$8,"Low",IF(C526&gt;Outliers!$F$8,"High",""))</f>
        <v/>
      </c>
      <c r="L526" s="6" t="str">
        <f aca="false">A526&amp;";"&amp;B526&amp;";"&amp;C526</f>
        <v>27.3179125;32.55919573;19.0180765728324</v>
      </c>
      <c r="M526" s="6" t="n">
        <f aca="false">IF(COUNTIF($L$2:$L$2201,L526)&gt;1,1,0)</f>
        <v>0</v>
      </c>
      <c r="N526" s="6" t="str">
        <f aca="false">IF(AND(C526&lt;Assumptions!$B$9,B526&lt;Assumptions!$B$10),"Irrigate Now",IF(AND(C526&gt;=Assumptions!$B$11,B526&gt;=Assumptions!$B$12),"No Irrigation Needed","Monitor"))</f>
        <v>Monitor</v>
      </c>
      <c r="O526" s="6" t="n">
        <f aca="false">IF(N526=G526,1,0)</f>
        <v>1</v>
      </c>
    </row>
    <row r="527" customFormat="false" ht="15" hidden="false" customHeight="false" outlineLevel="0" collapsed="false">
      <c r="A527" s="16" t="n">
        <v>25.4123765</v>
      </c>
      <c r="B527" s="16" t="n">
        <v>31.87416982</v>
      </c>
      <c r="C527" s="16" t="n">
        <v>19.3932590646056</v>
      </c>
      <c r="D527" s="6" t="s">
        <v>57</v>
      </c>
      <c r="E527" s="6" t="s">
        <v>23</v>
      </c>
      <c r="F527" s="6" t="s">
        <v>24</v>
      </c>
      <c r="G527" s="6" t="s">
        <v>61</v>
      </c>
      <c r="H527" s="6" t="s">
        <v>63</v>
      </c>
      <c r="I527" s="6" t="str">
        <f aca="false">IF(A527&lt;Outliers!$E$6,"Low",IF(A527&gt;Outliers!$F$6,"High",""))</f>
        <v/>
      </c>
      <c r="J527" s="6" t="str">
        <f aca="false">IF(B527&lt;Outliers!$E$7,"Low",IF(B527&gt;Outliers!$F$7,"High",""))</f>
        <v/>
      </c>
      <c r="K527" s="6" t="str">
        <f aca="false">IF(C527&lt;Outliers!$E$8,"Low",IF(C527&gt;Outliers!$F$8,"High",""))</f>
        <v/>
      </c>
      <c r="L527" s="6" t="str">
        <f aca="false">A527&amp;";"&amp;B527&amp;";"&amp;C527</f>
        <v>25.4123765;31.87416982;19.3932590646056</v>
      </c>
      <c r="M527" s="6" t="n">
        <f aca="false">IF(COUNTIF($L$2:$L$2201,L527)&gt;1,1,0)</f>
        <v>0</v>
      </c>
      <c r="N527" s="6" t="str">
        <f aca="false">IF(AND(C527&lt;Assumptions!$B$9,B527&lt;Assumptions!$B$10),"Irrigate Now",IF(AND(C527&gt;=Assumptions!$B$11,B527&gt;=Assumptions!$B$12),"No Irrigation Needed","Monitor"))</f>
        <v>Monitor</v>
      </c>
      <c r="O527" s="6" t="n">
        <f aca="false">IF(N527=G527,1,0)</f>
        <v>1</v>
      </c>
    </row>
    <row r="528" customFormat="false" ht="15" hidden="false" customHeight="false" outlineLevel="0" collapsed="false">
      <c r="A528" s="16" t="n">
        <v>31.21629982</v>
      </c>
      <c r="B528" s="16" t="n">
        <v>53.1205277</v>
      </c>
      <c r="C528" s="16" t="n">
        <v>13.4685649310248</v>
      </c>
      <c r="D528" s="6" t="s">
        <v>67</v>
      </c>
      <c r="E528" s="6" t="s">
        <v>57</v>
      </c>
      <c r="F528" s="6" t="s">
        <v>24</v>
      </c>
      <c r="G528" s="6" t="s">
        <v>64</v>
      </c>
      <c r="H528" s="6" t="s">
        <v>65</v>
      </c>
      <c r="I528" s="6" t="str">
        <f aca="false">IF(A528&lt;Outliers!$E$6,"Low",IF(A528&gt;Outliers!$F$6,"High",""))</f>
        <v/>
      </c>
      <c r="J528" s="6" t="str">
        <f aca="false">IF(B528&lt;Outliers!$E$7,"Low",IF(B528&gt;Outliers!$F$7,"High",""))</f>
        <v/>
      </c>
      <c r="K528" s="6" t="str">
        <f aca="false">IF(C528&lt;Outliers!$E$8,"Low",IF(C528&gt;Outliers!$F$8,"High",""))</f>
        <v/>
      </c>
      <c r="L528" s="6" t="str">
        <f aca="false">A528&amp;";"&amp;B528&amp;";"&amp;C528</f>
        <v>31.21629982;53.1205277;13.4685649310248</v>
      </c>
      <c r="M528" s="6" t="n">
        <f aca="false">IF(COUNTIF($L$2:$L$2201,L528)&gt;1,1,0)</f>
        <v>0</v>
      </c>
      <c r="N528" s="6" t="str">
        <f aca="false">IF(AND(C528&lt;Assumptions!$B$9,B528&lt;Assumptions!$B$10),"Irrigate Now",IF(AND(C528&gt;=Assumptions!$B$11,B528&gt;=Assumptions!$B$12),"No Irrigation Needed","Monitor"))</f>
        <v>Irrigate Now</v>
      </c>
      <c r="O528" s="6" t="n">
        <f aca="false">IF(N528=G528,1,0)</f>
        <v>1</v>
      </c>
    </row>
    <row r="529" customFormat="false" ht="15" hidden="false" customHeight="false" outlineLevel="0" collapsed="false">
      <c r="A529" s="16" t="n">
        <v>30.573999</v>
      </c>
      <c r="B529" s="16" t="n">
        <v>62.74803826</v>
      </c>
      <c r="C529" s="16" t="n">
        <v>25.3030382806688</v>
      </c>
      <c r="D529" s="6" t="s">
        <v>67</v>
      </c>
      <c r="E529" s="6" t="s">
        <v>57</v>
      </c>
      <c r="F529" s="6" t="s">
        <v>60</v>
      </c>
      <c r="G529" s="6" t="s">
        <v>61</v>
      </c>
      <c r="H529" s="6" t="s">
        <v>63</v>
      </c>
      <c r="I529" s="6" t="str">
        <f aca="false">IF(A529&lt;Outliers!$E$6,"Low",IF(A529&gt;Outliers!$F$6,"High",""))</f>
        <v/>
      </c>
      <c r="J529" s="6" t="str">
        <f aca="false">IF(B529&lt;Outliers!$E$7,"Low",IF(B529&gt;Outliers!$F$7,"High",""))</f>
        <v/>
      </c>
      <c r="K529" s="6" t="str">
        <f aca="false">IF(C529&lt;Outliers!$E$8,"Low",IF(C529&gt;Outliers!$F$8,"High",""))</f>
        <v/>
      </c>
      <c r="L529" s="6" t="str">
        <f aca="false">A529&amp;";"&amp;B529&amp;";"&amp;C529</f>
        <v>30.573999;62.74803826;25.3030382806688</v>
      </c>
      <c r="M529" s="6" t="n">
        <f aca="false">IF(COUNTIF($L$2:$L$2201,L529)&gt;1,1,0)</f>
        <v>0</v>
      </c>
      <c r="N529" s="6" t="str">
        <f aca="false">IF(AND(C529&lt;Assumptions!$B$9,B529&lt;Assumptions!$B$10),"Irrigate Now",IF(AND(C529&gt;=Assumptions!$B$11,B529&gt;=Assumptions!$B$12),"No Irrigation Needed","Monitor"))</f>
        <v>Monitor</v>
      </c>
      <c r="O529" s="6" t="n">
        <f aca="false">IF(N529=G529,1,0)</f>
        <v>1</v>
      </c>
    </row>
    <row r="530" customFormat="false" ht="15" hidden="false" customHeight="false" outlineLevel="0" collapsed="false">
      <c r="A530" s="16" t="n">
        <v>25.42517036</v>
      </c>
      <c r="B530" s="16" t="n">
        <v>46.19374559</v>
      </c>
      <c r="C530" s="16" t="n">
        <v>10.3847227460403</v>
      </c>
      <c r="D530" s="6" t="s">
        <v>57</v>
      </c>
      <c r="E530" s="6" t="s">
        <v>23</v>
      </c>
      <c r="F530" s="6" t="s">
        <v>24</v>
      </c>
      <c r="G530" s="6" t="s">
        <v>64</v>
      </c>
      <c r="H530" s="6" t="s">
        <v>65</v>
      </c>
      <c r="I530" s="6" t="str">
        <f aca="false">IF(A530&lt;Outliers!$E$6,"Low",IF(A530&gt;Outliers!$F$6,"High",""))</f>
        <v/>
      </c>
      <c r="J530" s="6" t="str">
        <f aca="false">IF(B530&lt;Outliers!$E$7,"Low",IF(B530&gt;Outliers!$F$7,"High",""))</f>
        <v/>
      </c>
      <c r="K530" s="6" t="str">
        <f aca="false">IF(C530&lt;Outliers!$E$8,"Low",IF(C530&gt;Outliers!$F$8,"High",""))</f>
        <v/>
      </c>
      <c r="L530" s="6" t="str">
        <f aca="false">A530&amp;";"&amp;B530&amp;";"&amp;C530</f>
        <v>25.42517036;46.19374559;10.3847227460403</v>
      </c>
      <c r="M530" s="6" t="n">
        <f aca="false">IF(COUNTIF($L$2:$L$2201,L530)&gt;1,1,0)</f>
        <v>0</v>
      </c>
      <c r="N530" s="6" t="str">
        <f aca="false">IF(AND(C530&lt;Assumptions!$B$9,B530&lt;Assumptions!$B$10),"Irrigate Now",IF(AND(C530&gt;=Assumptions!$B$11,B530&gt;=Assumptions!$B$12),"No Irrigation Needed","Monitor"))</f>
        <v>Irrigate Now</v>
      </c>
      <c r="O530" s="6" t="n">
        <f aca="false">IF(N530=G530,1,0)</f>
        <v>1</v>
      </c>
    </row>
    <row r="531" customFormat="false" ht="15" hidden="false" customHeight="false" outlineLevel="0" collapsed="false">
      <c r="A531" s="16" t="n">
        <v>27.09400578</v>
      </c>
      <c r="B531" s="16" t="n">
        <v>41.53749535</v>
      </c>
      <c r="C531" s="16" t="n">
        <v>29.5591348015403</v>
      </c>
      <c r="D531" s="6" t="s">
        <v>57</v>
      </c>
      <c r="E531" s="6" t="s">
        <v>23</v>
      </c>
      <c r="F531" s="6" t="s">
        <v>23</v>
      </c>
      <c r="G531" s="6" t="s">
        <v>61</v>
      </c>
      <c r="H531" s="6" t="s">
        <v>63</v>
      </c>
      <c r="I531" s="6" t="str">
        <f aca="false">IF(A531&lt;Outliers!$E$6,"Low",IF(A531&gt;Outliers!$F$6,"High",""))</f>
        <v/>
      </c>
      <c r="J531" s="6" t="str">
        <f aca="false">IF(B531&lt;Outliers!$E$7,"Low",IF(B531&gt;Outliers!$F$7,"High",""))</f>
        <v/>
      </c>
      <c r="K531" s="6" t="str">
        <f aca="false">IF(C531&lt;Outliers!$E$8,"Low",IF(C531&gt;Outliers!$F$8,"High",""))</f>
        <v/>
      </c>
      <c r="L531" s="6" t="str">
        <f aca="false">A531&amp;";"&amp;B531&amp;";"&amp;C531</f>
        <v>27.09400578;41.53749535;29.5591348015403</v>
      </c>
      <c r="M531" s="6" t="n">
        <f aca="false">IF(COUNTIF($L$2:$L$2201,L531)&gt;1,1,0)</f>
        <v>0</v>
      </c>
      <c r="N531" s="6" t="str">
        <f aca="false">IF(AND(C531&lt;Assumptions!$B$9,B531&lt;Assumptions!$B$10),"Irrigate Now",IF(AND(C531&gt;=Assumptions!$B$11,B531&gt;=Assumptions!$B$12),"No Irrigation Needed","Monitor"))</f>
        <v>Monitor</v>
      </c>
      <c r="O531" s="6" t="n">
        <f aca="false">IF(N531=G531,1,0)</f>
        <v>1</v>
      </c>
    </row>
    <row r="532" customFormat="false" ht="15" hidden="false" customHeight="false" outlineLevel="0" collapsed="false">
      <c r="A532" s="16" t="n">
        <v>24.30935081</v>
      </c>
      <c r="B532" s="16" t="n">
        <v>58.99536268</v>
      </c>
      <c r="C532" s="16" t="n">
        <v>27.8887764924717</v>
      </c>
      <c r="D532" s="6" t="s">
        <v>57</v>
      </c>
      <c r="E532" s="6" t="s">
        <v>57</v>
      </c>
      <c r="F532" s="6" t="s">
        <v>23</v>
      </c>
      <c r="G532" s="6" t="s">
        <v>61</v>
      </c>
      <c r="H532" s="6" t="s">
        <v>63</v>
      </c>
      <c r="I532" s="6" t="str">
        <f aca="false">IF(A532&lt;Outliers!$E$6,"Low",IF(A532&gt;Outliers!$F$6,"High",""))</f>
        <v/>
      </c>
      <c r="J532" s="6" t="str">
        <f aca="false">IF(B532&lt;Outliers!$E$7,"Low",IF(B532&gt;Outliers!$F$7,"High",""))</f>
        <v/>
      </c>
      <c r="K532" s="6" t="str">
        <f aca="false">IF(C532&lt;Outliers!$E$8,"Low",IF(C532&gt;Outliers!$F$8,"High",""))</f>
        <v/>
      </c>
      <c r="L532" s="6" t="str">
        <f aca="false">A532&amp;";"&amp;B532&amp;";"&amp;C532</f>
        <v>24.30935081;58.99536268;27.8887764924717</v>
      </c>
      <c r="M532" s="6" t="n">
        <f aca="false">IF(COUNTIF($L$2:$L$2201,L532)&gt;1,1,0)</f>
        <v>0</v>
      </c>
      <c r="N532" s="6" t="str">
        <f aca="false">IF(AND(C532&lt;Assumptions!$B$9,B532&lt;Assumptions!$B$10),"Irrigate Now",IF(AND(C532&gt;=Assumptions!$B$11,B532&gt;=Assumptions!$B$12),"No Irrigation Needed","Monitor"))</f>
        <v>Monitor</v>
      </c>
      <c r="O532" s="6" t="n">
        <f aca="false">IF(N532=G532,1,0)</f>
        <v>1</v>
      </c>
    </row>
    <row r="533" customFormat="false" ht="15" hidden="false" customHeight="false" outlineLevel="0" collapsed="false">
      <c r="A533" s="16" t="n">
        <v>30.06142622</v>
      </c>
      <c r="B533" s="16" t="n">
        <v>41.0550915</v>
      </c>
      <c r="C533" s="16" t="n">
        <v>11.4454072337936</v>
      </c>
      <c r="D533" s="6" t="s">
        <v>67</v>
      </c>
      <c r="E533" s="6" t="s">
        <v>23</v>
      </c>
      <c r="F533" s="6" t="s">
        <v>24</v>
      </c>
      <c r="G533" s="6" t="s">
        <v>64</v>
      </c>
      <c r="H533" s="6" t="s">
        <v>65</v>
      </c>
      <c r="I533" s="6" t="str">
        <f aca="false">IF(A533&lt;Outliers!$E$6,"Low",IF(A533&gt;Outliers!$F$6,"High",""))</f>
        <v/>
      </c>
      <c r="J533" s="6" t="str">
        <f aca="false">IF(B533&lt;Outliers!$E$7,"Low",IF(B533&gt;Outliers!$F$7,"High",""))</f>
        <v/>
      </c>
      <c r="K533" s="6" t="str">
        <f aca="false">IF(C533&lt;Outliers!$E$8,"Low",IF(C533&gt;Outliers!$F$8,"High",""))</f>
        <v/>
      </c>
      <c r="L533" s="6" t="str">
        <f aca="false">A533&amp;";"&amp;B533&amp;";"&amp;C533</f>
        <v>30.06142622;41.0550915;11.4454072337936</v>
      </c>
      <c r="M533" s="6" t="n">
        <f aca="false">IF(COUNTIF($L$2:$L$2201,L533)&gt;1,1,0)</f>
        <v>0</v>
      </c>
      <c r="N533" s="6" t="str">
        <f aca="false">IF(AND(C533&lt;Assumptions!$B$9,B533&lt;Assumptions!$B$10),"Irrigate Now",IF(AND(C533&gt;=Assumptions!$B$11,B533&gt;=Assumptions!$B$12),"No Irrigation Needed","Monitor"))</f>
        <v>Irrigate Now</v>
      </c>
      <c r="O533" s="6" t="n">
        <f aca="false">IF(N533=G533,1,0)</f>
        <v>1</v>
      </c>
    </row>
    <row r="534" customFormat="false" ht="15" hidden="false" customHeight="false" outlineLevel="0" collapsed="false">
      <c r="A534" s="16" t="n">
        <v>28.09568993</v>
      </c>
      <c r="B534" s="16" t="n">
        <v>33.84110759</v>
      </c>
      <c r="C534" s="16" t="n">
        <v>24.5049106355084</v>
      </c>
      <c r="D534" s="6" t="s">
        <v>57</v>
      </c>
      <c r="E534" s="6" t="s">
        <v>23</v>
      </c>
      <c r="F534" s="6" t="s">
        <v>60</v>
      </c>
      <c r="G534" s="6" t="s">
        <v>61</v>
      </c>
      <c r="H534" s="6" t="s">
        <v>63</v>
      </c>
      <c r="I534" s="6" t="str">
        <f aca="false">IF(A534&lt;Outliers!$E$6,"Low",IF(A534&gt;Outliers!$F$6,"High",""))</f>
        <v/>
      </c>
      <c r="J534" s="6" t="str">
        <f aca="false">IF(B534&lt;Outliers!$E$7,"Low",IF(B534&gt;Outliers!$F$7,"High",""))</f>
        <v/>
      </c>
      <c r="K534" s="6" t="str">
        <f aca="false">IF(C534&lt;Outliers!$E$8,"Low",IF(C534&gt;Outliers!$F$8,"High",""))</f>
        <v/>
      </c>
      <c r="L534" s="6" t="str">
        <f aca="false">A534&amp;";"&amp;B534&amp;";"&amp;C534</f>
        <v>28.09568993;33.84110759;24.5049106355084</v>
      </c>
      <c r="M534" s="6" t="n">
        <f aca="false">IF(COUNTIF($L$2:$L$2201,L534)&gt;1,1,0)</f>
        <v>0</v>
      </c>
      <c r="N534" s="6" t="str">
        <f aca="false">IF(AND(C534&lt;Assumptions!$B$9,B534&lt;Assumptions!$B$10),"Irrigate Now",IF(AND(C534&gt;=Assumptions!$B$11,B534&gt;=Assumptions!$B$12),"No Irrigation Needed","Monitor"))</f>
        <v>Monitor</v>
      </c>
      <c r="O534" s="6" t="n">
        <f aca="false">IF(N534=G534,1,0)</f>
        <v>1</v>
      </c>
    </row>
    <row r="535" customFormat="false" ht="15" hidden="false" customHeight="false" outlineLevel="0" collapsed="false">
      <c r="A535" s="16" t="n">
        <v>26.33908791</v>
      </c>
      <c r="B535" s="16" t="n">
        <v>55.50429227</v>
      </c>
      <c r="C535" s="16" t="n">
        <v>20.4493517753922</v>
      </c>
      <c r="D535" s="6" t="s">
        <v>57</v>
      </c>
      <c r="E535" s="6" t="s">
        <v>57</v>
      </c>
      <c r="F535" s="6" t="s">
        <v>60</v>
      </c>
      <c r="G535" s="6" t="s">
        <v>61</v>
      </c>
      <c r="H535" s="6" t="s">
        <v>63</v>
      </c>
      <c r="I535" s="6" t="str">
        <f aca="false">IF(A535&lt;Outliers!$E$6,"Low",IF(A535&gt;Outliers!$F$6,"High",""))</f>
        <v/>
      </c>
      <c r="J535" s="6" t="str">
        <f aca="false">IF(B535&lt;Outliers!$E$7,"Low",IF(B535&gt;Outliers!$F$7,"High",""))</f>
        <v/>
      </c>
      <c r="K535" s="6" t="str">
        <f aca="false">IF(C535&lt;Outliers!$E$8,"Low",IF(C535&gt;Outliers!$F$8,"High",""))</f>
        <v/>
      </c>
      <c r="L535" s="6" t="str">
        <f aca="false">A535&amp;";"&amp;B535&amp;";"&amp;C535</f>
        <v>26.33908791;55.50429227;20.4493517753922</v>
      </c>
      <c r="M535" s="6" t="n">
        <f aca="false">IF(COUNTIF($L$2:$L$2201,L535)&gt;1,1,0)</f>
        <v>0</v>
      </c>
      <c r="N535" s="6" t="str">
        <f aca="false">IF(AND(C535&lt;Assumptions!$B$9,B535&lt;Assumptions!$B$10),"Irrigate Now",IF(AND(C535&gt;=Assumptions!$B$11,B535&gt;=Assumptions!$B$12),"No Irrigation Needed","Monitor"))</f>
        <v>Monitor</v>
      </c>
      <c r="O535" s="6" t="n">
        <f aca="false">IF(N535=G535,1,0)</f>
        <v>1</v>
      </c>
    </row>
    <row r="536" customFormat="false" ht="15" hidden="false" customHeight="false" outlineLevel="0" collapsed="false">
      <c r="A536" s="16" t="n">
        <v>28.61409059</v>
      </c>
      <c r="B536" s="16" t="n">
        <v>57.02891698</v>
      </c>
      <c r="C536" s="16" t="n">
        <v>18.4684324640892</v>
      </c>
      <c r="D536" s="6" t="s">
        <v>57</v>
      </c>
      <c r="E536" s="6" t="s">
        <v>57</v>
      </c>
      <c r="F536" s="6" t="s">
        <v>24</v>
      </c>
      <c r="G536" s="6" t="s">
        <v>61</v>
      </c>
      <c r="H536" s="6" t="s">
        <v>63</v>
      </c>
      <c r="I536" s="6" t="str">
        <f aca="false">IF(A536&lt;Outliers!$E$6,"Low",IF(A536&gt;Outliers!$F$6,"High",""))</f>
        <v/>
      </c>
      <c r="J536" s="6" t="str">
        <f aca="false">IF(B536&lt;Outliers!$E$7,"Low",IF(B536&gt;Outliers!$F$7,"High",""))</f>
        <v/>
      </c>
      <c r="K536" s="6" t="str">
        <f aca="false">IF(C536&lt;Outliers!$E$8,"Low",IF(C536&gt;Outliers!$F$8,"High",""))</f>
        <v/>
      </c>
      <c r="L536" s="6" t="str">
        <f aca="false">A536&amp;";"&amp;B536&amp;";"&amp;C536</f>
        <v>28.61409059;57.02891698;18.4684324640892</v>
      </c>
      <c r="M536" s="6" t="n">
        <f aca="false">IF(COUNTIF($L$2:$L$2201,L536)&gt;1,1,0)</f>
        <v>0</v>
      </c>
      <c r="N536" s="6" t="str">
        <f aca="false">IF(AND(C536&lt;Assumptions!$B$9,B536&lt;Assumptions!$B$10),"Irrigate Now",IF(AND(C536&gt;=Assumptions!$B$11,B536&gt;=Assumptions!$B$12),"No Irrigation Needed","Monitor"))</f>
        <v>Monitor</v>
      </c>
      <c r="O536" s="6" t="n">
        <f aca="false">IF(N536=G536,1,0)</f>
        <v>1</v>
      </c>
    </row>
    <row r="537" customFormat="false" ht="15" hidden="false" customHeight="false" outlineLevel="0" collapsed="false">
      <c r="A537" s="16" t="n">
        <v>28.70012137</v>
      </c>
      <c r="B537" s="16" t="n">
        <v>44.11622138</v>
      </c>
      <c r="C537" s="16" t="n">
        <v>19.2008496570018</v>
      </c>
      <c r="D537" s="6" t="s">
        <v>57</v>
      </c>
      <c r="E537" s="6" t="s">
        <v>23</v>
      </c>
      <c r="F537" s="6" t="s">
        <v>24</v>
      </c>
      <c r="G537" s="6" t="s">
        <v>61</v>
      </c>
      <c r="H537" s="6" t="s">
        <v>63</v>
      </c>
      <c r="I537" s="6" t="str">
        <f aca="false">IF(A537&lt;Outliers!$E$6,"Low",IF(A537&gt;Outliers!$F$6,"High",""))</f>
        <v/>
      </c>
      <c r="J537" s="6" t="str">
        <f aca="false">IF(B537&lt;Outliers!$E$7,"Low",IF(B537&gt;Outliers!$F$7,"High",""))</f>
        <v/>
      </c>
      <c r="K537" s="6" t="str">
        <f aca="false">IF(C537&lt;Outliers!$E$8,"Low",IF(C537&gt;Outliers!$F$8,"High",""))</f>
        <v/>
      </c>
      <c r="L537" s="6" t="str">
        <f aca="false">A537&amp;";"&amp;B537&amp;";"&amp;C537</f>
        <v>28.70012137;44.11622138;19.2008496570018</v>
      </c>
      <c r="M537" s="6" t="n">
        <f aca="false">IF(COUNTIF($L$2:$L$2201,L537)&gt;1,1,0)</f>
        <v>0</v>
      </c>
      <c r="N537" s="6" t="str">
        <f aca="false">IF(AND(C537&lt;Assumptions!$B$9,B537&lt;Assumptions!$B$10),"Irrigate Now",IF(AND(C537&gt;=Assumptions!$B$11,B537&gt;=Assumptions!$B$12),"No Irrigation Needed","Monitor"))</f>
        <v>Monitor</v>
      </c>
      <c r="O537" s="6" t="n">
        <f aca="false">IF(N537=G537,1,0)</f>
        <v>1</v>
      </c>
    </row>
    <row r="538" customFormat="false" ht="15" hidden="false" customHeight="false" outlineLevel="0" collapsed="false">
      <c r="A538" s="16" t="n">
        <v>24.21610338</v>
      </c>
      <c r="B538" s="16" t="n">
        <v>42.24783476</v>
      </c>
      <c r="C538" s="16" t="n">
        <v>24.4095978372365</v>
      </c>
      <c r="D538" s="6" t="s">
        <v>57</v>
      </c>
      <c r="E538" s="6" t="s">
        <v>23</v>
      </c>
      <c r="F538" s="6" t="s">
        <v>60</v>
      </c>
      <c r="G538" s="6" t="s">
        <v>61</v>
      </c>
      <c r="H538" s="6" t="s">
        <v>63</v>
      </c>
      <c r="I538" s="6" t="str">
        <f aca="false">IF(A538&lt;Outliers!$E$6,"Low",IF(A538&gt;Outliers!$F$6,"High",""))</f>
        <v/>
      </c>
      <c r="J538" s="6" t="str">
        <f aca="false">IF(B538&lt;Outliers!$E$7,"Low",IF(B538&gt;Outliers!$F$7,"High",""))</f>
        <v/>
      </c>
      <c r="K538" s="6" t="str">
        <f aca="false">IF(C538&lt;Outliers!$E$8,"Low",IF(C538&gt;Outliers!$F$8,"High",""))</f>
        <v/>
      </c>
      <c r="L538" s="6" t="str">
        <f aca="false">A538&amp;";"&amp;B538&amp;";"&amp;C538</f>
        <v>24.21610338;42.24783476;24.4095978372365</v>
      </c>
      <c r="M538" s="6" t="n">
        <f aca="false">IF(COUNTIF($L$2:$L$2201,L538)&gt;1,1,0)</f>
        <v>0</v>
      </c>
      <c r="N538" s="6" t="str">
        <f aca="false">IF(AND(C538&lt;Assumptions!$B$9,B538&lt;Assumptions!$B$10),"Irrigate Now",IF(AND(C538&gt;=Assumptions!$B$11,B538&gt;=Assumptions!$B$12),"No Irrigation Needed","Monitor"))</f>
        <v>Monitor</v>
      </c>
      <c r="O538" s="6" t="n">
        <f aca="false">IF(N538=G538,1,0)</f>
        <v>1</v>
      </c>
    </row>
    <row r="539" customFormat="false" ht="15" hidden="false" customHeight="false" outlineLevel="0" collapsed="false">
      <c r="A539" s="16" t="n">
        <v>28.50677929</v>
      </c>
      <c r="B539" s="16" t="n">
        <v>66.1761456</v>
      </c>
      <c r="C539" s="16" t="n">
        <v>27.5742625126382</v>
      </c>
      <c r="D539" s="6" t="s">
        <v>57</v>
      </c>
      <c r="E539" s="6" t="s">
        <v>57</v>
      </c>
      <c r="F539" s="6" t="s">
        <v>23</v>
      </c>
      <c r="G539" s="6" t="s">
        <v>61</v>
      </c>
      <c r="H539" s="6" t="s">
        <v>63</v>
      </c>
      <c r="I539" s="6" t="str">
        <f aca="false">IF(A539&lt;Outliers!$E$6,"Low",IF(A539&gt;Outliers!$F$6,"High",""))</f>
        <v/>
      </c>
      <c r="J539" s="6" t="str">
        <f aca="false">IF(B539&lt;Outliers!$E$7,"Low",IF(B539&gt;Outliers!$F$7,"High",""))</f>
        <v/>
      </c>
      <c r="K539" s="6" t="str">
        <f aca="false">IF(C539&lt;Outliers!$E$8,"Low",IF(C539&gt;Outliers!$F$8,"High",""))</f>
        <v/>
      </c>
      <c r="L539" s="6" t="str">
        <f aca="false">A539&amp;";"&amp;B539&amp;";"&amp;C539</f>
        <v>28.50677929;66.1761456;27.5742625126382</v>
      </c>
      <c r="M539" s="6" t="n">
        <f aca="false">IF(COUNTIF($L$2:$L$2201,L539)&gt;1,1,0)</f>
        <v>0</v>
      </c>
      <c r="N539" s="6" t="str">
        <f aca="false">IF(AND(C539&lt;Assumptions!$B$9,B539&lt;Assumptions!$B$10),"Irrigate Now",IF(AND(C539&gt;=Assumptions!$B$11,B539&gt;=Assumptions!$B$12),"No Irrigation Needed","Monitor"))</f>
        <v>Monitor</v>
      </c>
      <c r="O539" s="6" t="n">
        <f aca="false">IF(N539=G539,1,0)</f>
        <v>1</v>
      </c>
    </row>
    <row r="540" customFormat="false" ht="15" hidden="false" customHeight="false" outlineLevel="0" collapsed="false">
      <c r="A540" s="16" t="n">
        <v>25.97948991</v>
      </c>
      <c r="B540" s="16" t="n">
        <v>72.19245835</v>
      </c>
      <c r="C540" s="16" t="n">
        <v>12.4862569780094</v>
      </c>
      <c r="D540" s="6" t="s">
        <v>57</v>
      </c>
      <c r="E540" s="6" t="s">
        <v>57</v>
      </c>
      <c r="F540" s="6" t="s">
        <v>24</v>
      </c>
      <c r="G540" s="6" t="s">
        <v>64</v>
      </c>
      <c r="H540" s="6" t="s">
        <v>65</v>
      </c>
      <c r="I540" s="6" t="str">
        <f aca="false">IF(A540&lt;Outliers!$E$6,"Low",IF(A540&gt;Outliers!$F$6,"High",""))</f>
        <v/>
      </c>
      <c r="J540" s="6" t="str">
        <f aca="false">IF(B540&lt;Outliers!$E$7,"Low",IF(B540&gt;Outliers!$F$7,"High",""))</f>
        <v/>
      </c>
      <c r="K540" s="6" t="str">
        <f aca="false">IF(C540&lt;Outliers!$E$8,"Low",IF(C540&gt;Outliers!$F$8,"High",""))</f>
        <v/>
      </c>
      <c r="L540" s="6" t="str">
        <f aca="false">A540&amp;";"&amp;B540&amp;";"&amp;C540</f>
        <v>25.97948991;72.19245835;12.4862569780094</v>
      </c>
      <c r="M540" s="6" t="n">
        <f aca="false">IF(COUNTIF($L$2:$L$2201,L540)&gt;1,1,0)</f>
        <v>0</v>
      </c>
      <c r="N540" s="6" t="str">
        <f aca="false">IF(AND(C540&lt;Assumptions!$B$9,B540&lt;Assumptions!$B$10),"Irrigate Now",IF(AND(C540&gt;=Assumptions!$B$11,B540&gt;=Assumptions!$B$12),"No Irrigation Needed","Monitor"))</f>
        <v>Irrigate Now</v>
      </c>
      <c r="O540" s="6" t="n">
        <f aca="false">IF(N540=G540,1,0)</f>
        <v>1</v>
      </c>
    </row>
    <row r="541" customFormat="false" ht="15" hidden="false" customHeight="false" outlineLevel="0" collapsed="false">
      <c r="A541" s="16" t="n">
        <v>30.88482722</v>
      </c>
      <c r="B541" s="16" t="n">
        <v>55.053805</v>
      </c>
      <c r="C541" s="16" t="n">
        <v>24.9319049036472</v>
      </c>
      <c r="D541" s="6" t="s">
        <v>67</v>
      </c>
      <c r="E541" s="6" t="s">
        <v>57</v>
      </c>
      <c r="F541" s="6" t="s">
        <v>60</v>
      </c>
      <c r="G541" s="6" t="s">
        <v>61</v>
      </c>
      <c r="H541" s="6" t="s">
        <v>63</v>
      </c>
      <c r="I541" s="6" t="str">
        <f aca="false">IF(A541&lt;Outliers!$E$6,"Low",IF(A541&gt;Outliers!$F$6,"High",""))</f>
        <v/>
      </c>
      <c r="J541" s="6" t="str">
        <f aca="false">IF(B541&lt;Outliers!$E$7,"Low",IF(B541&gt;Outliers!$F$7,"High",""))</f>
        <v/>
      </c>
      <c r="K541" s="6" t="str">
        <f aca="false">IF(C541&lt;Outliers!$E$8,"Low",IF(C541&gt;Outliers!$F$8,"High",""))</f>
        <v/>
      </c>
      <c r="L541" s="6" t="str">
        <f aca="false">A541&amp;";"&amp;B541&amp;";"&amp;C541</f>
        <v>30.88482722;55.053805;24.9319049036472</v>
      </c>
      <c r="M541" s="6" t="n">
        <f aca="false">IF(COUNTIF($L$2:$L$2201,L541)&gt;1,1,0)</f>
        <v>0</v>
      </c>
      <c r="N541" s="6" t="str">
        <f aca="false">IF(AND(C541&lt;Assumptions!$B$9,B541&lt;Assumptions!$B$10),"Irrigate Now",IF(AND(C541&gt;=Assumptions!$B$11,B541&gt;=Assumptions!$B$12),"No Irrigation Needed","Monitor"))</f>
        <v>Monitor</v>
      </c>
      <c r="O541" s="6" t="n">
        <f aca="false">IF(N541=G541,1,0)</f>
        <v>1</v>
      </c>
    </row>
    <row r="542" customFormat="false" ht="15" hidden="false" customHeight="false" outlineLevel="0" collapsed="false">
      <c r="A542" s="16" t="n">
        <v>25.5042419</v>
      </c>
      <c r="B542" s="16" t="n">
        <v>65.07981523</v>
      </c>
      <c r="C542" s="16" t="n">
        <v>23.4309103551742</v>
      </c>
      <c r="D542" s="6" t="s">
        <v>57</v>
      </c>
      <c r="E542" s="6" t="s">
        <v>57</v>
      </c>
      <c r="F542" s="6" t="s">
        <v>60</v>
      </c>
      <c r="G542" s="6" t="s">
        <v>61</v>
      </c>
      <c r="H542" s="6" t="s">
        <v>63</v>
      </c>
      <c r="I542" s="6" t="str">
        <f aca="false">IF(A542&lt;Outliers!$E$6,"Low",IF(A542&gt;Outliers!$F$6,"High",""))</f>
        <v/>
      </c>
      <c r="J542" s="6" t="str">
        <f aca="false">IF(B542&lt;Outliers!$E$7,"Low",IF(B542&gt;Outliers!$F$7,"High",""))</f>
        <v/>
      </c>
      <c r="K542" s="6" t="str">
        <f aca="false">IF(C542&lt;Outliers!$E$8,"Low",IF(C542&gt;Outliers!$F$8,"High",""))</f>
        <v/>
      </c>
      <c r="L542" s="6" t="str">
        <f aca="false">A542&amp;";"&amp;B542&amp;";"&amp;C542</f>
        <v>25.5042419;65.07981523;23.4309103551742</v>
      </c>
      <c r="M542" s="6" t="n">
        <f aca="false">IF(COUNTIF($L$2:$L$2201,L542)&gt;1,1,0)</f>
        <v>0</v>
      </c>
      <c r="N542" s="6" t="str">
        <f aca="false">IF(AND(C542&lt;Assumptions!$B$9,B542&lt;Assumptions!$B$10),"Irrigate Now",IF(AND(C542&gt;=Assumptions!$B$11,B542&gt;=Assumptions!$B$12),"No Irrigation Needed","Monitor"))</f>
        <v>Monitor</v>
      </c>
      <c r="O542" s="6" t="n">
        <f aca="false">IF(N542=G542,1,0)</f>
        <v>1</v>
      </c>
    </row>
    <row r="543" customFormat="false" ht="15" hidden="false" customHeight="false" outlineLevel="0" collapsed="false">
      <c r="A543" s="16" t="n">
        <v>25.12528913</v>
      </c>
      <c r="B543" s="16" t="n">
        <v>38.48678973</v>
      </c>
      <c r="C543" s="16" t="n">
        <v>14.1139129356362</v>
      </c>
      <c r="D543" s="6" t="s">
        <v>57</v>
      </c>
      <c r="E543" s="6" t="s">
        <v>23</v>
      </c>
      <c r="F543" s="6" t="s">
        <v>24</v>
      </c>
      <c r="G543" s="6" t="s">
        <v>64</v>
      </c>
      <c r="H543" s="6" t="s">
        <v>65</v>
      </c>
      <c r="I543" s="6" t="str">
        <f aca="false">IF(A543&lt;Outliers!$E$6,"Low",IF(A543&gt;Outliers!$F$6,"High",""))</f>
        <v/>
      </c>
      <c r="J543" s="6" t="str">
        <f aca="false">IF(B543&lt;Outliers!$E$7,"Low",IF(B543&gt;Outliers!$F$7,"High",""))</f>
        <v/>
      </c>
      <c r="K543" s="6" t="str">
        <f aca="false">IF(C543&lt;Outliers!$E$8,"Low",IF(C543&gt;Outliers!$F$8,"High",""))</f>
        <v/>
      </c>
      <c r="L543" s="6" t="str">
        <f aca="false">A543&amp;";"&amp;B543&amp;";"&amp;C543</f>
        <v>25.12528913;38.48678973;14.1139129356362</v>
      </c>
      <c r="M543" s="6" t="n">
        <f aca="false">IF(COUNTIF($L$2:$L$2201,L543)&gt;1,1,0)</f>
        <v>0</v>
      </c>
      <c r="N543" s="6" t="str">
        <f aca="false">IF(AND(C543&lt;Assumptions!$B$9,B543&lt;Assumptions!$B$10),"Irrigate Now",IF(AND(C543&gt;=Assumptions!$B$11,B543&gt;=Assumptions!$B$12),"No Irrigation Needed","Monitor"))</f>
        <v>Irrigate Now</v>
      </c>
      <c r="O543" s="6" t="n">
        <f aca="false">IF(N543=G543,1,0)</f>
        <v>1</v>
      </c>
    </row>
    <row r="544" customFormat="false" ht="15" hidden="false" customHeight="false" outlineLevel="0" collapsed="false">
      <c r="A544" s="16" t="n">
        <v>27.10508014</v>
      </c>
      <c r="B544" s="16" t="n">
        <v>62.20279647</v>
      </c>
      <c r="C544" s="16" t="n">
        <v>21.2133420452022</v>
      </c>
      <c r="D544" s="6" t="s">
        <v>57</v>
      </c>
      <c r="E544" s="6" t="s">
        <v>57</v>
      </c>
      <c r="F544" s="6" t="s">
        <v>60</v>
      </c>
      <c r="G544" s="6" t="s">
        <v>61</v>
      </c>
      <c r="H544" s="6" t="s">
        <v>63</v>
      </c>
      <c r="I544" s="6" t="str">
        <f aca="false">IF(A544&lt;Outliers!$E$6,"Low",IF(A544&gt;Outliers!$F$6,"High",""))</f>
        <v/>
      </c>
      <c r="J544" s="6" t="str">
        <f aca="false">IF(B544&lt;Outliers!$E$7,"Low",IF(B544&gt;Outliers!$F$7,"High",""))</f>
        <v/>
      </c>
      <c r="K544" s="6" t="str">
        <f aca="false">IF(C544&lt;Outliers!$E$8,"Low",IF(C544&gt;Outliers!$F$8,"High",""))</f>
        <v/>
      </c>
      <c r="L544" s="6" t="str">
        <f aca="false">A544&amp;";"&amp;B544&amp;";"&amp;C544</f>
        <v>27.10508014;62.20279647;21.2133420452022</v>
      </c>
      <c r="M544" s="6" t="n">
        <f aca="false">IF(COUNTIF($L$2:$L$2201,L544)&gt;1,1,0)</f>
        <v>0</v>
      </c>
      <c r="N544" s="6" t="str">
        <f aca="false">IF(AND(C544&lt;Assumptions!$B$9,B544&lt;Assumptions!$B$10),"Irrigate Now",IF(AND(C544&gt;=Assumptions!$B$11,B544&gt;=Assumptions!$B$12),"No Irrigation Needed","Monitor"))</f>
        <v>Monitor</v>
      </c>
      <c r="O544" s="6" t="n">
        <f aca="false">IF(N544=G544,1,0)</f>
        <v>1</v>
      </c>
    </row>
    <row r="545" customFormat="false" ht="15" hidden="false" customHeight="false" outlineLevel="0" collapsed="false">
      <c r="A545" s="16" t="n">
        <v>31.1006247</v>
      </c>
      <c r="B545" s="16" t="n">
        <v>70.79934452</v>
      </c>
      <c r="C545" s="16" t="n">
        <v>14.2658379754259</v>
      </c>
      <c r="D545" s="6" t="s">
        <v>67</v>
      </c>
      <c r="E545" s="6" t="s">
        <v>57</v>
      </c>
      <c r="F545" s="6" t="s">
        <v>24</v>
      </c>
      <c r="G545" s="6" t="s">
        <v>64</v>
      </c>
      <c r="H545" s="6" t="s">
        <v>65</v>
      </c>
      <c r="I545" s="6" t="str">
        <f aca="false">IF(A545&lt;Outliers!$E$6,"Low",IF(A545&gt;Outliers!$F$6,"High",""))</f>
        <v/>
      </c>
      <c r="J545" s="6" t="str">
        <f aca="false">IF(B545&lt;Outliers!$E$7,"Low",IF(B545&gt;Outliers!$F$7,"High",""))</f>
        <v/>
      </c>
      <c r="K545" s="6" t="str">
        <f aca="false">IF(C545&lt;Outliers!$E$8,"Low",IF(C545&gt;Outliers!$F$8,"High",""))</f>
        <v/>
      </c>
      <c r="L545" s="6" t="str">
        <f aca="false">A545&amp;";"&amp;B545&amp;";"&amp;C545</f>
        <v>31.1006247;70.79934452;14.2658379754259</v>
      </c>
      <c r="M545" s="6" t="n">
        <f aca="false">IF(COUNTIF($L$2:$L$2201,L545)&gt;1,1,0)</f>
        <v>0</v>
      </c>
      <c r="N545" s="6" t="str">
        <f aca="false">IF(AND(C545&lt;Assumptions!$B$9,B545&lt;Assumptions!$B$10),"Irrigate Now",IF(AND(C545&gt;=Assumptions!$B$11,B545&gt;=Assumptions!$B$12),"No Irrigation Needed","Monitor"))</f>
        <v>Irrigate Now</v>
      </c>
      <c r="O545" s="6" t="n">
        <f aca="false">IF(N545=G545,1,0)</f>
        <v>1</v>
      </c>
    </row>
    <row r="546" customFormat="false" ht="15" hidden="false" customHeight="false" outlineLevel="0" collapsed="false">
      <c r="A546" s="16" t="n">
        <v>26.45707778</v>
      </c>
      <c r="B546" s="16" t="n">
        <v>64.16167699</v>
      </c>
      <c r="C546" s="16" t="n">
        <v>25.227846210353</v>
      </c>
      <c r="D546" s="6" t="s">
        <v>57</v>
      </c>
      <c r="E546" s="6" t="s">
        <v>57</v>
      </c>
      <c r="F546" s="6" t="s">
        <v>60</v>
      </c>
      <c r="G546" s="6" t="s">
        <v>61</v>
      </c>
      <c r="H546" s="6" t="s">
        <v>63</v>
      </c>
      <c r="I546" s="6" t="str">
        <f aca="false">IF(A546&lt;Outliers!$E$6,"Low",IF(A546&gt;Outliers!$F$6,"High",""))</f>
        <v/>
      </c>
      <c r="J546" s="6" t="str">
        <f aca="false">IF(B546&lt;Outliers!$E$7,"Low",IF(B546&gt;Outliers!$F$7,"High",""))</f>
        <v/>
      </c>
      <c r="K546" s="6" t="str">
        <f aca="false">IF(C546&lt;Outliers!$E$8,"Low",IF(C546&gt;Outliers!$F$8,"High",""))</f>
        <v/>
      </c>
      <c r="L546" s="6" t="str">
        <f aca="false">A546&amp;";"&amp;B546&amp;";"&amp;C546</f>
        <v>26.45707778;64.16167699;25.227846210353</v>
      </c>
      <c r="M546" s="6" t="n">
        <f aca="false">IF(COUNTIF($L$2:$L$2201,L546)&gt;1,1,0)</f>
        <v>0</v>
      </c>
      <c r="N546" s="6" t="str">
        <f aca="false">IF(AND(C546&lt;Assumptions!$B$9,B546&lt;Assumptions!$B$10),"Irrigate Now",IF(AND(C546&gt;=Assumptions!$B$11,B546&gt;=Assumptions!$B$12),"No Irrigation Needed","Monitor"))</f>
        <v>Monitor</v>
      </c>
      <c r="O546" s="6" t="n">
        <f aca="false">IF(N546=G546,1,0)</f>
        <v>1</v>
      </c>
    </row>
    <row r="547" customFormat="false" ht="15" hidden="false" customHeight="false" outlineLevel="0" collapsed="false">
      <c r="A547" s="16" t="n">
        <v>30.04132304</v>
      </c>
      <c r="B547" s="16" t="n">
        <v>31.83192392</v>
      </c>
      <c r="C547" s="16" t="n">
        <v>19.35632207168</v>
      </c>
      <c r="D547" s="6" t="s">
        <v>67</v>
      </c>
      <c r="E547" s="6" t="s">
        <v>23</v>
      </c>
      <c r="F547" s="6" t="s">
        <v>24</v>
      </c>
      <c r="G547" s="6" t="s">
        <v>61</v>
      </c>
      <c r="H547" s="6" t="s">
        <v>68</v>
      </c>
      <c r="I547" s="6" t="str">
        <f aca="false">IF(A547&lt;Outliers!$E$6,"Low",IF(A547&gt;Outliers!$F$6,"High",""))</f>
        <v/>
      </c>
      <c r="J547" s="6" t="str">
        <f aca="false">IF(B547&lt;Outliers!$E$7,"Low",IF(B547&gt;Outliers!$F$7,"High",""))</f>
        <v/>
      </c>
      <c r="K547" s="6" t="str">
        <f aca="false">IF(C547&lt;Outliers!$E$8,"Low",IF(C547&gt;Outliers!$F$8,"High",""))</f>
        <v/>
      </c>
      <c r="L547" s="6" t="str">
        <f aca="false">A547&amp;";"&amp;B547&amp;";"&amp;C547</f>
        <v>30.04132304;31.83192392;19.35632207168</v>
      </c>
      <c r="M547" s="6" t="n">
        <f aca="false">IF(COUNTIF($L$2:$L$2201,L547)&gt;1,1,0)</f>
        <v>0</v>
      </c>
      <c r="N547" s="6" t="str">
        <f aca="false">IF(AND(C547&lt;Assumptions!$B$9,B547&lt;Assumptions!$B$10),"Irrigate Now",IF(AND(C547&gt;=Assumptions!$B$11,B547&gt;=Assumptions!$B$12),"No Irrigation Needed","Monitor"))</f>
        <v>Monitor</v>
      </c>
      <c r="O547" s="6" t="n">
        <f aca="false">IF(N547=G547,1,0)</f>
        <v>1</v>
      </c>
    </row>
    <row r="548" customFormat="false" ht="15" hidden="false" customHeight="false" outlineLevel="0" collapsed="false">
      <c r="A548" s="16" t="n">
        <v>27.77799528</v>
      </c>
      <c r="B548" s="16" t="n">
        <v>50.28438729</v>
      </c>
      <c r="C548" s="16" t="n">
        <v>12.1417415655414</v>
      </c>
      <c r="D548" s="6" t="s">
        <v>57</v>
      </c>
      <c r="E548" s="6" t="s">
        <v>57</v>
      </c>
      <c r="F548" s="6" t="s">
        <v>24</v>
      </c>
      <c r="G548" s="6" t="s">
        <v>64</v>
      </c>
      <c r="H548" s="6" t="s">
        <v>65</v>
      </c>
      <c r="I548" s="6" t="str">
        <f aca="false">IF(A548&lt;Outliers!$E$6,"Low",IF(A548&gt;Outliers!$F$6,"High",""))</f>
        <v/>
      </c>
      <c r="J548" s="6" t="str">
        <f aca="false">IF(B548&lt;Outliers!$E$7,"Low",IF(B548&gt;Outliers!$F$7,"High",""))</f>
        <v/>
      </c>
      <c r="K548" s="6" t="str">
        <f aca="false">IF(C548&lt;Outliers!$E$8,"Low",IF(C548&gt;Outliers!$F$8,"High",""))</f>
        <v/>
      </c>
      <c r="L548" s="6" t="str">
        <f aca="false">A548&amp;";"&amp;B548&amp;";"&amp;C548</f>
        <v>27.77799528;50.28438729;12.1417415655414</v>
      </c>
      <c r="M548" s="6" t="n">
        <f aca="false">IF(COUNTIF($L$2:$L$2201,L548)&gt;1,1,0)</f>
        <v>0</v>
      </c>
      <c r="N548" s="6" t="str">
        <f aca="false">IF(AND(C548&lt;Assumptions!$B$9,B548&lt;Assumptions!$B$10),"Irrigate Now",IF(AND(C548&gt;=Assumptions!$B$11,B548&gt;=Assumptions!$B$12),"No Irrigation Needed","Monitor"))</f>
        <v>Irrigate Now</v>
      </c>
      <c r="O548" s="6" t="n">
        <f aca="false">IF(N548=G548,1,0)</f>
        <v>1</v>
      </c>
    </row>
    <row r="549" customFormat="false" ht="15" hidden="false" customHeight="false" outlineLevel="0" collapsed="false">
      <c r="A549" s="16" t="n">
        <v>30.99256944</v>
      </c>
      <c r="B549" s="16" t="n">
        <v>58.27600682</v>
      </c>
      <c r="C549" s="16" t="n">
        <v>20.6035697518668</v>
      </c>
      <c r="D549" s="6" t="s">
        <v>67</v>
      </c>
      <c r="E549" s="6" t="s">
        <v>57</v>
      </c>
      <c r="F549" s="6" t="s">
        <v>60</v>
      </c>
      <c r="G549" s="6" t="s">
        <v>61</v>
      </c>
      <c r="H549" s="6" t="s">
        <v>68</v>
      </c>
      <c r="I549" s="6" t="str">
        <f aca="false">IF(A549&lt;Outliers!$E$6,"Low",IF(A549&gt;Outliers!$F$6,"High",""))</f>
        <v/>
      </c>
      <c r="J549" s="6" t="str">
        <f aca="false">IF(B549&lt;Outliers!$E$7,"Low",IF(B549&gt;Outliers!$F$7,"High",""))</f>
        <v/>
      </c>
      <c r="K549" s="6" t="str">
        <f aca="false">IF(C549&lt;Outliers!$E$8,"Low",IF(C549&gt;Outliers!$F$8,"High",""))</f>
        <v/>
      </c>
      <c r="L549" s="6" t="str">
        <f aca="false">A549&amp;";"&amp;B549&amp;";"&amp;C549</f>
        <v>30.99256944;58.27600682;20.6035697518668</v>
      </c>
      <c r="M549" s="6" t="n">
        <f aca="false">IF(COUNTIF($L$2:$L$2201,L549)&gt;1,1,0)</f>
        <v>0</v>
      </c>
      <c r="N549" s="6" t="str">
        <f aca="false">IF(AND(C549&lt;Assumptions!$B$9,B549&lt;Assumptions!$B$10),"Irrigate Now",IF(AND(C549&gt;=Assumptions!$B$11,B549&gt;=Assumptions!$B$12),"No Irrigation Needed","Monitor"))</f>
        <v>Monitor</v>
      </c>
      <c r="O549" s="6" t="n">
        <f aca="false">IF(N549=G549,1,0)</f>
        <v>1</v>
      </c>
    </row>
    <row r="550" customFormat="false" ht="15" hidden="false" customHeight="false" outlineLevel="0" collapsed="false">
      <c r="A550" s="16" t="n">
        <v>26.4908332</v>
      </c>
      <c r="B550" s="16" t="n">
        <v>36.99362831</v>
      </c>
      <c r="C550" s="16" t="n">
        <v>10.179660229975</v>
      </c>
      <c r="D550" s="6" t="s">
        <v>57</v>
      </c>
      <c r="E550" s="6" t="s">
        <v>23</v>
      </c>
      <c r="F550" s="6" t="s">
        <v>24</v>
      </c>
      <c r="G550" s="6" t="s">
        <v>64</v>
      </c>
      <c r="H550" s="6" t="s">
        <v>65</v>
      </c>
      <c r="I550" s="6" t="str">
        <f aca="false">IF(A550&lt;Outliers!$E$6,"Low",IF(A550&gt;Outliers!$F$6,"High",""))</f>
        <v/>
      </c>
      <c r="J550" s="6" t="str">
        <f aca="false">IF(B550&lt;Outliers!$E$7,"Low",IF(B550&gt;Outliers!$F$7,"High",""))</f>
        <v/>
      </c>
      <c r="K550" s="6" t="str">
        <f aca="false">IF(C550&lt;Outliers!$E$8,"Low",IF(C550&gt;Outliers!$F$8,"High",""))</f>
        <v/>
      </c>
      <c r="L550" s="6" t="str">
        <f aca="false">A550&amp;";"&amp;B550&amp;";"&amp;C550</f>
        <v>26.4908332;36.99362831;10.179660229975</v>
      </c>
      <c r="M550" s="6" t="n">
        <f aca="false">IF(COUNTIF($L$2:$L$2201,L550)&gt;1,1,0)</f>
        <v>0</v>
      </c>
      <c r="N550" s="6" t="str">
        <f aca="false">IF(AND(C550&lt;Assumptions!$B$9,B550&lt;Assumptions!$B$10),"Irrigate Now",IF(AND(C550&gt;=Assumptions!$B$11,B550&gt;=Assumptions!$B$12),"No Irrigation Needed","Monitor"))</f>
        <v>Irrigate Now</v>
      </c>
      <c r="O550" s="6" t="n">
        <f aca="false">IF(N550=G550,1,0)</f>
        <v>1</v>
      </c>
    </row>
    <row r="551" customFormat="false" ht="15" hidden="false" customHeight="false" outlineLevel="0" collapsed="false">
      <c r="A551" s="16" t="n">
        <v>31.96987867</v>
      </c>
      <c r="B551" s="16" t="n">
        <v>64.25520357</v>
      </c>
      <c r="C551" s="16" t="n">
        <v>13.7931310103689</v>
      </c>
      <c r="D551" s="6" t="s">
        <v>67</v>
      </c>
      <c r="E551" s="6" t="s">
        <v>57</v>
      </c>
      <c r="F551" s="6" t="s">
        <v>24</v>
      </c>
      <c r="G551" s="6" t="s">
        <v>64</v>
      </c>
      <c r="H551" s="6" t="s">
        <v>65</v>
      </c>
      <c r="I551" s="6" t="str">
        <f aca="false">IF(A551&lt;Outliers!$E$6,"Low",IF(A551&gt;Outliers!$F$6,"High",""))</f>
        <v/>
      </c>
      <c r="J551" s="6" t="str">
        <f aca="false">IF(B551&lt;Outliers!$E$7,"Low",IF(B551&gt;Outliers!$F$7,"High",""))</f>
        <v/>
      </c>
      <c r="K551" s="6" t="str">
        <f aca="false">IF(C551&lt;Outliers!$E$8,"Low",IF(C551&gt;Outliers!$F$8,"High",""))</f>
        <v/>
      </c>
      <c r="L551" s="6" t="str">
        <f aca="false">A551&amp;";"&amp;B551&amp;";"&amp;C551</f>
        <v>31.96987867;64.25520357;13.7931310103689</v>
      </c>
      <c r="M551" s="6" t="n">
        <f aca="false">IF(COUNTIF($L$2:$L$2201,L551)&gt;1,1,0)</f>
        <v>0</v>
      </c>
      <c r="N551" s="6" t="str">
        <f aca="false">IF(AND(C551&lt;Assumptions!$B$9,B551&lt;Assumptions!$B$10),"Irrigate Now",IF(AND(C551&gt;=Assumptions!$B$11,B551&gt;=Assumptions!$B$12),"No Irrigation Needed","Monitor"))</f>
        <v>Irrigate Now</v>
      </c>
      <c r="O551" s="6" t="n">
        <f aca="false">IF(N551=G551,1,0)</f>
        <v>1</v>
      </c>
    </row>
    <row r="552" customFormat="false" ht="15" hidden="false" customHeight="false" outlineLevel="0" collapsed="false">
      <c r="A552" s="16" t="n">
        <v>25.36140526</v>
      </c>
      <c r="B552" s="16" t="n">
        <v>55.60523179</v>
      </c>
      <c r="C552" s="16" t="n">
        <v>16.4264114915191</v>
      </c>
      <c r="D552" s="6" t="s">
        <v>57</v>
      </c>
      <c r="E552" s="6" t="s">
        <v>57</v>
      </c>
      <c r="F552" s="6" t="s">
        <v>24</v>
      </c>
      <c r="G552" s="6" t="s">
        <v>64</v>
      </c>
      <c r="H552" s="6" t="s">
        <v>65</v>
      </c>
      <c r="I552" s="6" t="str">
        <f aca="false">IF(A552&lt;Outliers!$E$6,"Low",IF(A552&gt;Outliers!$F$6,"High",""))</f>
        <v/>
      </c>
      <c r="J552" s="6" t="str">
        <f aca="false">IF(B552&lt;Outliers!$E$7,"Low",IF(B552&gt;Outliers!$F$7,"High",""))</f>
        <v/>
      </c>
      <c r="K552" s="6" t="str">
        <f aca="false">IF(C552&lt;Outliers!$E$8,"Low",IF(C552&gt;Outliers!$F$8,"High",""))</f>
        <v/>
      </c>
      <c r="L552" s="6" t="str">
        <f aca="false">A552&amp;";"&amp;B552&amp;";"&amp;C552</f>
        <v>25.36140526;55.60523179;16.4264114915191</v>
      </c>
      <c r="M552" s="6" t="n">
        <f aca="false">IF(COUNTIF($L$2:$L$2201,L552)&gt;1,1,0)</f>
        <v>0</v>
      </c>
      <c r="N552" s="6" t="str">
        <f aca="false">IF(AND(C552&lt;Assumptions!$B$9,B552&lt;Assumptions!$B$10),"Irrigate Now",IF(AND(C552&gt;=Assumptions!$B$11,B552&gt;=Assumptions!$B$12),"No Irrigation Needed","Monitor"))</f>
        <v>Irrigate Now</v>
      </c>
      <c r="O552" s="6" t="n">
        <f aca="false">IF(N552=G552,1,0)</f>
        <v>1</v>
      </c>
    </row>
    <row r="553" customFormat="false" ht="15" hidden="false" customHeight="false" outlineLevel="0" collapsed="false">
      <c r="A553" s="16" t="n">
        <v>25.54249137</v>
      </c>
      <c r="B553" s="16" t="n">
        <v>48.46797044</v>
      </c>
      <c r="C553" s="16" t="n">
        <v>26.0331918902412</v>
      </c>
      <c r="D553" s="6" t="s">
        <v>57</v>
      </c>
      <c r="E553" s="6" t="s">
        <v>23</v>
      </c>
      <c r="F553" s="6" t="s">
        <v>60</v>
      </c>
      <c r="G553" s="6" t="s">
        <v>61</v>
      </c>
      <c r="H553" s="6" t="s">
        <v>63</v>
      </c>
      <c r="I553" s="6" t="str">
        <f aca="false">IF(A553&lt;Outliers!$E$6,"Low",IF(A553&gt;Outliers!$F$6,"High",""))</f>
        <v/>
      </c>
      <c r="J553" s="6" t="str">
        <f aca="false">IF(B553&lt;Outliers!$E$7,"Low",IF(B553&gt;Outliers!$F$7,"High",""))</f>
        <v/>
      </c>
      <c r="K553" s="6" t="str">
        <f aca="false">IF(C553&lt;Outliers!$E$8,"Low",IF(C553&gt;Outliers!$F$8,"High",""))</f>
        <v/>
      </c>
      <c r="L553" s="6" t="str">
        <f aca="false">A553&amp;";"&amp;B553&amp;";"&amp;C553</f>
        <v>25.54249137;48.46797044;26.0331918902412</v>
      </c>
      <c r="M553" s="6" t="n">
        <f aca="false">IF(COUNTIF($L$2:$L$2201,L553)&gt;1,1,0)</f>
        <v>0</v>
      </c>
      <c r="N553" s="6" t="str">
        <f aca="false">IF(AND(C553&lt;Assumptions!$B$9,B553&lt;Assumptions!$B$10),"Irrigate Now",IF(AND(C553&gt;=Assumptions!$B$11,B553&gt;=Assumptions!$B$12),"No Irrigation Needed","Monitor"))</f>
        <v>Monitor</v>
      </c>
      <c r="O553" s="6" t="n">
        <f aca="false">IF(N553=G553,1,0)</f>
        <v>1</v>
      </c>
    </row>
    <row r="554" customFormat="false" ht="15" hidden="false" customHeight="false" outlineLevel="0" collapsed="false">
      <c r="A554" s="16" t="n">
        <v>28.99319096</v>
      </c>
      <c r="B554" s="16" t="n">
        <v>70.4713043</v>
      </c>
      <c r="C554" s="16" t="n">
        <v>19.1039629403004</v>
      </c>
      <c r="D554" s="6" t="s">
        <v>57</v>
      </c>
      <c r="E554" s="6" t="s">
        <v>57</v>
      </c>
      <c r="F554" s="6" t="s">
        <v>60</v>
      </c>
      <c r="G554" s="6" t="s">
        <v>61</v>
      </c>
      <c r="H554" s="6" t="s">
        <v>63</v>
      </c>
      <c r="I554" s="6" t="str">
        <f aca="false">IF(A554&lt;Outliers!$E$6,"Low",IF(A554&gt;Outliers!$F$6,"High",""))</f>
        <v/>
      </c>
      <c r="J554" s="6" t="str">
        <f aca="false">IF(B554&lt;Outliers!$E$7,"Low",IF(B554&gt;Outliers!$F$7,"High",""))</f>
        <v/>
      </c>
      <c r="K554" s="6" t="str">
        <f aca="false">IF(C554&lt;Outliers!$E$8,"Low",IF(C554&gt;Outliers!$F$8,"High",""))</f>
        <v/>
      </c>
      <c r="L554" s="6" t="str">
        <f aca="false">A554&amp;";"&amp;B554&amp;";"&amp;C554</f>
        <v>28.99319096;70.4713043;19.1039629403004</v>
      </c>
      <c r="M554" s="6" t="n">
        <f aca="false">IF(COUNTIF($L$2:$L$2201,L554)&gt;1,1,0)</f>
        <v>0</v>
      </c>
      <c r="N554" s="6" t="str">
        <f aca="false">IF(AND(C554&lt;Assumptions!$B$9,B554&lt;Assumptions!$B$10),"Irrigate Now",IF(AND(C554&gt;=Assumptions!$B$11,B554&gt;=Assumptions!$B$12),"No Irrigation Needed","Monitor"))</f>
        <v>Monitor</v>
      </c>
      <c r="O554" s="6" t="n">
        <f aca="false">IF(N554=G554,1,0)</f>
        <v>1</v>
      </c>
    </row>
    <row r="555" customFormat="false" ht="15" hidden="false" customHeight="false" outlineLevel="0" collapsed="false">
      <c r="A555" s="16" t="n">
        <v>29.34317422</v>
      </c>
      <c r="B555" s="16" t="n">
        <v>34.03335472</v>
      </c>
      <c r="C555" s="16" t="n">
        <v>23.7481119491935</v>
      </c>
      <c r="D555" s="6" t="s">
        <v>57</v>
      </c>
      <c r="E555" s="6" t="s">
        <v>23</v>
      </c>
      <c r="F555" s="6" t="s">
        <v>60</v>
      </c>
      <c r="G555" s="6" t="s">
        <v>61</v>
      </c>
      <c r="H555" s="6" t="s">
        <v>63</v>
      </c>
      <c r="I555" s="6" t="str">
        <f aca="false">IF(A555&lt;Outliers!$E$6,"Low",IF(A555&gt;Outliers!$F$6,"High",""))</f>
        <v/>
      </c>
      <c r="J555" s="6" t="str">
        <f aca="false">IF(B555&lt;Outliers!$E$7,"Low",IF(B555&gt;Outliers!$F$7,"High",""))</f>
        <v/>
      </c>
      <c r="K555" s="6" t="str">
        <f aca="false">IF(C555&lt;Outliers!$E$8,"Low",IF(C555&gt;Outliers!$F$8,"High",""))</f>
        <v/>
      </c>
      <c r="L555" s="6" t="str">
        <f aca="false">A555&amp;";"&amp;B555&amp;";"&amp;C555</f>
        <v>29.34317422;34.03335472;23.7481119491935</v>
      </c>
      <c r="M555" s="6" t="n">
        <f aca="false">IF(COUNTIF($L$2:$L$2201,L555)&gt;1,1,0)</f>
        <v>0</v>
      </c>
      <c r="N555" s="6" t="str">
        <f aca="false">IF(AND(C555&lt;Assumptions!$B$9,B555&lt;Assumptions!$B$10),"Irrigate Now",IF(AND(C555&gt;=Assumptions!$B$11,B555&gt;=Assumptions!$B$12),"No Irrigation Needed","Monitor"))</f>
        <v>Monitor</v>
      </c>
      <c r="O555" s="6" t="n">
        <f aca="false">IF(N555=G555,1,0)</f>
        <v>1</v>
      </c>
    </row>
    <row r="556" customFormat="false" ht="15" hidden="false" customHeight="false" outlineLevel="0" collapsed="false">
      <c r="A556" s="16" t="n">
        <v>28.63618921</v>
      </c>
      <c r="B556" s="16" t="n">
        <v>68.54877876</v>
      </c>
      <c r="C556" s="16" t="n">
        <v>25.2561747712563</v>
      </c>
      <c r="D556" s="6" t="s">
        <v>57</v>
      </c>
      <c r="E556" s="6" t="s">
        <v>57</v>
      </c>
      <c r="F556" s="6" t="s">
        <v>23</v>
      </c>
      <c r="G556" s="6" t="s">
        <v>61</v>
      </c>
      <c r="H556" s="6" t="s">
        <v>63</v>
      </c>
      <c r="I556" s="6" t="str">
        <f aca="false">IF(A556&lt;Outliers!$E$6,"Low",IF(A556&gt;Outliers!$F$6,"High",""))</f>
        <v/>
      </c>
      <c r="J556" s="6" t="str">
        <f aca="false">IF(B556&lt;Outliers!$E$7,"Low",IF(B556&gt;Outliers!$F$7,"High",""))</f>
        <v/>
      </c>
      <c r="K556" s="6" t="str">
        <f aca="false">IF(C556&lt;Outliers!$E$8,"Low",IF(C556&gt;Outliers!$F$8,"High",""))</f>
        <v/>
      </c>
      <c r="L556" s="6" t="str">
        <f aca="false">A556&amp;";"&amp;B556&amp;";"&amp;C556</f>
        <v>28.63618921;68.54877876;25.2561747712563</v>
      </c>
      <c r="M556" s="6" t="n">
        <f aca="false">IF(COUNTIF($L$2:$L$2201,L556)&gt;1,1,0)</f>
        <v>0</v>
      </c>
      <c r="N556" s="6" t="str">
        <f aca="false">IF(AND(C556&lt;Assumptions!$B$9,B556&lt;Assumptions!$B$10),"Irrigate Now",IF(AND(C556&gt;=Assumptions!$B$11,B556&gt;=Assumptions!$B$12),"No Irrigation Needed","Monitor"))</f>
        <v>Monitor</v>
      </c>
      <c r="O556" s="6" t="n">
        <f aca="false">IF(N556=G556,1,0)</f>
        <v>1</v>
      </c>
    </row>
    <row r="557" customFormat="false" ht="15" hidden="false" customHeight="false" outlineLevel="0" collapsed="false">
      <c r="A557" s="16" t="n">
        <v>24.83206631</v>
      </c>
      <c r="B557" s="16" t="n">
        <v>52.0810886</v>
      </c>
      <c r="C557" s="16" t="n">
        <v>15.5734930721381</v>
      </c>
      <c r="D557" s="6" t="s">
        <v>57</v>
      </c>
      <c r="E557" s="6" t="s">
        <v>57</v>
      </c>
      <c r="F557" s="6" t="s">
        <v>24</v>
      </c>
      <c r="G557" s="6" t="s">
        <v>64</v>
      </c>
      <c r="H557" s="6" t="s">
        <v>65</v>
      </c>
      <c r="I557" s="6" t="str">
        <f aca="false">IF(A557&lt;Outliers!$E$6,"Low",IF(A557&gt;Outliers!$F$6,"High",""))</f>
        <v/>
      </c>
      <c r="J557" s="6" t="str">
        <f aca="false">IF(B557&lt;Outliers!$E$7,"Low",IF(B557&gt;Outliers!$F$7,"High",""))</f>
        <v/>
      </c>
      <c r="K557" s="6" t="str">
        <f aca="false">IF(C557&lt;Outliers!$E$8,"Low",IF(C557&gt;Outliers!$F$8,"High",""))</f>
        <v/>
      </c>
      <c r="L557" s="6" t="str">
        <f aca="false">A557&amp;";"&amp;B557&amp;";"&amp;C557</f>
        <v>24.83206631;52.0810886;15.5734930721381</v>
      </c>
      <c r="M557" s="6" t="n">
        <f aca="false">IF(COUNTIF($L$2:$L$2201,L557)&gt;1,1,0)</f>
        <v>0</v>
      </c>
      <c r="N557" s="6" t="str">
        <f aca="false">IF(AND(C557&lt;Assumptions!$B$9,B557&lt;Assumptions!$B$10),"Irrigate Now",IF(AND(C557&gt;=Assumptions!$B$11,B557&gt;=Assumptions!$B$12),"No Irrigation Needed","Monitor"))</f>
        <v>Irrigate Now</v>
      </c>
      <c r="O557" s="6" t="n">
        <f aca="false">IF(N557=G557,1,0)</f>
        <v>1</v>
      </c>
    </row>
    <row r="558" customFormat="false" ht="15" hidden="false" customHeight="false" outlineLevel="0" collapsed="false">
      <c r="A558" s="16" t="n">
        <v>25.44689075</v>
      </c>
      <c r="B558" s="16" t="n">
        <v>57.04826619</v>
      </c>
      <c r="C558" s="16" t="n">
        <v>12.4727609397164</v>
      </c>
      <c r="D558" s="6" t="s">
        <v>57</v>
      </c>
      <c r="E558" s="6" t="s">
        <v>57</v>
      </c>
      <c r="F558" s="6" t="s">
        <v>24</v>
      </c>
      <c r="G558" s="6" t="s">
        <v>64</v>
      </c>
      <c r="H558" s="6" t="s">
        <v>65</v>
      </c>
      <c r="I558" s="6" t="str">
        <f aca="false">IF(A558&lt;Outliers!$E$6,"Low",IF(A558&gt;Outliers!$F$6,"High",""))</f>
        <v/>
      </c>
      <c r="J558" s="6" t="str">
        <f aca="false">IF(B558&lt;Outliers!$E$7,"Low",IF(B558&gt;Outliers!$F$7,"High",""))</f>
        <v/>
      </c>
      <c r="K558" s="6" t="str">
        <f aca="false">IF(C558&lt;Outliers!$E$8,"Low",IF(C558&gt;Outliers!$F$8,"High",""))</f>
        <v/>
      </c>
      <c r="L558" s="6" t="str">
        <f aca="false">A558&amp;";"&amp;B558&amp;";"&amp;C558</f>
        <v>25.44689075;57.04826619;12.4727609397164</v>
      </c>
      <c r="M558" s="6" t="n">
        <f aca="false">IF(COUNTIF($L$2:$L$2201,L558)&gt;1,1,0)</f>
        <v>0</v>
      </c>
      <c r="N558" s="6" t="str">
        <f aca="false">IF(AND(C558&lt;Assumptions!$B$9,B558&lt;Assumptions!$B$10),"Irrigate Now",IF(AND(C558&gt;=Assumptions!$B$11,B558&gt;=Assumptions!$B$12),"No Irrigation Needed","Monitor"))</f>
        <v>Irrigate Now</v>
      </c>
      <c r="O558" s="6" t="n">
        <f aca="false">IF(N558=G558,1,0)</f>
        <v>1</v>
      </c>
    </row>
    <row r="559" customFormat="false" ht="15" hidden="false" customHeight="false" outlineLevel="0" collapsed="false">
      <c r="A559" s="16" t="n">
        <v>31.01274943</v>
      </c>
      <c r="B559" s="16" t="n">
        <v>63.77192383</v>
      </c>
      <c r="C559" s="16" t="n">
        <v>15.3216274555297</v>
      </c>
      <c r="D559" s="6" t="s">
        <v>67</v>
      </c>
      <c r="E559" s="6" t="s">
        <v>57</v>
      </c>
      <c r="F559" s="6" t="s">
        <v>24</v>
      </c>
      <c r="G559" s="6" t="s">
        <v>64</v>
      </c>
      <c r="H559" s="6" t="s">
        <v>65</v>
      </c>
      <c r="I559" s="6" t="str">
        <f aca="false">IF(A559&lt;Outliers!$E$6,"Low",IF(A559&gt;Outliers!$F$6,"High",""))</f>
        <v/>
      </c>
      <c r="J559" s="6" t="str">
        <f aca="false">IF(B559&lt;Outliers!$E$7,"Low",IF(B559&gt;Outliers!$F$7,"High",""))</f>
        <v/>
      </c>
      <c r="K559" s="6" t="str">
        <f aca="false">IF(C559&lt;Outliers!$E$8,"Low",IF(C559&gt;Outliers!$F$8,"High",""))</f>
        <v/>
      </c>
      <c r="L559" s="6" t="str">
        <f aca="false">A559&amp;";"&amp;B559&amp;";"&amp;C559</f>
        <v>31.01274943;63.77192383;15.3216274555297</v>
      </c>
      <c r="M559" s="6" t="n">
        <f aca="false">IF(COUNTIF($L$2:$L$2201,L559)&gt;1,1,0)</f>
        <v>0</v>
      </c>
      <c r="N559" s="6" t="str">
        <f aca="false">IF(AND(C559&lt;Assumptions!$B$9,B559&lt;Assumptions!$B$10),"Irrigate Now",IF(AND(C559&gt;=Assumptions!$B$11,B559&gt;=Assumptions!$B$12),"No Irrigation Needed","Monitor"))</f>
        <v>Irrigate Now</v>
      </c>
      <c r="O559" s="6" t="n">
        <f aca="false">IF(N559=G559,1,0)</f>
        <v>1</v>
      </c>
    </row>
    <row r="560" customFormat="false" ht="15" hidden="false" customHeight="false" outlineLevel="0" collapsed="false">
      <c r="A560" s="16" t="n">
        <v>27.06179658</v>
      </c>
      <c r="B560" s="16" t="n">
        <v>60.74583498</v>
      </c>
      <c r="C560" s="16" t="n">
        <v>19.1325184126077</v>
      </c>
      <c r="D560" s="6" t="s">
        <v>57</v>
      </c>
      <c r="E560" s="6" t="s">
        <v>57</v>
      </c>
      <c r="F560" s="6" t="s">
        <v>60</v>
      </c>
      <c r="G560" s="6" t="s">
        <v>61</v>
      </c>
      <c r="H560" s="6" t="s">
        <v>63</v>
      </c>
      <c r="I560" s="6" t="str">
        <f aca="false">IF(A560&lt;Outliers!$E$6,"Low",IF(A560&gt;Outliers!$F$6,"High",""))</f>
        <v/>
      </c>
      <c r="J560" s="6" t="str">
        <f aca="false">IF(B560&lt;Outliers!$E$7,"Low",IF(B560&gt;Outliers!$F$7,"High",""))</f>
        <v/>
      </c>
      <c r="K560" s="6" t="str">
        <f aca="false">IF(C560&lt;Outliers!$E$8,"Low",IF(C560&gt;Outliers!$F$8,"High",""))</f>
        <v/>
      </c>
      <c r="L560" s="6" t="str">
        <f aca="false">A560&amp;";"&amp;B560&amp;";"&amp;C560</f>
        <v>27.06179658;60.74583498;19.1325184126077</v>
      </c>
      <c r="M560" s="6" t="n">
        <f aca="false">IF(COUNTIF($L$2:$L$2201,L560)&gt;1,1,0)</f>
        <v>0</v>
      </c>
      <c r="N560" s="6" t="str">
        <f aca="false">IF(AND(C560&lt;Assumptions!$B$9,B560&lt;Assumptions!$B$10),"Irrigate Now",IF(AND(C560&gt;=Assumptions!$B$11,B560&gt;=Assumptions!$B$12),"No Irrigation Needed","Monitor"))</f>
        <v>Monitor</v>
      </c>
      <c r="O560" s="6" t="n">
        <f aca="false">IF(N560=G560,1,0)</f>
        <v>1</v>
      </c>
    </row>
    <row r="561" customFormat="false" ht="15" hidden="false" customHeight="false" outlineLevel="0" collapsed="false">
      <c r="A561" s="16" t="n">
        <v>27.0956288</v>
      </c>
      <c r="B561" s="16" t="n">
        <v>71.1271039</v>
      </c>
      <c r="C561" s="16" t="n">
        <v>23.5694733714642</v>
      </c>
      <c r="D561" s="6" t="s">
        <v>57</v>
      </c>
      <c r="E561" s="6" t="s">
        <v>57</v>
      </c>
      <c r="F561" s="6" t="s">
        <v>60</v>
      </c>
      <c r="G561" s="6" t="s">
        <v>61</v>
      </c>
      <c r="H561" s="6" t="s">
        <v>63</v>
      </c>
      <c r="I561" s="6" t="str">
        <f aca="false">IF(A561&lt;Outliers!$E$6,"Low",IF(A561&gt;Outliers!$F$6,"High",""))</f>
        <v/>
      </c>
      <c r="J561" s="6" t="str">
        <f aca="false">IF(B561&lt;Outliers!$E$7,"Low",IF(B561&gt;Outliers!$F$7,"High",""))</f>
        <v/>
      </c>
      <c r="K561" s="6" t="str">
        <f aca="false">IF(C561&lt;Outliers!$E$8,"Low",IF(C561&gt;Outliers!$F$8,"High",""))</f>
        <v/>
      </c>
      <c r="L561" s="6" t="str">
        <f aca="false">A561&amp;";"&amp;B561&amp;";"&amp;C561</f>
        <v>27.0956288;71.1271039;23.5694733714642</v>
      </c>
      <c r="M561" s="6" t="n">
        <f aca="false">IF(COUNTIF($L$2:$L$2201,L561)&gt;1,1,0)</f>
        <v>0</v>
      </c>
      <c r="N561" s="6" t="str">
        <f aca="false">IF(AND(C561&lt;Assumptions!$B$9,B561&lt;Assumptions!$B$10),"Irrigate Now",IF(AND(C561&gt;=Assumptions!$B$11,B561&gt;=Assumptions!$B$12),"No Irrigation Needed","Monitor"))</f>
        <v>Monitor</v>
      </c>
      <c r="O561" s="6" t="n">
        <f aca="false">IF(N561=G561,1,0)</f>
        <v>1</v>
      </c>
    </row>
    <row r="562" customFormat="false" ht="15" hidden="false" customHeight="false" outlineLevel="0" collapsed="false">
      <c r="A562" s="16" t="n">
        <v>28.56800579</v>
      </c>
      <c r="B562" s="16" t="n">
        <v>64.53027638</v>
      </c>
      <c r="C562" s="16" t="n">
        <v>22.1259895023921</v>
      </c>
      <c r="D562" s="6" t="s">
        <v>57</v>
      </c>
      <c r="E562" s="6" t="s">
        <v>57</v>
      </c>
      <c r="F562" s="6" t="s">
        <v>60</v>
      </c>
      <c r="G562" s="6" t="s">
        <v>61</v>
      </c>
      <c r="H562" s="6" t="s">
        <v>63</v>
      </c>
      <c r="I562" s="6" t="str">
        <f aca="false">IF(A562&lt;Outliers!$E$6,"Low",IF(A562&gt;Outliers!$F$6,"High",""))</f>
        <v/>
      </c>
      <c r="J562" s="6" t="str">
        <f aca="false">IF(B562&lt;Outliers!$E$7,"Low",IF(B562&gt;Outliers!$F$7,"High",""))</f>
        <v/>
      </c>
      <c r="K562" s="6" t="str">
        <f aca="false">IF(C562&lt;Outliers!$E$8,"Low",IF(C562&gt;Outliers!$F$8,"High",""))</f>
        <v/>
      </c>
      <c r="L562" s="6" t="str">
        <f aca="false">A562&amp;";"&amp;B562&amp;";"&amp;C562</f>
        <v>28.56800579;64.53027638;22.1259895023921</v>
      </c>
      <c r="M562" s="6" t="n">
        <f aca="false">IF(COUNTIF($L$2:$L$2201,L562)&gt;1,1,0)</f>
        <v>0</v>
      </c>
      <c r="N562" s="6" t="str">
        <f aca="false">IF(AND(C562&lt;Assumptions!$B$9,B562&lt;Assumptions!$B$10),"Irrigate Now",IF(AND(C562&gt;=Assumptions!$B$11,B562&gt;=Assumptions!$B$12),"No Irrigation Needed","Monitor"))</f>
        <v>Monitor</v>
      </c>
      <c r="O562" s="6" t="n">
        <f aca="false">IF(N562=G562,1,0)</f>
        <v>1</v>
      </c>
    </row>
    <row r="563" customFormat="false" ht="15" hidden="false" customHeight="false" outlineLevel="0" collapsed="false">
      <c r="A563" s="16" t="n">
        <v>28.79929247</v>
      </c>
      <c r="B563" s="16" t="n">
        <v>40.85534718</v>
      </c>
      <c r="C563" s="16" t="n">
        <v>27.5841001103842</v>
      </c>
      <c r="D563" s="6" t="s">
        <v>57</v>
      </c>
      <c r="E563" s="6" t="s">
        <v>23</v>
      </c>
      <c r="F563" s="6" t="s">
        <v>23</v>
      </c>
      <c r="G563" s="6" t="s">
        <v>61</v>
      </c>
      <c r="H563" s="6" t="s">
        <v>63</v>
      </c>
      <c r="I563" s="6" t="str">
        <f aca="false">IF(A563&lt;Outliers!$E$6,"Low",IF(A563&gt;Outliers!$F$6,"High",""))</f>
        <v/>
      </c>
      <c r="J563" s="6" t="str">
        <f aca="false">IF(B563&lt;Outliers!$E$7,"Low",IF(B563&gt;Outliers!$F$7,"High",""))</f>
        <v/>
      </c>
      <c r="K563" s="6" t="str">
        <f aca="false">IF(C563&lt;Outliers!$E$8,"Low",IF(C563&gt;Outliers!$F$8,"High",""))</f>
        <v/>
      </c>
      <c r="L563" s="6" t="str">
        <f aca="false">A563&amp;";"&amp;B563&amp;";"&amp;C563</f>
        <v>28.79929247;40.85534718;27.5841001103842</v>
      </c>
      <c r="M563" s="6" t="n">
        <f aca="false">IF(COUNTIF($L$2:$L$2201,L563)&gt;1,1,0)</f>
        <v>0</v>
      </c>
      <c r="N563" s="6" t="str">
        <f aca="false">IF(AND(C563&lt;Assumptions!$B$9,B563&lt;Assumptions!$B$10),"Irrigate Now",IF(AND(C563&gt;=Assumptions!$B$11,B563&gt;=Assumptions!$B$12),"No Irrigation Needed","Monitor"))</f>
        <v>Monitor</v>
      </c>
      <c r="O563" s="6" t="n">
        <f aca="false">IF(N563=G563,1,0)</f>
        <v>1</v>
      </c>
    </row>
    <row r="564" customFormat="false" ht="15" hidden="false" customHeight="false" outlineLevel="0" collapsed="false">
      <c r="A564" s="16" t="n">
        <v>27.94293692</v>
      </c>
      <c r="B564" s="16" t="n">
        <v>69.66289997</v>
      </c>
      <c r="C564" s="16" t="n">
        <v>13.3517455297391</v>
      </c>
      <c r="D564" s="6" t="s">
        <v>57</v>
      </c>
      <c r="E564" s="6" t="s">
        <v>57</v>
      </c>
      <c r="F564" s="6" t="s">
        <v>24</v>
      </c>
      <c r="G564" s="6" t="s">
        <v>64</v>
      </c>
      <c r="H564" s="6" t="s">
        <v>65</v>
      </c>
      <c r="I564" s="6" t="str">
        <f aca="false">IF(A564&lt;Outliers!$E$6,"Low",IF(A564&gt;Outliers!$F$6,"High",""))</f>
        <v/>
      </c>
      <c r="J564" s="6" t="str">
        <f aca="false">IF(B564&lt;Outliers!$E$7,"Low",IF(B564&gt;Outliers!$F$7,"High",""))</f>
        <v/>
      </c>
      <c r="K564" s="6" t="str">
        <f aca="false">IF(C564&lt;Outliers!$E$8,"Low",IF(C564&gt;Outliers!$F$8,"High",""))</f>
        <v/>
      </c>
      <c r="L564" s="6" t="str">
        <f aca="false">A564&amp;";"&amp;B564&amp;";"&amp;C564</f>
        <v>27.94293692;69.66289997;13.3517455297391</v>
      </c>
      <c r="M564" s="6" t="n">
        <f aca="false">IF(COUNTIF($L$2:$L$2201,L564)&gt;1,1,0)</f>
        <v>0</v>
      </c>
      <c r="N564" s="6" t="str">
        <f aca="false">IF(AND(C564&lt;Assumptions!$B$9,B564&lt;Assumptions!$B$10),"Irrigate Now",IF(AND(C564&gt;=Assumptions!$B$11,B564&gt;=Assumptions!$B$12),"No Irrigation Needed","Monitor"))</f>
        <v>Irrigate Now</v>
      </c>
      <c r="O564" s="6" t="n">
        <f aca="false">IF(N564=G564,1,0)</f>
        <v>1</v>
      </c>
    </row>
    <row r="565" customFormat="false" ht="15" hidden="false" customHeight="false" outlineLevel="0" collapsed="false">
      <c r="A565" s="16" t="n">
        <v>30.47757686</v>
      </c>
      <c r="B565" s="16" t="n">
        <v>61.86633917</v>
      </c>
      <c r="C565" s="16" t="n">
        <v>11.7377874373121</v>
      </c>
      <c r="D565" s="6" t="s">
        <v>67</v>
      </c>
      <c r="E565" s="6" t="s">
        <v>57</v>
      </c>
      <c r="F565" s="6" t="s">
        <v>24</v>
      </c>
      <c r="G565" s="6" t="s">
        <v>64</v>
      </c>
      <c r="H565" s="6" t="s">
        <v>65</v>
      </c>
      <c r="I565" s="6" t="str">
        <f aca="false">IF(A565&lt;Outliers!$E$6,"Low",IF(A565&gt;Outliers!$F$6,"High",""))</f>
        <v/>
      </c>
      <c r="J565" s="6" t="str">
        <f aca="false">IF(B565&lt;Outliers!$E$7,"Low",IF(B565&gt;Outliers!$F$7,"High",""))</f>
        <v/>
      </c>
      <c r="K565" s="6" t="str">
        <f aca="false">IF(C565&lt;Outliers!$E$8,"Low",IF(C565&gt;Outliers!$F$8,"High",""))</f>
        <v/>
      </c>
      <c r="L565" s="6" t="str">
        <f aca="false">A565&amp;";"&amp;B565&amp;";"&amp;C565</f>
        <v>30.47757686;61.86633917;11.7377874373121</v>
      </c>
      <c r="M565" s="6" t="n">
        <f aca="false">IF(COUNTIF($L$2:$L$2201,L565)&gt;1,1,0)</f>
        <v>0</v>
      </c>
      <c r="N565" s="6" t="str">
        <f aca="false">IF(AND(C565&lt;Assumptions!$B$9,B565&lt;Assumptions!$B$10),"Irrigate Now",IF(AND(C565&gt;=Assumptions!$B$11,B565&gt;=Assumptions!$B$12),"No Irrigation Needed","Monitor"))</f>
        <v>Irrigate Now</v>
      </c>
      <c r="O565" s="6" t="n">
        <f aca="false">IF(N565=G565,1,0)</f>
        <v>1</v>
      </c>
    </row>
    <row r="566" customFormat="false" ht="15" hidden="false" customHeight="false" outlineLevel="0" collapsed="false">
      <c r="A566" s="16" t="n">
        <v>30.58139475</v>
      </c>
      <c r="B566" s="16" t="n">
        <v>64.58559639</v>
      </c>
      <c r="C566" s="16" t="n">
        <v>16.499630482975</v>
      </c>
      <c r="D566" s="6" t="s">
        <v>67</v>
      </c>
      <c r="E566" s="6" t="s">
        <v>57</v>
      </c>
      <c r="F566" s="6" t="s">
        <v>24</v>
      </c>
      <c r="G566" s="6" t="s">
        <v>64</v>
      </c>
      <c r="H566" s="6" t="s">
        <v>65</v>
      </c>
      <c r="I566" s="6" t="str">
        <f aca="false">IF(A566&lt;Outliers!$E$6,"Low",IF(A566&gt;Outliers!$F$6,"High",""))</f>
        <v/>
      </c>
      <c r="J566" s="6" t="str">
        <f aca="false">IF(B566&lt;Outliers!$E$7,"Low",IF(B566&gt;Outliers!$F$7,"High",""))</f>
        <v/>
      </c>
      <c r="K566" s="6" t="str">
        <f aca="false">IF(C566&lt;Outliers!$E$8,"Low",IF(C566&gt;Outliers!$F$8,"High",""))</f>
        <v/>
      </c>
      <c r="L566" s="6" t="str">
        <f aca="false">A566&amp;";"&amp;B566&amp;";"&amp;C566</f>
        <v>30.58139475;64.58559639;16.499630482975</v>
      </c>
      <c r="M566" s="6" t="n">
        <f aca="false">IF(COUNTIF($L$2:$L$2201,L566)&gt;1,1,0)</f>
        <v>0</v>
      </c>
      <c r="N566" s="6" t="str">
        <f aca="false">IF(AND(C566&lt;Assumptions!$B$9,B566&lt;Assumptions!$B$10),"Irrigate Now",IF(AND(C566&gt;=Assumptions!$B$11,B566&gt;=Assumptions!$B$12),"No Irrigation Needed","Monitor"))</f>
        <v>Irrigate Now</v>
      </c>
      <c r="O566" s="6" t="n">
        <f aca="false">IF(N566=G566,1,0)</f>
        <v>1</v>
      </c>
    </row>
    <row r="567" customFormat="false" ht="15" hidden="false" customHeight="false" outlineLevel="0" collapsed="false">
      <c r="A567" s="16" t="n">
        <v>26.85911286</v>
      </c>
      <c r="B567" s="16" t="n">
        <v>44.13827124</v>
      </c>
      <c r="C567" s="16" t="n">
        <v>29.1720887973258</v>
      </c>
      <c r="D567" s="6" t="s">
        <v>57</v>
      </c>
      <c r="E567" s="6" t="s">
        <v>23</v>
      </c>
      <c r="F567" s="6" t="s">
        <v>23</v>
      </c>
      <c r="G567" s="6" t="s">
        <v>61</v>
      </c>
      <c r="H567" s="6" t="s">
        <v>63</v>
      </c>
      <c r="I567" s="6" t="str">
        <f aca="false">IF(A567&lt;Outliers!$E$6,"Low",IF(A567&gt;Outliers!$F$6,"High",""))</f>
        <v/>
      </c>
      <c r="J567" s="6" t="str">
        <f aca="false">IF(B567&lt;Outliers!$E$7,"Low",IF(B567&gt;Outliers!$F$7,"High",""))</f>
        <v/>
      </c>
      <c r="K567" s="6" t="str">
        <f aca="false">IF(C567&lt;Outliers!$E$8,"Low",IF(C567&gt;Outliers!$F$8,"High",""))</f>
        <v/>
      </c>
      <c r="L567" s="6" t="str">
        <f aca="false">A567&amp;";"&amp;B567&amp;";"&amp;C567</f>
        <v>26.85911286;44.13827124;29.1720887973258</v>
      </c>
      <c r="M567" s="6" t="n">
        <f aca="false">IF(COUNTIF($L$2:$L$2201,L567)&gt;1,1,0)</f>
        <v>0</v>
      </c>
      <c r="N567" s="6" t="str">
        <f aca="false">IF(AND(C567&lt;Assumptions!$B$9,B567&lt;Assumptions!$B$10),"Irrigate Now",IF(AND(C567&gt;=Assumptions!$B$11,B567&gt;=Assumptions!$B$12),"No Irrigation Needed","Monitor"))</f>
        <v>Monitor</v>
      </c>
      <c r="O567" s="6" t="n">
        <f aca="false">IF(N567=G567,1,0)</f>
        <v>1</v>
      </c>
    </row>
    <row r="568" customFormat="false" ht="15" hidden="false" customHeight="false" outlineLevel="0" collapsed="false">
      <c r="A568" s="16" t="n">
        <v>26.31051759</v>
      </c>
      <c r="B568" s="16" t="n">
        <v>35.73403813</v>
      </c>
      <c r="C568" s="16" t="n">
        <v>23.3069859415135</v>
      </c>
      <c r="D568" s="6" t="s">
        <v>57</v>
      </c>
      <c r="E568" s="6" t="s">
        <v>23</v>
      </c>
      <c r="F568" s="6" t="s">
        <v>60</v>
      </c>
      <c r="G568" s="6" t="s">
        <v>61</v>
      </c>
      <c r="H568" s="6" t="s">
        <v>63</v>
      </c>
      <c r="I568" s="6" t="str">
        <f aca="false">IF(A568&lt;Outliers!$E$6,"Low",IF(A568&gt;Outliers!$F$6,"High",""))</f>
        <v/>
      </c>
      <c r="J568" s="6" t="str">
        <f aca="false">IF(B568&lt;Outliers!$E$7,"Low",IF(B568&gt;Outliers!$F$7,"High",""))</f>
        <v/>
      </c>
      <c r="K568" s="6" t="str">
        <f aca="false">IF(C568&lt;Outliers!$E$8,"Low",IF(C568&gt;Outliers!$F$8,"High",""))</f>
        <v/>
      </c>
      <c r="L568" s="6" t="str">
        <f aca="false">A568&amp;";"&amp;B568&amp;";"&amp;C568</f>
        <v>26.31051759;35.73403813;23.3069859415135</v>
      </c>
      <c r="M568" s="6" t="n">
        <f aca="false">IF(COUNTIF($L$2:$L$2201,L568)&gt;1,1,0)</f>
        <v>0</v>
      </c>
      <c r="N568" s="6" t="str">
        <f aca="false">IF(AND(C568&lt;Assumptions!$B$9,B568&lt;Assumptions!$B$10),"Irrigate Now",IF(AND(C568&gt;=Assumptions!$B$11,B568&gt;=Assumptions!$B$12),"No Irrigation Needed","Monitor"))</f>
        <v>Monitor</v>
      </c>
      <c r="O568" s="6" t="n">
        <f aca="false">IF(N568=G568,1,0)</f>
        <v>1</v>
      </c>
    </row>
    <row r="569" customFormat="false" ht="15" hidden="false" customHeight="false" outlineLevel="0" collapsed="false">
      <c r="A569" s="16" t="n">
        <v>28.77833449</v>
      </c>
      <c r="B569" s="16" t="n">
        <v>33.95825723</v>
      </c>
      <c r="C569" s="16" t="n">
        <v>23.6095380941199</v>
      </c>
      <c r="D569" s="6" t="s">
        <v>57</v>
      </c>
      <c r="E569" s="6" t="s">
        <v>23</v>
      </c>
      <c r="F569" s="6" t="s">
        <v>60</v>
      </c>
      <c r="G569" s="6" t="s">
        <v>61</v>
      </c>
      <c r="H569" s="6" t="s">
        <v>63</v>
      </c>
      <c r="I569" s="6" t="str">
        <f aca="false">IF(A569&lt;Outliers!$E$6,"Low",IF(A569&gt;Outliers!$F$6,"High",""))</f>
        <v/>
      </c>
      <c r="J569" s="6" t="str">
        <f aca="false">IF(B569&lt;Outliers!$E$7,"Low",IF(B569&gt;Outliers!$F$7,"High",""))</f>
        <v/>
      </c>
      <c r="K569" s="6" t="str">
        <f aca="false">IF(C569&lt;Outliers!$E$8,"Low",IF(C569&gt;Outliers!$F$8,"High",""))</f>
        <v/>
      </c>
      <c r="L569" s="6" t="str">
        <f aca="false">A569&amp;";"&amp;B569&amp;";"&amp;C569</f>
        <v>28.77833449;33.95825723;23.6095380941199</v>
      </c>
      <c r="M569" s="6" t="n">
        <f aca="false">IF(COUNTIF($L$2:$L$2201,L569)&gt;1,1,0)</f>
        <v>0</v>
      </c>
      <c r="N569" s="6" t="str">
        <f aca="false">IF(AND(C569&lt;Assumptions!$B$9,B569&lt;Assumptions!$B$10),"Irrigate Now",IF(AND(C569&gt;=Assumptions!$B$11,B569&gt;=Assumptions!$B$12),"No Irrigation Needed","Monitor"))</f>
        <v>Monitor</v>
      </c>
      <c r="O569" s="6" t="n">
        <f aca="false">IF(N569=G569,1,0)</f>
        <v>1</v>
      </c>
    </row>
    <row r="570" customFormat="false" ht="15" hidden="false" customHeight="false" outlineLevel="0" collapsed="false">
      <c r="A570" s="16" t="n">
        <v>28.90245417</v>
      </c>
      <c r="B570" s="16" t="n">
        <v>71.90018566</v>
      </c>
      <c r="C570" s="16" t="n">
        <v>16.3327722794228</v>
      </c>
      <c r="D570" s="6" t="s">
        <v>57</v>
      </c>
      <c r="E570" s="6" t="s">
        <v>57</v>
      </c>
      <c r="F570" s="6" t="s">
        <v>24</v>
      </c>
      <c r="G570" s="6" t="s">
        <v>64</v>
      </c>
      <c r="H570" s="6" t="s">
        <v>65</v>
      </c>
      <c r="I570" s="6" t="str">
        <f aca="false">IF(A570&lt;Outliers!$E$6,"Low",IF(A570&gt;Outliers!$F$6,"High",""))</f>
        <v/>
      </c>
      <c r="J570" s="6" t="str">
        <f aca="false">IF(B570&lt;Outliers!$E$7,"Low",IF(B570&gt;Outliers!$F$7,"High",""))</f>
        <v/>
      </c>
      <c r="K570" s="6" t="str">
        <f aca="false">IF(C570&lt;Outliers!$E$8,"Low",IF(C570&gt;Outliers!$F$8,"High",""))</f>
        <v/>
      </c>
      <c r="L570" s="6" t="str">
        <f aca="false">A570&amp;";"&amp;B570&amp;";"&amp;C570</f>
        <v>28.90245417;71.90018566;16.3327722794228</v>
      </c>
      <c r="M570" s="6" t="n">
        <f aca="false">IF(COUNTIF($L$2:$L$2201,L570)&gt;1,1,0)</f>
        <v>0</v>
      </c>
      <c r="N570" s="6" t="str">
        <f aca="false">IF(AND(C570&lt;Assumptions!$B$9,B570&lt;Assumptions!$B$10),"Irrigate Now",IF(AND(C570&gt;=Assumptions!$B$11,B570&gt;=Assumptions!$B$12),"No Irrigation Needed","Monitor"))</f>
        <v>Irrigate Now</v>
      </c>
      <c r="O570" s="6" t="n">
        <f aca="false">IF(N570=G570,1,0)</f>
        <v>1</v>
      </c>
    </row>
    <row r="571" customFormat="false" ht="15" hidden="false" customHeight="false" outlineLevel="0" collapsed="false">
      <c r="A571" s="16" t="n">
        <v>29.37687468</v>
      </c>
      <c r="B571" s="16" t="n">
        <v>38.34303462</v>
      </c>
      <c r="C571" s="16" t="n">
        <v>26.6498226819409</v>
      </c>
      <c r="D571" s="6" t="s">
        <v>57</v>
      </c>
      <c r="E571" s="6" t="s">
        <v>23</v>
      </c>
      <c r="F571" s="6" t="s">
        <v>23</v>
      </c>
      <c r="G571" s="6" t="s">
        <v>61</v>
      </c>
      <c r="H571" s="6" t="s">
        <v>63</v>
      </c>
      <c r="I571" s="6" t="str">
        <f aca="false">IF(A571&lt;Outliers!$E$6,"Low",IF(A571&gt;Outliers!$F$6,"High",""))</f>
        <v/>
      </c>
      <c r="J571" s="6" t="str">
        <f aca="false">IF(B571&lt;Outliers!$E$7,"Low",IF(B571&gt;Outliers!$F$7,"High",""))</f>
        <v/>
      </c>
      <c r="K571" s="6" t="str">
        <f aca="false">IF(C571&lt;Outliers!$E$8,"Low",IF(C571&gt;Outliers!$F$8,"High",""))</f>
        <v/>
      </c>
      <c r="L571" s="6" t="str">
        <f aca="false">A571&amp;";"&amp;B571&amp;";"&amp;C571</f>
        <v>29.37687468;38.34303462;26.6498226819409</v>
      </c>
      <c r="M571" s="6" t="n">
        <f aca="false">IF(COUNTIF($L$2:$L$2201,L571)&gt;1,1,0)</f>
        <v>0</v>
      </c>
      <c r="N571" s="6" t="str">
        <f aca="false">IF(AND(C571&lt;Assumptions!$B$9,B571&lt;Assumptions!$B$10),"Irrigate Now",IF(AND(C571&gt;=Assumptions!$B$11,B571&gt;=Assumptions!$B$12),"No Irrigation Needed","Monitor"))</f>
        <v>Monitor</v>
      </c>
      <c r="O571" s="6" t="n">
        <f aca="false">IF(N571=G571,1,0)</f>
        <v>1</v>
      </c>
    </row>
    <row r="572" customFormat="false" ht="15" hidden="false" customHeight="false" outlineLevel="0" collapsed="false">
      <c r="A572" s="16" t="n">
        <v>24.17093241</v>
      </c>
      <c r="B572" s="16" t="n">
        <v>59.18953429</v>
      </c>
      <c r="C572" s="16" t="n">
        <v>29.4717347524907</v>
      </c>
      <c r="D572" s="6" t="s">
        <v>57</v>
      </c>
      <c r="E572" s="6" t="s">
        <v>57</v>
      </c>
      <c r="F572" s="6" t="s">
        <v>23</v>
      </c>
      <c r="G572" s="6" t="s">
        <v>61</v>
      </c>
      <c r="H572" s="6" t="s">
        <v>63</v>
      </c>
      <c r="I572" s="6" t="str">
        <f aca="false">IF(A572&lt;Outliers!$E$6,"Low",IF(A572&gt;Outliers!$F$6,"High",""))</f>
        <v/>
      </c>
      <c r="J572" s="6" t="str">
        <f aca="false">IF(B572&lt;Outliers!$E$7,"Low",IF(B572&gt;Outliers!$F$7,"High",""))</f>
        <v/>
      </c>
      <c r="K572" s="6" t="str">
        <f aca="false">IF(C572&lt;Outliers!$E$8,"Low",IF(C572&gt;Outliers!$F$8,"High",""))</f>
        <v/>
      </c>
      <c r="L572" s="6" t="str">
        <f aca="false">A572&amp;";"&amp;B572&amp;";"&amp;C572</f>
        <v>24.17093241;59.18953429;29.4717347524907</v>
      </c>
      <c r="M572" s="6" t="n">
        <f aca="false">IF(COUNTIF($L$2:$L$2201,L572)&gt;1,1,0)</f>
        <v>0</v>
      </c>
      <c r="N572" s="6" t="str">
        <f aca="false">IF(AND(C572&lt;Assumptions!$B$9,B572&lt;Assumptions!$B$10),"Irrigate Now",IF(AND(C572&gt;=Assumptions!$B$11,B572&gt;=Assumptions!$B$12),"No Irrigation Needed","Monitor"))</f>
        <v>Monitor</v>
      </c>
      <c r="O572" s="6" t="n">
        <f aca="false">IF(N572=G572,1,0)</f>
        <v>1</v>
      </c>
    </row>
    <row r="573" customFormat="false" ht="15" hidden="false" customHeight="false" outlineLevel="0" collapsed="false">
      <c r="A573" s="16" t="n">
        <v>26.65333029</v>
      </c>
      <c r="B573" s="16" t="n">
        <v>36.91852635</v>
      </c>
      <c r="C573" s="16" t="n">
        <v>21.9053663717134</v>
      </c>
      <c r="D573" s="6" t="s">
        <v>57</v>
      </c>
      <c r="E573" s="6" t="s">
        <v>23</v>
      </c>
      <c r="F573" s="6" t="s">
        <v>60</v>
      </c>
      <c r="G573" s="6" t="s">
        <v>61</v>
      </c>
      <c r="H573" s="6" t="s">
        <v>63</v>
      </c>
      <c r="I573" s="6" t="str">
        <f aca="false">IF(A573&lt;Outliers!$E$6,"Low",IF(A573&gt;Outliers!$F$6,"High",""))</f>
        <v/>
      </c>
      <c r="J573" s="6" t="str">
        <f aca="false">IF(B573&lt;Outliers!$E$7,"Low",IF(B573&gt;Outliers!$F$7,"High",""))</f>
        <v/>
      </c>
      <c r="K573" s="6" t="str">
        <f aca="false">IF(C573&lt;Outliers!$E$8,"Low",IF(C573&gt;Outliers!$F$8,"High",""))</f>
        <v/>
      </c>
      <c r="L573" s="6" t="str">
        <f aca="false">A573&amp;";"&amp;B573&amp;";"&amp;C573</f>
        <v>26.65333029;36.91852635;21.9053663717134</v>
      </c>
      <c r="M573" s="6" t="n">
        <f aca="false">IF(COUNTIF($L$2:$L$2201,L573)&gt;1,1,0)</f>
        <v>0</v>
      </c>
      <c r="N573" s="6" t="str">
        <f aca="false">IF(AND(C573&lt;Assumptions!$B$9,B573&lt;Assumptions!$B$10),"Irrigate Now",IF(AND(C573&gt;=Assumptions!$B$11,B573&gt;=Assumptions!$B$12),"No Irrigation Needed","Monitor"))</f>
        <v>Monitor</v>
      </c>
      <c r="O573" s="6" t="n">
        <f aca="false">IF(N573=G573,1,0)</f>
        <v>1</v>
      </c>
    </row>
    <row r="574" customFormat="false" ht="15" hidden="false" customHeight="false" outlineLevel="0" collapsed="false">
      <c r="A574" s="16" t="n">
        <v>28.19912143</v>
      </c>
      <c r="B574" s="16" t="n">
        <v>52.13580529</v>
      </c>
      <c r="C574" s="16" t="n">
        <v>19.4721599649661</v>
      </c>
      <c r="D574" s="6" t="s">
        <v>57</v>
      </c>
      <c r="E574" s="6" t="s">
        <v>57</v>
      </c>
      <c r="F574" s="6" t="s">
        <v>60</v>
      </c>
      <c r="G574" s="6" t="s">
        <v>61</v>
      </c>
      <c r="H574" s="6" t="s">
        <v>63</v>
      </c>
      <c r="I574" s="6" t="str">
        <f aca="false">IF(A574&lt;Outliers!$E$6,"Low",IF(A574&gt;Outliers!$F$6,"High",""))</f>
        <v/>
      </c>
      <c r="J574" s="6" t="str">
        <f aca="false">IF(B574&lt;Outliers!$E$7,"Low",IF(B574&gt;Outliers!$F$7,"High",""))</f>
        <v/>
      </c>
      <c r="K574" s="6" t="str">
        <f aca="false">IF(C574&lt;Outliers!$E$8,"Low",IF(C574&gt;Outliers!$F$8,"High",""))</f>
        <v/>
      </c>
      <c r="L574" s="6" t="str">
        <f aca="false">A574&amp;";"&amp;B574&amp;";"&amp;C574</f>
        <v>28.19912143;52.13580529;19.4721599649661</v>
      </c>
      <c r="M574" s="6" t="n">
        <f aca="false">IF(COUNTIF($L$2:$L$2201,L574)&gt;1,1,0)</f>
        <v>0</v>
      </c>
      <c r="N574" s="6" t="str">
        <f aca="false">IF(AND(C574&lt;Assumptions!$B$9,B574&lt;Assumptions!$B$10),"Irrigate Now",IF(AND(C574&gt;=Assumptions!$B$11,B574&gt;=Assumptions!$B$12),"No Irrigation Needed","Monitor"))</f>
        <v>Monitor</v>
      </c>
      <c r="O574" s="6" t="n">
        <f aca="false">IF(N574=G574,1,0)</f>
        <v>1</v>
      </c>
    </row>
    <row r="575" customFormat="false" ht="15" hidden="false" customHeight="false" outlineLevel="0" collapsed="false">
      <c r="A575" s="16" t="n">
        <v>28.76488954</v>
      </c>
      <c r="B575" s="16" t="n">
        <v>55.21606732</v>
      </c>
      <c r="C575" s="16" t="n">
        <v>10.1278337474376</v>
      </c>
      <c r="D575" s="6" t="s">
        <v>57</v>
      </c>
      <c r="E575" s="6" t="s">
        <v>57</v>
      </c>
      <c r="F575" s="6" t="s">
        <v>24</v>
      </c>
      <c r="G575" s="6" t="s">
        <v>64</v>
      </c>
      <c r="H575" s="6" t="s">
        <v>65</v>
      </c>
      <c r="I575" s="6" t="str">
        <f aca="false">IF(A575&lt;Outliers!$E$6,"Low",IF(A575&gt;Outliers!$F$6,"High",""))</f>
        <v/>
      </c>
      <c r="J575" s="6" t="str">
        <f aca="false">IF(B575&lt;Outliers!$E$7,"Low",IF(B575&gt;Outliers!$F$7,"High",""))</f>
        <v/>
      </c>
      <c r="K575" s="6" t="str">
        <f aca="false">IF(C575&lt;Outliers!$E$8,"Low",IF(C575&gt;Outliers!$F$8,"High",""))</f>
        <v/>
      </c>
      <c r="L575" s="6" t="str">
        <f aca="false">A575&amp;";"&amp;B575&amp;";"&amp;C575</f>
        <v>28.76488954;55.21606732;10.1278337474376</v>
      </c>
      <c r="M575" s="6" t="n">
        <f aca="false">IF(COUNTIF($L$2:$L$2201,L575)&gt;1,1,0)</f>
        <v>0</v>
      </c>
      <c r="N575" s="6" t="str">
        <f aca="false">IF(AND(C575&lt;Assumptions!$B$9,B575&lt;Assumptions!$B$10),"Irrigate Now",IF(AND(C575&gt;=Assumptions!$B$11,B575&gt;=Assumptions!$B$12),"No Irrigation Needed","Monitor"))</f>
        <v>Irrigate Now</v>
      </c>
      <c r="O575" s="6" t="n">
        <f aca="false">IF(N575=G575,1,0)</f>
        <v>1</v>
      </c>
    </row>
    <row r="576" customFormat="false" ht="15" hidden="false" customHeight="false" outlineLevel="0" collapsed="false">
      <c r="A576" s="16" t="n">
        <v>29.3499706</v>
      </c>
      <c r="B576" s="16" t="n">
        <v>40.82840673</v>
      </c>
      <c r="C576" s="16" t="n">
        <v>23.7556107496441</v>
      </c>
      <c r="D576" s="6" t="s">
        <v>57</v>
      </c>
      <c r="E576" s="6" t="s">
        <v>23</v>
      </c>
      <c r="F576" s="6" t="s">
        <v>60</v>
      </c>
      <c r="G576" s="6" t="s">
        <v>61</v>
      </c>
      <c r="H576" s="6" t="s">
        <v>63</v>
      </c>
      <c r="I576" s="6" t="str">
        <f aca="false">IF(A576&lt;Outliers!$E$6,"Low",IF(A576&gt;Outliers!$F$6,"High",""))</f>
        <v/>
      </c>
      <c r="J576" s="6" t="str">
        <f aca="false">IF(B576&lt;Outliers!$E$7,"Low",IF(B576&gt;Outliers!$F$7,"High",""))</f>
        <v/>
      </c>
      <c r="K576" s="6" t="str">
        <f aca="false">IF(C576&lt;Outliers!$E$8,"Low",IF(C576&gt;Outliers!$F$8,"High",""))</f>
        <v/>
      </c>
      <c r="L576" s="6" t="str">
        <f aca="false">A576&amp;";"&amp;B576&amp;";"&amp;C576</f>
        <v>29.3499706;40.82840673;23.7556107496441</v>
      </c>
      <c r="M576" s="6" t="n">
        <f aca="false">IF(COUNTIF($L$2:$L$2201,L576)&gt;1,1,0)</f>
        <v>0</v>
      </c>
      <c r="N576" s="6" t="str">
        <f aca="false">IF(AND(C576&lt;Assumptions!$B$9,B576&lt;Assumptions!$B$10),"Irrigate Now",IF(AND(C576&gt;=Assumptions!$B$11,B576&gt;=Assumptions!$B$12),"No Irrigation Needed","Monitor"))</f>
        <v>Monitor</v>
      </c>
      <c r="O576" s="6" t="n">
        <f aca="false">IF(N576=G576,1,0)</f>
        <v>1</v>
      </c>
    </row>
    <row r="577" customFormat="false" ht="15" hidden="false" customHeight="false" outlineLevel="0" collapsed="false">
      <c r="A577" s="16" t="n">
        <v>28.00937423</v>
      </c>
      <c r="B577" s="16" t="n">
        <v>36.01203025</v>
      </c>
      <c r="C577" s="16" t="n">
        <v>19.8009418713625</v>
      </c>
      <c r="D577" s="6" t="s">
        <v>57</v>
      </c>
      <c r="E577" s="6" t="s">
        <v>23</v>
      </c>
      <c r="F577" s="6" t="s">
        <v>24</v>
      </c>
      <c r="G577" s="6" t="s">
        <v>61</v>
      </c>
      <c r="H577" s="6" t="s">
        <v>63</v>
      </c>
      <c r="I577" s="6" t="str">
        <f aca="false">IF(A577&lt;Outliers!$E$6,"Low",IF(A577&gt;Outliers!$F$6,"High",""))</f>
        <v/>
      </c>
      <c r="J577" s="6" t="str">
        <f aca="false">IF(B577&lt;Outliers!$E$7,"Low",IF(B577&gt;Outliers!$F$7,"High",""))</f>
        <v/>
      </c>
      <c r="K577" s="6" t="str">
        <f aca="false">IF(C577&lt;Outliers!$E$8,"Low",IF(C577&gt;Outliers!$F$8,"High",""))</f>
        <v/>
      </c>
      <c r="L577" s="6" t="str">
        <f aca="false">A577&amp;";"&amp;B577&amp;";"&amp;C577</f>
        <v>28.00937423;36.01203025;19.8009418713625</v>
      </c>
      <c r="M577" s="6" t="n">
        <f aca="false">IF(COUNTIF($L$2:$L$2201,L577)&gt;1,1,0)</f>
        <v>0</v>
      </c>
      <c r="N577" s="6" t="str">
        <f aca="false">IF(AND(C577&lt;Assumptions!$B$9,B577&lt;Assumptions!$B$10),"Irrigate Now",IF(AND(C577&gt;=Assumptions!$B$11,B577&gt;=Assumptions!$B$12),"No Irrigation Needed","Monitor"))</f>
        <v>Monitor</v>
      </c>
      <c r="O577" s="6" t="n">
        <f aca="false">IF(N577=G577,1,0)</f>
        <v>1</v>
      </c>
    </row>
    <row r="578" customFormat="false" ht="15" hidden="false" customHeight="false" outlineLevel="0" collapsed="false">
      <c r="A578" s="16" t="n">
        <v>26.85851927</v>
      </c>
      <c r="B578" s="16" t="n">
        <v>34.7426459</v>
      </c>
      <c r="C578" s="16" t="n">
        <v>17.9317025570565</v>
      </c>
      <c r="D578" s="6" t="s">
        <v>57</v>
      </c>
      <c r="E578" s="6" t="s">
        <v>23</v>
      </c>
      <c r="F578" s="6" t="s">
        <v>24</v>
      </c>
      <c r="G578" s="6" t="s">
        <v>64</v>
      </c>
      <c r="H578" s="6" t="s">
        <v>65</v>
      </c>
      <c r="I578" s="6" t="str">
        <f aca="false">IF(A578&lt;Outliers!$E$6,"Low",IF(A578&gt;Outliers!$F$6,"High",""))</f>
        <v/>
      </c>
      <c r="J578" s="6" t="str">
        <f aca="false">IF(B578&lt;Outliers!$E$7,"Low",IF(B578&gt;Outliers!$F$7,"High",""))</f>
        <v/>
      </c>
      <c r="K578" s="6" t="str">
        <f aca="false">IF(C578&lt;Outliers!$E$8,"Low",IF(C578&gt;Outliers!$F$8,"High",""))</f>
        <v/>
      </c>
      <c r="L578" s="6" t="str">
        <f aca="false">A578&amp;";"&amp;B578&amp;";"&amp;C578</f>
        <v>26.85851927;34.7426459;17.9317025570565</v>
      </c>
      <c r="M578" s="6" t="n">
        <f aca="false">IF(COUNTIF($L$2:$L$2201,L578)&gt;1,1,0)</f>
        <v>0</v>
      </c>
      <c r="N578" s="6" t="str">
        <f aca="false">IF(AND(C578&lt;Assumptions!$B$9,B578&lt;Assumptions!$B$10),"Irrigate Now",IF(AND(C578&gt;=Assumptions!$B$11,B578&gt;=Assumptions!$B$12),"No Irrigation Needed","Monitor"))</f>
        <v>Irrigate Now</v>
      </c>
      <c r="O578" s="6" t="n">
        <f aca="false">IF(N578=G578,1,0)</f>
        <v>1</v>
      </c>
    </row>
    <row r="579" customFormat="false" ht="15" hidden="false" customHeight="false" outlineLevel="0" collapsed="false">
      <c r="A579" s="16" t="n">
        <v>31.2123945</v>
      </c>
      <c r="B579" s="16" t="n">
        <v>53.78769958</v>
      </c>
      <c r="C579" s="16" t="n">
        <v>17.694951696823</v>
      </c>
      <c r="D579" s="6" t="s">
        <v>67</v>
      </c>
      <c r="E579" s="6" t="s">
        <v>57</v>
      </c>
      <c r="F579" s="6" t="s">
        <v>24</v>
      </c>
      <c r="G579" s="6" t="s">
        <v>64</v>
      </c>
      <c r="H579" s="6" t="s">
        <v>65</v>
      </c>
      <c r="I579" s="6" t="str">
        <f aca="false">IF(A579&lt;Outliers!$E$6,"Low",IF(A579&gt;Outliers!$F$6,"High",""))</f>
        <v/>
      </c>
      <c r="J579" s="6" t="str">
        <f aca="false">IF(B579&lt;Outliers!$E$7,"Low",IF(B579&gt;Outliers!$F$7,"High",""))</f>
        <v/>
      </c>
      <c r="K579" s="6" t="str">
        <f aca="false">IF(C579&lt;Outliers!$E$8,"Low",IF(C579&gt;Outliers!$F$8,"High",""))</f>
        <v/>
      </c>
      <c r="L579" s="6" t="str">
        <f aca="false">A579&amp;";"&amp;B579&amp;";"&amp;C579</f>
        <v>31.2123945;53.78769958;17.694951696823</v>
      </c>
      <c r="M579" s="6" t="n">
        <f aca="false">IF(COUNTIF($L$2:$L$2201,L579)&gt;1,1,0)</f>
        <v>0</v>
      </c>
      <c r="N579" s="6" t="str">
        <f aca="false">IF(AND(C579&lt;Assumptions!$B$9,B579&lt;Assumptions!$B$10),"Irrigate Now",IF(AND(C579&gt;=Assumptions!$B$11,B579&gt;=Assumptions!$B$12),"No Irrigation Needed","Monitor"))</f>
        <v>Irrigate Now</v>
      </c>
      <c r="O579" s="6" t="n">
        <f aca="false">IF(N579=G579,1,0)</f>
        <v>1</v>
      </c>
    </row>
    <row r="580" customFormat="false" ht="15" hidden="false" customHeight="false" outlineLevel="0" collapsed="false">
      <c r="A580" s="16" t="n">
        <v>24.20422636</v>
      </c>
      <c r="B580" s="16" t="n">
        <v>46.0203959</v>
      </c>
      <c r="C580" s="16" t="n">
        <v>17.0425276586995</v>
      </c>
      <c r="D580" s="6" t="s">
        <v>57</v>
      </c>
      <c r="E580" s="6" t="s">
        <v>23</v>
      </c>
      <c r="F580" s="6" t="s">
        <v>24</v>
      </c>
      <c r="G580" s="6" t="s">
        <v>64</v>
      </c>
      <c r="H580" s="6" t="s">
        <v>65</v>
      </c>
      <c r="I580" s="6" t="str">
        <f aca="false">IF(A580&lt;Outliers!$E$6,"Low",IF(A580&gt;Outliers!$F$6,"High",""))</f>
        <v/>
      </c>
      <c r="J580" s="6" t="str">
        <f aca="false">IF(B580&lt;Outliers!$E$7,"Low",IF(B580&gt;Outliers!$F$7,"High",""))</f>
        <v/>
      </c>
      <c r="K580" s="6" t="str">
        <f aca="false">IF(C580&lt;Outliers!$E$8,"Low",IF(C580&gt;Outliers!$F$8,"High",""))</f>
        <v/>
      </c>
      <c r="L580" s="6" t="str">
        <f aca="false">A580&amp;";"&amp;B580&amp;";"&amp;C580</f>
        <v>24.20422636;46.0203959;17.0425276586995</v>
      </c>
      <c r="M580" s="6" t="n">
        <f aca="false">IF(COUNTIF($L$2:$L$2201,L580)&gt;1,1,0)</f>
        <v>0</v>
      </c>
      <c r="N580" s="6" t="str">
        <f aca="false">IF(AND(C580&lt;Assumptions!$B$9,B580&lt;Assumptions!$B$10),"Irrigate Now",IF(AND(C580&gt;=Assumptions!$B$11,B580&gt;=Assumptions!$B$12),"No Irrigation Needed","Monitor"))</f>
        <v>Irrigate Now</v>
      </c>
      <c r="O580" s="6" t="n">
        <f aca="false">IF(N580=G580,1,0)</f>
        <v>1</v>
      </c>
    </row>
    <row r="581" customFormat="false" ht="15" hidden="false" customHeight="false" outlineLevel="0" collapsed="false">
      <c r="A581" s="16" t="n">
        <v>29.98835437</v>
      </c>
      <c r="B581" s="16" t="n">
        <v>52.92929636</v>
      </c>
      <c r="C581" s="16" t="n">
        <v>29.2069220384733</v>
      </c>
      <c r="D581" s="6" t="s">
        <v>57</v>
      </c>
      <c r="E581" s="6" t="s">
        <v>57</v>
      </c>
      <c r="F581" s="6" t="s">
        <v>23</v>
      </c>
      <c r="G581" s="6" t="s">
        <v>61</v>
      </c>
      <c r="H581" s="6" t="s">
        <v>63</v>
      </c>
      <c r="I581" s="6" t="str">
        <f aca="false">IF(A581&lt;Outliers!$E$6,"Low",IF(A581&gt;Outliers!$F$6,"High",""))</f>
        <v/>
      </c>
      <c r="J581" s="6" t="str">
        <f aca="false">IF(B581&lt;Outliers!$E$7,"Low",IF(B581&gt;Outliers!$F$7,"High",""))</f>
        <v/>
      </c>
      <c r="K581" s="6" t="str">
        <f aca="false">IF(C581&lt;Outliers!$E$8,"Low",IF(C581&gt;Outliers!$F$8,"High",""))</f>
        <v/>
      </c>
      <c r="L581" s="6" t="str">
        <f aca="false">A581&amp;";"&amp;B581&amp;";"&amp;C581</f>
        <v>29.98835437;52.92929636;29.2069220384733</v>
      </c>
      <c r="M581" s="6" t="n">
        <f aca="false">IF(COUNTIF($L$2:$L$2201,L581)&gt;1,1,0)</f>
        <v>0</v>
      </c>
      <c r="N581" s="6" t="str">
        <f aca="false">IF(AND(C581&lt;Assumptions!$B$9,B581&lt;Assumptions!$B$10),"Irrigate Now",IF(AND(C581&gt;=Assumptions!$B$11,B581&gt;=Assumptions!$B$12),"No Irrigation Needed","Monitor"))</f>
        <v>Monitor</v>
      </c>
      <c r="O581" s="6" t="n">
        <f aca="false">IF(N581=G581,1,0)</f>
        <v>1</v>
      </c>
    </row>
    <row r="582" customFormat="false" ht="15" hidden="false" customHeight="false" outlineLevel="0" collapsed="false">
      <c r="A582" s="16" t="n">
        <v>29.93964907</v>
      </c>
      <c r="B582" s="16" t="n">
        <v>45.43669946</v>
      </c>
      <c r="C582" s="16" t="n">
        <v>26.7420331860238</v>
      </c>
      <c r="D582" s="6" t="s">
        <v>57</v>
      </c>
      <c r="E582" s="6" t="s">
        <v>23</v>
      </c>
      <c r="F582" s="6" t="s">
        <v>23</v>
      </c>
      <c r="G582" s="6" t="s">
        <v>61</v>
      </c>
      <c r="H582" s="6" t="s">
        <v>63</v>
      </c>
      <c r="I582" s="6" t="str">
        <f aca="false">IF(A582&lt;Outliers!$E$6,"Low",IF(A582&gt;Outliers!$F$6,"High",""))</f>
        <v/>
      </c>
      <c r="J582" s="6" t="str">
        <f aca="false">IF(B582&lt;Outliers!$E$7,"Low",IF(B582&gt;Outliers!$F$7,"High",""))</f>
        <v/>
      </c>
      <c r="K582" s="6" t="str">
        <f aca="false">IF(C582&lt;Outliers!$E$8,"Low",IF(C582&gt;Outliers!$F$8,"High",""))</f>
        <v/>
      </c>
      <c r="L582" s="6" t="str">
        <f aca="false">A582&amp;";"&amp;B582&amp;";"&amp;C582</f>
        <v>29.93964907;45.43669946;26.7420331860238</v>
      </c>
      <c r="M582" s="6" t="n">
        <f aca="false">IF(COUNTIF($L$2:$L$2201,L582)&gt;1,1,0)</f>
        <v>0</v>
      </c>
      <c r="N582" s="6" t="str">
        <f aca="false">IF(AND(C582&lt;Assumptions!$B$9,B582&lt;Assumptions!$B$10),"Irrigate Now",IF(AND(C582&gt;=Assumptions!$B$11,B582&gt;=Assumptions!$B$12),"No Irrigation Needed","Monitor"))</f>
        <v>Monitor</v>
      </c>
      <c r="O582" s="6" t="n">
        <f aca="false">IF(N582=G582,1,0)</f>
        <v>1</v>
      </c>
    </row>
    <row r="583" customFormat="false" ht="15" hidden="false" customHeight="false" outlineLevel="0" collapsed="false">
      <c r="A583" s="16" t="n">
        <v>31.2119298</v>
      </c>
      <c r="B583" s="16" t="n">
        <v>68.80141783</v>
      </c>
      <c r="C583" s="16" t="n">
        <v>16.9979868473406</v>
      </c>
      <c r="D583" s="6" t="s">
        <v>67</v>
      </c>
      <c r="E583" s="6" t="s">
        <v>57</v>
      </c>
      <c r="F583" s="6" t="s">
        <v>24</v>
      </c>
      <c r="G583" s="6" t="s">
        <v>64</v>
      </c>
      <c r="H583" s="6" t="s">
        <v>65</v>
      </c>
      <c r="I583" s="6" t="str">
        <f aca="false">IF(A583&lt;Outliers!$E$6,"Low",IF(A583&gt;Outliers!$F$6,"High",""))</f>
        <v/>
      </c>
      <c r="J583" s="6" t="str">
        <f aca="false">IF(B583&lt;Outliers!$E$7,"Low",IF(B583&gt;Outliers!$F$7,"High",""))</f>
        <v/>
      </c>
      <c r="K583" s="6" t="str">
        <f aca="false">IF(C583&lt;Outliers!$E$8,"Low",IF(C583&gt;Outliers!$F$8,"High",""))</f>
        <v/>
      </c>
      <c r="L583" s="6" t="str">
        <f aca="false">A583&amp;";"&amp;B583&amp;";"&amp;C583</f>
        <v>31.2119298;68.80141783;16.9979868473406</v>
      </c>
      <c r="M583" s="6" t="n">
        <f aca="false">IF(COUNTIF($L$2:$L$2201,L583)&gt;1,1,0)</f>
        <v>0</v>
      </c>
      <c r="N583" s="6" t="str">
        <f aca="false">IF(AND(C583&lt;Assumptions!$B$9,B583&lt;Assumptions!$B$10),"Irrigate Now",IF(AND(C583&gt;=Assumptions!$B$11,B583&gt;=Assumptions!$B$12),"No Irrigation Needed","Monitor"))</f>
        <v>Irrigate Now</v>
      </c>
      <c r="O583" s="6" t="n">
        <f aca="false">IF(N583=G583,1,0)</f>
        <v>1</v>
      </c>
    </row>
    <row r="584" customFormat="false" ht="15" hidden="false" customHeight="false" outlineLevel="0" collapsed="false">
      <c r="A584" s="16" t="n">
        <v>26.80474415</v>
      </c>
      <c r="B584" s="16" t="n">
        <v>43.87801983</v>
      </c>
      <c r="C584" s="16" t="n">
        <v>15.869875749619</v>
      </c>
      <c r="D584" s="6" t="s">
        <v>57</v>
      </c>
      <c r="E584" s="6" t="s">
        <v>23</v>
      </c>
      <c r="F584" s="6" t="s">
        <v>24</v>
      </c>
      <c r="G584" s="6" t="s">
        <v>64</v>
      </c>
      <c r="H584" s="6" t="s">
        <v>65</v>
      </c>
      <c r="I584" s="6" t="str">
        <f aca="false">IF(A584&lt;Outliers!$E$6,"Low",IF(A584&gt;Outliers!$F$6,"High",""))</f>
        <v/>
      </c>
      <c r="J584" s="6" t="str">
        <f aca="false">IF(B584&lt;Outliers!$E$7,"Low",IF(B584&gt;Outliers!$F$7,"High",""))</f>
        <v/>
      </c>
      <c r="K584" s="6" t="str">
        <f aca="false">IF(C584&lt;Outliers!$E$8,"Low",IF(C584&gt;Outliers!$F$8,"High",""))</f>
        <v/>
      </c>
      <c r="L584" s="6" t="str">
        <f aca="false">A584&amp;";"&amp;B584&amp;";"&amp;C584</f>
        <v>26.80474415;43.87801983;15.869875749619</v>
      </c>
      <c r="M584" s="6" t="n">
        <f aca="false">IF(COUNTIF($L$2:$L$2201,L584)&gt;1,1,0)</f>
        <v>0</v>
      </c>
      <c r="N584" s="6" t="str">
        <f aca="false">IF(AND(C584&lt;Assumptions!$B$9,B584&lt;Assumptions!$B$10),"Irrigate Now",IF(AND(C584&gt;=Assumptions!$B$11,B584&gt;=Assumptions!$B$12),"No Irrigation Needed","Monitor"))</f>
        <v>Irrigate Now</v>
      </c>
      <c r="O584" s="6" t="n">
        <f aca="false">IF(N584=G584,1,0)</f>
        <v>1</v>
      </c>
    </row>
    <row r="585" customFormat="false" ht="15" hidden="false" customHeight="false" outlineLevel="0" collapsed="false">
      <c r="A585" s="16" t="n">
        <v>31.49398069</v>
      </c>
      <c r="B585" s="16" t="n">
        <v>64.56807592</v>
      </c>
      <c r="C585" s="16" t="n">
        <v>19.3205337048799</v>
      </c>
      <c r="D585" s="6" t="s">
        <v>67</v>
      </c>
      <c r="E585" s="6" t="s">
        <v>57</v>
      </c>
      <c r="F585" s="6" t="s">
        <v>60</v>
      </c>
      <c r="G585" s="6" t="s">
        <v>61</v>
      </c>
      <c r="H585" s="6" t="s">
        <v>68</v>
      </c>
      <c r="I585" s="6" t="str">
        <f aca="false">IF(A585&lt;Outliers!$E$6,"Low",IF(A585&gt;Outliers!$F$6,"High",""))</f>
        <v/>
      </c>
      <c r="J585" s="6" t="str">
        <f aca="false">IF(B585&lt;Outliers!$E$7,"Low",IF(B585&gt;Outliers!$F$7,"High",""))</f>
        <v/>
      </c>
      <c r="K585" s="6" t="str">
        <f aca="false">IF(C585&lt;Outliers!$E$8,"Low",IF(C585&gt;Outliers!$F$8,"High",""))</f>
        <v/>
      </c>
      <c r="L585" s="6" t="str">
        <f aca="false">A585&amp;";"&amp;B585&amp;";"&amp;C585</f>
        <v>31.49398069;64.56807592;19.3205337048799</v>
      </c>
      <c r="M585" s="6" t="n">
        <f aca="false">IF(COUNTIF($L$2:$L$2201,L585)&gt;1,1,0)</f>
        <v>0</v>
      </c>
      <c r="N585" s="6" t="str">
        <f aca="false">IF(AND(C585&lt;Assumptions!$B$9,B585&lt;Assumptions!$B$10),"Irrigate Now",IF(AND(C585&gt;=Assumptions!$B$11,B585&gt;=Assumptions!$B$12),"No Irrigation Needed","Monitor"))</f>
        <v>Monitor</v>
      </c>
      <c r="O585" s="6" t="n">
        <f aca="false">IF(N585=G585,1,0)</f>
        <v>1</v>
      </c>
    </row>
    <row r="586" customFormat="false" ht="15" hidden="false" customHeight="false" outlineLevel="0" collapsed="false">
      <c r="A586" s="16" t="n">
        <v>30.99694676</v>
      </c>
      <c r="B586" s="16" t="n">
        <v>38.31597852</v>
      </c>
      <c r="C586" s="16" t="n">
        <v>13.7167901715369</v>
      </c>
      <c r="D586" s="6" t="s">
        <v>67</v>
      </c>
      <c r="E586" s="6" t="s">
        <v>23</v>
      </c>
      <c r="F586" s="6" t="s">
        <v>24</v>
      </c>
      <c r="G586" s="6" t="s">
        <v>64</v>
      </c>
      <c r="H586" s="6" t="s">
        <v>65</v>
      </c>
      <c r="I586" s="6" t="str">
        <f aca="false">IF(A586&lt;Outliers!$E$6,"Low",IF(A586&gt;Outliers!$F$6,"High",""))</f>
        <v/>
      </c>
      <c r="J586" s="6" t="str">
        <f aca="false">IF(B586&lt;Outliers!$E$7,"Low",IF(B586&gt;Outliers!$F$7,"High",""))</f>
        <v/>
      </c>
      <c r="K586" s="6" t="str">
        <f aca="false">IF(C586&lt;Outliers!$E$8,"Low",IF(C586&gt;Outliers!$F$8,"High",""))</f>
        <v/>
      </c>
      <c r="L586" s="6" t="str">
        <f aca="false">A586&amp;";"&amp;B586&amp;";"&amp;C586</f>
        <v>30.99694676;38.31597852;13.7167901715369</v>
      </c>
      <c r="M586" s="6" t="n">
        <f aca="false">IF(COUNTIF($L$2:$L$2201,L586)&gt;1,1,0)</f>
        <v>0</v>
      </c>
      <c r="N586" s="6" t="str">
        <f aca="false">IF(AND(C586&lt;Assumptions!$B$9,B586&lt;Assumptions!$B$10),"Irrigate Now",IF(AND(C586&gt;=Assumptions!$B$11,B586&gt;=Assumptions!$B$12),"No Irrigation Needed","Monitor"))</f>
        <v>Irrigate Now</v>
      </c>
      <c r="O586" s="6" t="n">
        <f aca="false">IF(N586=G586,1,0)</f>
        <v>1</v>
      </c>
    </row>
    <row r="587" customFormat="false" ht="15" hidden="false" customHeight="false" outlineLevel="0" collapsed="false">
      <c r="A587" s="16" t="n">
        <v>29.61253065</v>
      </c>
      <c r="B587" s="16" t="n">
        <v>50.1978269</v>
      </c>
      <c r="C587" s="16" t="n">
        <v>19.4122059655108</v>
      </c>
      <c r="D587" s="6" t="s">
        <v>57</v>
      </c>
      <c r="E587" s="6" t="s">
        <v>57</v>
      </c>
      <c r="F587" s="6" t="s">
        <v>60</v>
      </c>
      <c r="G587" s="6" t="s">
        <v>61</v>
      </c>
      <c r="H587" s="6" t="s">
        <v>63</v>
      </c>
      <c r="I587" s="6" t="str">
        <f aca="false">IF(A587&lt;Outliers!$E$6,"Low",IF(A587&gt;Outliers!$F$6,"High",""))</f>
        <v/>
      </c>
      <c r="J587" s="6" t="str">
        <f aca="false">IF(B587&lt;Outliers!$E$7,"Low",IF(B587&gt;Outliers!$F$7,"High",""))</f>
        <v/>
      </c>
      <c r="K587" s="6" t="str">
        <f aca="false">IF(C587&lt;Outliers!$E$8,"Low",IF(C587&gt;Outliers!$F$8,"High",""))</f>
        <v/>
      </c>
      <c r="L587" s="6" t="str">
        <f aca="false">A587&amp;";"&amp;B587&amp;";"&amp;C587</f>
        <v>29.61253065;50.1978269;19.4122059655108</v>
      </c>
      <c r="M587" s="6" t="n">
        <f aca="false">IF(COUNTIF($L$2:$L$2201,L587)&gt;1,1,0)</f>
        <v>0</v>
      </c>
      <c r="N587" s="6" t="str">
        <f aca="false">IF(AND(C587&lt;Assumptions!$B$9,B587&lt;Assumptions!$B$10),"Irrigate Now",IF(AND(C587&gt;=Assumptions!$B$11,B587&gt;=Assumptions!$B$12),"No Irrigation Needed","Monitor"))</f>
        <v>Monitor</v>
      </c>
      <c r="O587" s="6" t="n">
        <f aca="false">IF(N587=G587,1,0)</f>
        <v>1</v>
      </c>
    </row>
    <row r="588" customFormat="false" ht="15" hidden="false" customHeight="false" outlineLevel="0" collapsed="false">
      <c r="A588" s="16" t="n">
        <v>29.97604322</v>
      </c>
      <c r="B588" s="16" t="n">
        <v>44.86052932</v>
      </c>
      <c r="C588" s="16" t="n">
        <v>17.7035943530085</v>
      </c>
      <c r="D588" s="6" t="s">
        <v>57</v>
      </c>
      <c r="E588" s="6" t="s">
        <v>23</v>
      </c>
      <c r="F588" s="6" t="s">
        <v>24</v>
      </c>
      <c r="G588" s="6" t="s">
        <v>64</v>
      </c>
      <c r="H588" s="6" t="s">
        <v>65</v>
      </c>
      <c r="I588" s="6" t="str">
        <f aca="false">IF(A588&lt;Outliers!$E$6,"Low",IF(A588&gt;Outliers!$F$6,"High",""))</f>
        <v/>
      </c>
      <c r="J588" s="6" t="str">
        <f aca="false">IF(B588&lt;Outliers!$E$7,"Low",IF(B588&gt;Outliers!$F$7,"High",""))</f>
        <v/>
      </c>
      <c r="K588" s="6" t="str">
        <f aca="false">IF(C588&lt;Outliers!$E$8,"Low",IF(C588&gt;Outliers!$F$8,"High",""))</f>
        <v/>
      </c>
      <c r="L588" s="6" t="str">
        <f aca="false">A588&amp;";"&amp;B588&amp;";"&amp;C588</f>
        <v>29.97604322;44.86052932;17.7035943530085</v>
      </c>
      <c r="M588" s="6" t="n">
        <f aca="false">IF(COUNTIF($L$2:$L$2201,L588)&gt;1,1,0)</f>
        <v>0</v>
      </c>
      <c r="N588" s="6" t="str">
        <f aca="false">IF(AND(C588&lt;Assumptions!$B$9,B588&lt;Assumptions!$B$10),"Irrigate Now",IF(AND(C588&gt;=Assumptions!$B$11,B588&gt;=Assumptions!$B$12),"No Irrigation Needed","Monitor"))</f>
        <v>Irrigate Now</v>
      </c>
      <c r="O588" s="6" t="n">
        <f aca="false">IF(N588=G588,1,0)</f>
        <v>1</v>
      </c>
    </row>
    <row r="589" customFormat="false" ht="15" hidden="false" customHeight="false" outlineLevel="0" collapsed="false">
      <c r="A589" s="16" t="n">
        <v>30.88883074</v>
      </c>
      <c r="B589" s="16" t="n">
        <v>55.51932414</v>
      </c>
      <c r="C589" s="16" t="n">
        <v>13.8527293725949</v>
      </c>
      <c r="D589" s="6" t="s">
        <v>67</v>
      </c>
      <c r="E589" s="6" t="s">
        <v>57</v>
      </c>
      <c r="F589" s="6" t="s">
        <v>24</v>
      </c>
      <c r="G589" s="6" t="s">
        <v>64</v>
      </c>
      <c r="H589" s="6" t="s">
        <v>65</v>
      </c>
      <c r="I589" s="6" t="str">
        <f aca="false">IF(A589&lt;Outliers!$E$6,"Low",IF(A589&gt;Outliers!$F$6,"High",""))</f>
        <v/>
      </c>
      <c r="J589" s="6" t="str">
        <f aca="false">IF(B589&lt;Outliers!$E$7,"Low",IF(B589&gt;Outliers!$F$7,"High",""))</f>
        <v/>
      </c>
      <c r="K589" s="6" t="str">
        <f aca="false">IF(C589&lt;Outliers!$E$8,"Low",IF(C589&gt;Outliers!$F$8,"High",""))</f>
        <v/>
      </c>
      <c r="L589" s="6" t="str">
        <f aca="false">A589&amp;";"&amp;B589&amp;";"&amp;C589</f>
        <v>30.88883074;55.51932414;13.8527293725949</v>
      </c>
      <c r="M589" s="6" t="n">
        <f aca="false">IF(COUNTIF($L$2:$L$2201,L589)&gt;1,1,0)</f>
        <v>0</v>
      </c>
      <c r="N589" s="6" t="str">
        <f aca="false">IF(AND(C589&lt;Assumptions!$B$9,B589&lt;Assumptions!$B$10),"Irrigate Now",IF(AND(C589&gt;=Assumptions!$B$11,B589&gt;=Assumptions!$B$12),"No Irrigation Needed","Monitor"))</f>
        <v>Irrigate Now</v>
      </c>
      <c r="O589" s="6" t="n">
        <f aca="false">IF(N589=G589,1,0)</f>
        <v>1</v>
      </c>
    </row>
    <row r="590" customFormat="false" ht="15" hidden="false" customHeight="false" outlineLevel="0" collapsed="false">
      <c r="A590" s="16" t="n">
        <v>30.39321309</v>
      </c>
      <c r="B590" s="16" t="n">
        <v>35.37493212</v>
      </c>
      <c r="C590" s="16" t="n">
        <v>26.9402464920192</v>
      </c>
      <c r="D590" s="6" t="s">
        <v>67</v>
      </c>
      <c r="E590" s="6" t="s">
        <v>23</v>
      </c>
      <c r="F590" s="6" t="s">
        <v>23</v>
      </c>
      <c r="G590" s="6" t="s">
        <v>61</v>
      </c>
      <c r="H590" s="6" t="s">
        <v>63</v>
      </c>
      <c r="I590" s="6" t="str">
        <f aca="false">IF(A590&lt;Outliers!$E$6,"Low",IF(A590&gt;Outliers!$F$6,"High",""))</f>
        <v/>
      </c>
      <c r="J590" s="6" t="str">
        <f aca="false">IF(B590&lt;Outliers!$E$7,"Low",IF(B590&gt;Outliers!$F$7,"High",""))</f>
        <v/>
      </c>
      <c r="K590" s="6" t="str">
        <f aca="false">IF(C590&lt;Outliers!$E$8,"Low",IF(C590&gt;Outliers!$F$8,"High",""))</f>
        <v/>
      </c>
      <c r="L590" s="6" t="str">
        <f aca="false">A590&amp;";"&amp;B590&amp;";"&amp;C590</f>
        <v>30.39321309;35.37493212;26.9402464920192</v>
      </c>
      <c r="M590" s="6" t="n">
        <f aca="false">IF(COUNTIF($L$2:$L$2201,L590)&gt;1,1,0)</f>
        <v>0</v>
      </c>
      <c r="N590" s="6" t="str">
        <f aca="false">IF(AND(C590&lt;Assumptions!$B$9,B590&lt;Assumptions!$B$10),"Irrigate Now",IF(AND(C590&gt;=Assumptions!$B$11,B590&gt;=Assumptions!$B$12),"No Irrigation Needed","Monitor"))</f>
        <v>Monitor</v>
      </c>
      <c r="O590" s="6" t="n">
        <f aca="false">IF(N590=G590,1,0)</f>
        <v>1</v>
      </c>
    </row>
    <row r="591" customFormat="false" ht="15" hidden="false" customHeight="false" outlineLevel="0" collapsed="false">
      <c r="A591" s="16" t="n">
        <v>30.43683729</v>
      </c>
      <c r="B591" s="16" t="n">
        <v>30.92014047</v>
      </c>
      <c r="C591" s="16" t="n">
        <v>19.393894373236</v>
      </c>
      <c r="D591" s="6" t="s">
        <v>67</v>
      </c>
      <c r="E591" s="6" t="s">
        <v>23</v>
      </c>
      <c r="F591" s="6" t="s">
        <v>24</v>
      </c>
      <c r="G591" s="6" t="s">
        <v>61</v>
      </c>
      <c r="H591" s="6" t="s">
        <v>68</v>
      </c>
      <c r="I591" s="6" t="str">
        <f aca="false">IF(A591&lt;Outliers!$E$6,"Low",IF(A591&gt;Outliers!$F$6,"High",""))</f>
        <v/>
      </c>
      <c r="J591" s="6" t="str">
        <f aca="false">IF(B591&lt;Outliers!$E$7,"Low",IF(B591&gt;Outliers!$F$7,"High",""))</f>
        <v/>
      </c>
      <c r="K591" s="6" t="str">
        <f aca="false">IF(C591&lt;Outliers!$E$8,"Low",IF(C591&gt;Outliers!$F$8,"High",""))</f>
        <v/>
      </c>
      <c r="L591" s="6" t="str">
        <f aca="false">A591&amp;";"&amp;B591&amp;";"&amp;C591</f>
        <v>30.43683729;30.92014047;19.393894373236</v>
      </c>
      <c r="M591" s="6" t="n">
        <f aca="false">IF(COUNTIF($L$2:$L$2201,L591)&gt;1,1,0)</f>
        <v>0</v>
      </c>
      <c r="N591" s="6" t="str">
        <f aca="false">IF(AND(C591&lt;Assumptions!$B$9,B591&lt;Assumptions!$B$10),"Irrigate Now",IF(AND(C591&gt;=Assumptions!$B$11,B591&gt;=Assumptions!$B$12),"No Irrigation Needed","Monitor"))</f>
        <v>Monitor</v>
      </c>
      <c r="O591" s="6" t="n">
        <f aca="false">IF(N591=G591,1,0)</f>
        <v>1</v>
      </c>
    </row>
    <row r="592" customFormat="false" ht="15" hidden="false" customHeight="false" outlineLevel="0" collapsed="false">
      <c r="A592" s="16" t="n">
        <v>25.32688786</v>
      </c>
      <c r="B592" s="16" t="n">
        <v>32.71129281</v>
      </c>
      <c r="C592" s="16" t="n">
        <v>22.9671913400426</v>
      </c>
      <c r="D592" s="6" t="s">
        <v>57</v>
      </c>
      <c r="E592" s="6" t="s">
        <v>23</v>
      </c>
      <c r="F592" s="6" t="s">
        <v>60</v>
      </c>
      <c r="G592" s="6" t="s">
        <v>61</v>
      </c>
      <c r="H592" s="6" t="s">
        <v>63</v>
      </c>
      <c r="I592" s="6" t="str">
        <f aca="false">IF(A592&lt;Outliers!$E$6,"Low",IF(A592&gt;Outliers!$F$6,"High",""))</f>
        <v/>
      </c>
      <c r="J592" s="6" t="str">
        <f aca="false">IF(B592&lt;Outliers!$E$7,"Low",IF(B592&gt;Outliers!$F$7,"High",""))</f>
        <v/>
      </c>
      <c r="K592" s="6" t="str">
        <f aca="false">IF(C592&lt;Outliers!$E$8,"Low",IF(C592&gt;Outliers!$F$8,"High",""))</f>
        <v/>
      </c>
      <c r="L592" s="6" t="str">
        <f aca="false">A592&amp;";"&amp;B592&amp;";"&amp;C592</f>
        <v>25.32688786;32.71129281;22.9671913400426</v>
      </c>
      <c r="M592" s="6" t="n">
        <f aca="false">IF(COUNTIF($L$2:$L$2201,L592)&gt;1,1,0)</f>
        <v>0</v>
      </c>
      <c r="N592" s="6" t="str">
        <f aca="false">IF(AND(C592&lt;Assumptions!$B$9,B592&lt;Assumptions!$B$10),"Irrigate Now",IF(AND(C592&gt;=Assumptions!$B$11,B592&gt;=Assumptions!$B$12),"No Irrigation Needed","Monitor"))</f>
        <v>Monitor</v>
      </c>
      <c r="O592" s="6" t="n">
        <f aca="false">IF(N592=G592,1,0)</f>
        <v>1</v>
      </c>
    </row>
    <row r="593" customFormat="false" ht="15" hidden="false" customHeight="false" outlineLevel="0" collapsed="false">
      <c r="A593" s="16" t="n">
        <v>30.53684308</v>
      </c>
      <c r="B593" s="16" t="n">
        <v>33.48919022</v>
      </c>
      <c r="C593" s="16" t="n">
        <v>15.968682046161</v>
      </c>
      <c r="D593" s="6" t="s">
        <v>67</v>
      </c>
      <c r="E593" s="6" t="s">
        <v>23</v>
      </c>
      <c r="F593" s="6" t="s">
        <v>24</v>
      </c>
      <c r="G593" s="6" t="s">
        <v>64</v>
      </c>
      <c r="H593" s="6" t="s">
        <v>65</v>
      </c>
      <c r="I593" s="6" t="str">
        <f aca="false">IF(A593&lt;Outliers!$E$6,"Low",IF(A593&gt;Outliers!$F$6,"High",""))</f>
        <v/>
      </c>
      <c r="J593" s="6" t="str">
        <f aca="false">IF(B593&lt;Outliers!$E$7,"Low",IF(B593&gt;Outliers!$F$7,"High",""))</f>
        <v/>
      </c>
      <c r="K593" s="6" t="str">
        <f aca="false">IF(C593&lt;Outliers!$E$8,"Low",IF(C593&gt;Outliers!$F$8,"High",""))</f>
        <v/>
      </c>
      <c r="L593" s="6" t="str">
        <f aca="false">A593&amp;";"&amp;B593&amp;";"&amp;C593</f>
        <v>30.53684308;33.48919022;15.968682046161</v>
      </c>
      <c r="M593" s="6" t="n">
        <f aca="false">IF(COUNTIF($L$2:$L$2201,L593)&gt;1,1,0)</f>
        <v>0</v>
      </c>
      <c r="N593" s="6" t="str">
        <f aca="false">IF(AND(C593&lt;Assumptions!$B$9,B593&lt;Assumptions!$B$10),"Irrigate Now",IF(AND(C593&gt;=Assumptions!$B$11,B593&gt;=Assumptions!$B$12),"No Irrigation Needed","Monitor"))</f>
        <v>Irrigate Now</v>
      </c>
      <c r="O593" s="6" t="n">
        <f aca="false">IF(N593=G593,1,0)</f>
        <v>1</v>
      </c>
    </row>
    <row r="594" customFormat="false" ht="15" hidden="false" customHeight="false" outlineLevel="0" collapsed="false">
      <c r="A594" s="16" t="n">
        <v>30.38257873</v>
      </c>
      <c r="B594" s="16" t="n">
        <v>47.95406479</v>
      </c>
      <c r="C594" s="16" t="n">
        <v>17.3203354909782</v>
      </c>
      <c r="D594" s="6" t="s">
        <v>67</v>
      </c>
      <c r="E594" s="6" t="s">
        <v>23</v>
      </c>
      <c r="F594" s="6" t="s">
        <v>24</v>
      </c>
      <c r="G594" s="6" t="s">
        <v>64</v>
      </c>
      <c r="H594" s="6" t="s">
        <v>65</v>
      </c>
      <c r="I594" s="6" t="str">
        <f aca="false">IF(A594&lt;Outliers!$E$6,"Low",IF(A594&gt;Outliers!$F$6,"High",""))</f>
        <v/>
      </c>
      <c r="J594" s="6" t="str">
        <f aca="false">IF(B594&lt;Outliers!$E$7,"Low",IF(B594&gt;Outliers!$F$7,"High",""))</f>
        <v/>
      </c>
      <c r="K594" s="6" t="str">
        <f aca="false">IF(C594&lt;Outliers!$E$8,"Low",IF(C594&gt;Outliers!$F$8,"High",""))</f>
        <v/>
      </c>
      <c r="L594" s="6" t="str">
        <f aca="false">A594&amp;";"&amp;B594&amp;";"&amp;C594</f>
        <v>30.38257873;47.95406479;17.3203354909782</v>
      </c>
      <c r="M594" s="6" t="n">
        <f aca="false">IF(COUNTIF($L$2:$L$2201,L594)&gt;1,1,0)</f>
        <v>0</v>
      </c>
      <c r="N594" s="6" t="str">
        <f aca="false">IF(AND(C594&lt;Assumptions!$B$9,B594&lt;Assumptions!$B$10),"Irrigate Now",IF(AND(C594&gt;=Assumptions!$B$11,B594&gt;=Assumptions!$B$12),"No Irrigation Needed","Monitor"))</f>
        <v>Irrigate Now</v>
      </c>
      <c r="O594" s="6" t="n">
        <f aca="false">IF(N594=G594,1,0)</f>
        <v>1</v>
      </c>
    </row>
    <row r="595" customFormat="false" ht="15" hidden="false" customHeight="false" outlineLevel="0" collapsed="false">
      <c r="A595" s="16" t="n">
        <v>24.01825377</v>
      </c>
      <c r="B595" s="16" t="n">
        <v>35.03404425</v>
      </c>
      <c r="C595" s="16" t="n">
        <v>29.8197959085585</v>
      </c>
      <c r="D595" s="6" t="s">
        <v>57</v>
      </c>
      <c r="E595" s="6" t="s">
        <v>23</v>
      </c>
      <c r="F595" s="6" t="s">
        <v>23</v>
      </c>
      <c r="G595" s="6" t="s">
        <v>61</v>
      </c>
      <c r="H595" s="6" t="s">
        <v>63</v>
      </c>
      <c r="I595" s="6" t="str">
        <f aca="false">IF(A595&lt;Outliers!$E$6,"Low",IF(A595&gt;Outliers!$F$6,"High",""))</f>
        <v/>
      </c>
      <c r="J595" s="6" t="str">
        <f aca="false">IF(B595&lt;Outliers!$E$7,"Low",IF(B595&gt;Outliers!$F$7,"High",""))</f>
        <v/>
      </c>
      <c r="K595" s="6" t="str">
        <f aca="false">IF(C595&lt;Outliers!$E$8,"Low",IF(C595&gt;Outliers!$F$8,"High",""))</f>
        <v/>
      </c>
      <c r="L595" s="6" t="str">
        <f aca="false">A595&amp;";"&amp;B595&amp;";"&amp;C595</f>
        <v>24.01825377;35.03404425;29.8197959085585</v>
      </c>
      <c r="M595" s="6" t="n">
        <f aca="false">IF(COUNTIF($L$2:$L$2201,L595)&gt;1,1,0)</f>
        <v>0</v>
      </c>
      <c r="N595" s="6" t="str">
        <f aca="false">IF(AND(C595&lt;Assumptions!$B$9,B595&lt;Assumptions!$B$10),"Irrigate Now",IF(AND(C595&gt;=Assumptions!$B$11,B595&gt;=Assumptions!$B$12),"No Irrigation Needed","Monitor"))</f>
        <v>Monitor</v>
      </c>
      <c r="O595" s="6" t="n">
        <f aca="false">IF(N595=G595,1,0)</f>
        <v>1</v>
      </c>
    </row>
    <row r="596" customFormat="false" ht="15" hidden="false" customHeight="false" outlineLevel="0" collapsed="false">
      <c r="A596" s="16" t="n">
        <v>28.69841277</v>
      </c>
      <c r="B596" s="16" t="n">
        <v>65.67591794</v>
      </c>
      <c r="C596" s="16" t="n">
        <v>19.3038565434817</v>
      </c>
      <c r="D596" s="6" t="s">
        <v>57</v>
      </c>
      <c r="E596" s="6" t="s">
        <v>57</v>
      </c>
      <c r="F596" s="6" t="s">
        <v>60</v>
      </c>
      <c r="G596" s="6" t="s">
        <v>61</v>
      </c>
      <c r="H596" s="6" t="s">
        <v>63</v>
      </c>
      <c r="I596" s="6" t="str">
        <f aca="false">IF(A596&lt;Outliers!$E$6,"Low",IF(A596&gt;Outliers!$F$6,"High",""))</f>
        <v/>
      </c>
      <c r="J596" s="6" t="str">
        <f aca="false">IF(B596&lt;Outliers!$E$7,"Low",IF(B596&gt;Outliers!$F$7,"High",""))</f>
        <v/>
      </c>
      <c r="K596" s="6" t="str">
        <f aca="false">IF(C596&lt;Outliers!$E$8,"Low",IF(C596&gt;Outliers!$F$8,"High",""))</f>
        <v/>
      </c>
      <c r="L596" s="6" t="str">
        <f aca="false">A596&amp;";"&amp;B596&amp;";"&amp;C596</f>
        <v>28.69841277;65.67591794;19.3038565434817</v>
      </c>
      <c r="M596" s="6" t="n">
        <f aca="false">IF(COUNTIF($L$2:$L$2201,L596)&gt;1,1,0)</f>
        <v>0</v>
      </c>
      <c r="N596" s="6" t="str">
        <f aca="false">IF(AND(C596&lt;Assumptions!$B$9,B596&lt;Assumptions!$B$10),"Irrigate Now",IF(AND(C596&gt;=Assumptions!$B$11,B596&gt;=Assumptions!$B$12),"No Irrigation Needed","Monitor"))</f>
        <v>Monitor</v>
      </c>
      <c r="O596" s="6" t="n">
        <f aca="false">IF(N596=G596,1,0)</f>
        <v>1</v>
      </c>
    </row>
    <row r="597" customFormat="false" ht="15" hidden="false" customHeight="false" outlineLevel="0" collapsed="false">
      <c r="A597" s="16" t="n">
        <v>29.33743412</v>
      </c>
      <c r="B597" s="16" t="n">
        <v>42.44054315</v>
      </c>
      <c r="C597" s="16" t="n">
        <v>21.8302465525365</v>
      </c>
      <c r="D597" s="6" t="s">
        <v>57</v>
      </c>
      <c r="E597" s="6" t="s">
        <v>23</v>
      </c>
      <c r="F597" s="6" t="s">
        <v>60</v>
      </c>
      <c r="G597" s="6" t="s">
        <v>61</v>
      </c>
      <c r="H597" s="6" t="s">
        <v>63</v>
      </c>
      <c r="I597" s="6" t="str">
        <f aca="false">IF(A597&lt;Outliers!$E$6,"Low",IF(A597&gt;Outliers!$F$6,"High",""))</f>
        <v/>
      </c>
      <c r="J597" s="6" t="str">
        <f aca="false">IF(B597&lt;Outliers!$E$7,"Low",IF(B597&gt;Outliers!$F$7,"High",""))</f>
        <v/>
      </c>
      <c r="K597" s="6" t="str">
        <f aca="false">IF(C597&lt;Outliers!$E$8,"Low",IF(C597&gt;Outliers!$F$8,"High",""))</f>
        <v/>
      </c>
      <c r="L597" s="6" t="str">
        <f aca="false">A597&amp;";"&amp;B597&amp;";"&amp;C597</f>
        <v>29.33743412;42.44054315;21.8302465525365</v>
      </c>
      <c r="M597" s="6" t="n">
        <f aca="false">IF(COUNTIF($L$2:$L$2201,L597)&gt;1,1,0)</f>
        <v>0</v>
      </c>
      <c r="N597" s="6" t="str">
        <f aca="false">IF(AND(C597&lt;Assumptions!$B$9,B597&lt;Assumptions!$B$10),"Irrigate Now",IF(AND(C597&gt;=Assumptions!$B$11,B597&gt;=Assumptions!$B$12),"No Irrigation Needed","Monitor"))</f>
        <v>Monitor</v>
      </c>
      <c r="O597" s="6" t="n">
        <f aca="false">IF(N597=G597,1,0)</f>
        <v>1</v>
      </c>
    </row>
    <row r="598" customFormat="false" ht="15" hidden="false" customHeight="false" outlineLevel="0" collapsed="false">
      <c r="A598" s="16" t="n">
        <v>27.96583691</v>
      </c>
      <c r="B598" s="16" t="n">
        <v>70.10472076</v>
      </c>
      <c r="C598" s="16" t="n">
        <v>21.6953974660696</v>
      </c>
      <c r="D598" s="6" t="s">
        <v>57</v>
      </c>
      <c r="E598" s="6" t="s">
        <v>57</v>
      </c>
      <c r="F598" s="6" t="s">
        <v>60</v>
      </c>
      <c r="G598" s="6" t="s">
        <v>61</v>
      </c>
      <c r="H598" s="6" t="s">
        <v>63</v>
      </c>
      <c r="I598" s="6" t="str">
        <f aca="false">IF(A598&lt;Outliers!$E$6,"Low",IF(A598&gt;Outliers!$F$6,"High",""))</f>
        <v/>
      </c>
      <c r="J598" s="6" t="str">
        <f aca="false">IF(B598&lt;Outliers!$E$7,"Low",IF(B598&gt;Outliers!$F$7,"High",""))</f>
        <v/>
      </c>
      <c r="K598" s="6" t="str">
        <f aca="false">IF(C598&lt;Outliers!$E$8,"Low",IF(C598&gt;Outliers!$F$8,"High",""))</f>
        <v/>
      </c>
      <c r="L598" s="6" t="str">
        <f aca="false">A598&amp;";"&amp;B598&amp;";"&amp;C598</f>
        <v>27.96583691;70.10472076;21.6953974660696</v>
      </c>
      <c r="M598" s="6" t="n">
        <f aca="false">IF(COUNTIF($L$2:$L$2201,L598)&gt;1,1,0)</f>
        <v>0</v>
      </c>
      <c r="N598" s="6" t="str">
        <f aca="false">IF(AND(C598&lt;Assumptions!$B$9,B598&lt;Assumptions!$B$10),"Irrigate Now",IF(AND(C598&gt;=Assumptions!$B$11,B598&gt;=Assumptions!$B$12),"No Irrigation Needed","Monitor"))</f>
        <v>Monitor</v>
      </c>
      <c r="O598" s="6" t="n">
        <f aca="false">IF(N598=G598,1,0)</f>
        <v>1</v>
      </c>
    </row>
    <row r="599" customFormat="false" ht="15" hidden="false" customHeight="false" outlineLevel="0" collapsed="false">
      <c r="A599" s="16" t="n">
        <v>24.86803974</v>
      </c>
      <c r="B599" s="16" t="n">
        <v>63.9187654</v>
      </c>
      <c r="C599" s="16" t="n">
        <v>20.2066562483252</v>
      </c>
      <c r="D599" s="6" t="s">
        <v>57</v>
      </c>
      <c r="E599" s="6" t="s">
        <v>57</v>
      </c>
      <c r="F599" s="6" t="s">
        <v>60</v>
      </c>
      <c r="G599" s="6" t="s">
        <v>61</v>
      </c>
      <c r="H599" s="6" t="s">
        <v>63</v>
      </c>
      <c r="I599" s="6" t="str">
        <f aca="false">IF(A599&lt;Outliers!$E$6,"Low",IF(A599&gt;Outliers!$F$6,"High",""))</f>
        <v/>
      </c>
      <c r="J599" s="6" t="str">
        <f aca="false">IF(B599&lt;Outliers!$E$7,"Low",IF(B599&gt;Outliers!$F$7,"High",""))</f>
        <v/>
      </c>
      <c r="K599" s="6" t="str">
        <f aca="false">IF(C599&lt;Outliers!$E$8,"Low",IF(C599&gt;Outliers!$F$8,"High",""))</f>
        <v/>
      </c>
      <c r="L599" s="6" t="str">
        <f aca="false">A599&amp;";"&amp;B599&amp;";"&amp;C599</f>
        <v>24.86803974;63.9187654;20.2066562483252</v>
      </c>
      <c r="M599" s="6" t="n">
        <f aca="false">IF(COUNTIF($L$2:$L$2201,L599)&gt;1,1,0)</f>
        <v>0</v>
      </c>
      <c r="N599" s="6" t="str">
        <f aca="false">IF(AND(C599&lt;Assumptions!$B$9,B599&lt;Assumptions!$B$10),"Irrigate Now",IF(AND(C599&gt;=Assumptions!$B$11,B599&gt;=Assumptions!$B$12),"No Irrigation Needed","Monitor"))</f>
        <v>Monitor</v>
      </c>
      <c r="O599" s="6" t="n">
        <f aca="false">IF(N599=G599,1,0)</f>
        <v>1</v>
      </c>
    </row>
    <row r="600" customFormat="false" ht="15" hidden="false" customHeight="false" outlineLevel="0" collapsed="false">
      <c r="A600" s="16" t="n">
        <v>25.87682261</v>
      </c>
      <c r="B600" s="16" t="n">
        <v>38.53254678</v>
      </c>
      <c r="C600" s="16" t="n">
        <v>26.2228284354939</v>
      </c>
      <c r="D600" s="6" t="s">
        <v>57</v>
      </c>
      <c r="E600" s="6" t="s">
        <v>23</v>
      </c>
      <c r="F600" s="6" t="s">
        <v>60</v>
      </c>
      <c r="G600" s="6" t="s">
        <v>61</v>
      </c>
      <c r="H600" s="6" t="s">
        <v>63</v>
      </c>
      <c r="I600" s="6" t="str">
        <f aca="false">IF(A600&lt;Outliers!$E$6,"Low",IF(A600&gt;Outliers!$F$6,"High",""))</f>
        <v/>
      </c>
      <c r="J600" s="6" t="str">
        <f aca="false">IF(B600&lt;Outliers!$E$7,"Low",IF(B600&gt;Outliers!$F$7,"High",""))</f>
        <v/>
      </c>
      <c r="K600" s="6" t="str">
        <f aca="false">IF(C600&lt;Outliers!$E$8,"Low",IF(C600&gt;Outliers!$F$8,"High",""))</f>
        <v/>
      </c>
      <c r="L600" s="6" t="str">
        <f aca="false">A600&amp;";"&amp;B600&amp;";"&amp;C600</f>
        <v>25.87682261;38.53254678;26.2228284354939</v>
      </c>
      <c r="M600" s="6" t="n">
        <f aca="false">IF(COUNTIF($L$2:$L$2201,L600)&gt;1,1,0)</f>
        <v>0</v>
      </c>
      <c r="N600" s="6" t="str">
        <f aca="false">IF(AND(C600&lt;Assumptions!$B$9,B600&lt;Assumptions!$B$10),"Irrigate Now",IF(AND(C600&gt;=Assumptions!$B$11,B600&gt;=Assumptions!$B$12),"No Irrigation Needed","Monitor"))</f>
        <v>Monitor</v>
      </c>
      <c r="O600" s="6" t="n">
        <f aca="false">IF(N600=G600,1,0)</f>
        <v>1</v>
      </c>
    </row>
    <row r="601" customFormat="false" ht="15" hidden="false" customHeight="false" outlineLevel="0" collapsed="false">
      <c r="A601" s="16" t="n">
        <v>31.01963639</v>
      </c>
      <c r="B601" s="16" t="n">
        <v>32.81296548</v>
      </c>
      <c r="C601" s="16" t="n">
        <v>16.2891180889547</v>
      </c>
      <c r="D601" s="6" t="s">
        <v>67</v>
      </c>
      <c r="E601" s="6" t="s">
        <v>23</v>
      </c>
      <c r="F601" s="6" t="s">
        <v>24</v>
      </c>
      <c r="G601" s="6" t="s">
        <v>64</v>
      </c>
      <c r="H601" s="6" t="s">
        <v>65</v>
      </c>
      <c r="I601" s="6" t="str">
        <f aca="false">IF(A601&lt;Outliers!$E$6,"Low",IF(A601&gt;Outliers!$F$6,"High",""))</f>
        <v/>
      </c>
      <c r="J601" s="6" t="str">
        <f aca="false">IF(B601&lt;Outliers!$E$7,"Low",IF(B601&gt;Outliers!$F$7,"High",""))</f>
        <v/>
      </c>
      <c r="K601" s="6" t="str">
        <f aca="false">IF(C601&lt;Outliers!$E$8,"Low",IF(C601&gt;Outliers!$F$8,"High",""))</f>
        <v/>
      </c>
      <c r="L601" s="6" t="str">
        <f aca="false">A601&amp;";"&amp;B601&amp;";"&amp;C601</f>
        <v>31.01963639;32.81296548;16.2891180889547</v>
      </c>
      <c r="M601" s="6" t="n">
        <f aca="false">IF(COUNTIF($L$2:$L$2201,L601)&gt;1,1,0)</f>
        <v>0</v>
      </c>
      <c r="N601" s="6" t="str">
        <f aca="false">IF(AND(C601&lt;Assumptions!$B$9,B601&lt;Assumptions!$B$10),"Irrigate Now",IF(AND(C601&gt;=Assumptions!$B$11,B601&gt;=Assumptions!$B$12),"No Irrigation Needed","Monitor"))</f>
        <v>Irrigate Now</v>
      </c>
      <c r="O601" s="6" t="n">
        <f aca="false">IF(N601=G601,1,0)</f>
        <v>1</v>
      </c>
    </row>
    <row r="602" customFormat="false" ht="15" hidden="false" customHeight="false" outlineLevel="0" collapsed="false">
      <c r="A602" s="16" t="n">
        <v>27.43329405</v>
      </c>
      <c r="B602" s="16" t="n">
        <v>54.73367631</v>
      </c>
      <c r="C602" s="16" t="n">
        <v>18.5003453213833</v>
      </c>
      <c r="D602" s="6" t="s">
        <v>57</v>
      </c>
      <c r="E602" s="6" t="s">
        <v>57</v>
      </c>
      <c r="F602" s="6" t="s">
        <v>24</v>
      </c>
      <c r="G602" s="6" t="s">
        <v>61</v>
      </c>
      <c r="H602" s="6" t="s">
        <v>63</v>
      </c>
      <c r="I602" s="6" t="str">
        <f aca="false">IF(A602&lt;Outliers!$E$6,"Low",IF(A602&gt;Outliers!$F$6,"High",""))</f>
        <v/>
      </c>
      <c r="J602" s="6" t="str">
        <f aca="false">IF(B602&lt;Outliers!$E$7,"Low",IF(B602&gt;Outliers!$F$7,"High",""))</f>
        <v/>
      </c>
      <c r="K602" s="6" t="str">
        <f aca="false">IF(C602&lt;Outliers!$E$8,"Low",IF(C602&gt;Outliers!$F$8,"High",""))</f>
        <v/>
      </c>
      <c r="L602" s="6" t="str">
        <f aca="false">A602&amp;";"&amp;B602&amp;";"&amp;C602</f>
        <v>27.43329405;54.73367631;18.5003453213833</v>
      </c>
      <c r="M602" s="6" t="n">
        <f aca="false">IF(COUNTIF($L$2:$L$2201,L602)&gt;1,1,0)</f>
        <v>0</v>
      </c>
      <c r="N602" s="6" t="str">
        <f aca="false">IF(AND(C602&lt;Assumptions!$B$9,B602&lt;Assumptions!$B$10),"Irrigate Now",IF(AND(C602&gt;=Assumptions!$B$11,B602&gt;=Assumptions!$B$12),"No Irrigation Needed","Monitor"))</f>
        <v>Monitor</v>
      </c>
      <c r="O602" s="6" t="n">
        <f aca="false">IF(N602=G602,1,0)</f>
        <v>1</v>
      </c>
    </row>
    <row r="603" customFormat="false" ht="15" hidden="false" customHeight="false" outlineLevel="0" collapsed="false">
      <c r="A603" s="16" t="n">
        <v>28.3340432</v>
      </c>
      <c r="B603" s="16" t="n">
        <v>38.7976407</v>
      </c>
      <c r="C603" s="16" t="n">
        <v>25.9943813194056</v>
      </c>
      <c r="D603" s="6" t="s">
        <v>57</v>
      </c>
      <c r="E603" s="6" t="s">
        <v>23</v>
      </c>
      <c r="F603" s="6" t="s">
        <v>60</v>
      </c>
      <c r="G603" s="6" t="s">
        <v>61</v>
      </c>
      <c r="H603" s="6" t="s">
        <v>63</v>
      </c>
      <c r="I603" s="6" t="str">
        <f aca="false">IF(A603&lt;Outliers!$E$6,"Low",IF(A603&gt;Outliers!$F$6,"High",""))</f>
        <v/>
      </c>
      <c r="J603" s="6" t="str">
        <f aca="false">IF(B603&lt;Outliers!$E$7,"Low",IF(B603&gt;Outliers!$F$7,"High",""))</f>
        <v/>
      </c>
      <c r="K603" s="6" t="str">
        <f aca="false">IF(C603&lt;Outliers!$E$8,"Low",IF(C603&gt;Outliers!$F$8,"High",""))</f>
        <v/>
      </c>
      <c r="L603" s="6" t="str">
        <f aca="false">A603&amp;";"&amp;B603&amp;";"&amp;C603</f>
        <v>28.3340432;38.7976407;25.9943813194056</v>
      </c>
      <c r="M603" s="6" t="n">
        <f aca="false">IF(COUNTIF($L$2:$L$2201,L603)&gt;1,1,0)</f>
        <v>0</v>
      </c>
      <c r="N603" s="6" t="str">
        <f aca="false">IF(AND(C603&lt;Assumptions!$B$9,B603&lt;Assumptions!$B$10),"Irrigate Now",IF(AND(C603&gt;=Assumptions!$B$11,B603&gt;=Assumptions!$B$12),"No Irrigation Needed","Monitor"))</f>
        <v>Monitor</v>
      </c>
      <c r="O603" s="6" t="n">
        <f aca="false">IF(N603=G603,1,0)</f>
        <v>1</v>
      </c>
    </row>
    <row r="604" customFormat="false" ht="15" hidden="false" customHeight="false" outlineLevel="0" collapsed="false">
      <c r="A604" s="16" t="n">
        <v>27.01470397</v>
      </c>
      <c r="B604" s="16" t="n">
        <v>55.296354</v>
      </c>
      <c r="C604" s="16" t="n">
        <v>20.3372897049857</v>
      </c>
      <c r="D604" s="6" t="s">
        <v>57</v>
      </c>
      <c r="E604" s="6" t="s">
        <v>57</v>
      </c>
      <c r="F604" s="6" t="s">
        <v>60</v>
      </c>
      <c r="G604" s="6" t="s">
        <v>61</v>
      </c>
      <c r="H604" s="6" t="s">
        <v>63</v>
      </c>
      <c r="I604" s="6" t="str">
        <f aca="false">IF(A604&lt;Outliers!$E$6,"Low",IF(A604&gt;Outliers!$F$6,"High",""))</f>
        <v/>
      </c>
      <c r="J604" s="6" t="str">
        <f aca="false">IF(B604&lt;Outliers!$E$7,"Low",IF(B604&gt;Outliers!$F$7,"High",""))</f>
        <v/>
      </c>
      <c r="K604" s="6" t="str">
        <f aca="false">IF(C604&lt;Outliers!$E$8,"Low",IF(C604&gt;Outliers!$F$8,"High",""))</f>
        <v/>
      </c>
      <c r="L604" s="6" t="str">
        <f aca="false">A604&amp;";"&amp;B604&amp;";"&amp;C604</f>
        <v>27.01470397;55.296354;20.3372897049857</v>
      </c>
      <c r="M604" s="6" t="n">
        <f aca="false">IF(COUNTIF($L$2:$L$2201,L604)&gt;1,1,0)</f>
        <v>0</v>
      </c>
      <c r="N604" s="6" t="str">
        <f aca="false">IF(AND(C604&lt;Assumptions!$B$9,B604&lt;Assumptions!$B$10),"Irrigate Now",IF(AND(C604&gt;=Assumptions!$B$11,B604&gt;=Assumptions!$B$12),"No Irrigation Needed","Monitor"))</f>
        <v>Monitor</v>
      </c>
      <c r="O604" s="6" t="n">
        <f aca="false">IF(N604=G604,1,0)</f>
        <v>1</v>
      </c>
    </row>
    <row r="605" customFormat="false" ht="15" hidden="false" customHeight="false" outlineLevel="0" collapsed="false">
      <c r="A605" s="16" t="n">
        <v>28.17432665</v>
      </c>
      <c r="B605" s="16" t="n">
        <v>36.35720652</v>
      </c>
      <c r="C605" s="16" t="n">
        <v>16.4003907792504</v>
      </c>
      <c r="D605" s="6" t="s">
        <v>57</v>
      </c>
      <c r="E605" s="6" t="s">
        <v>23</v>
      </c>
      <c r="F605" s="6" t="s">
        <v>24</v>
      </c>
      <c r="G605" s="6" t="s">
        <v>64</v>
      </c>
      <c r="H605" s="6" t="s">
        <v>65</v>
      </c>
      <c r="I605" s="6" t="str">
        <f aca="false">IF(A605&lt;Outliers!$E$6,"Low",IF(A605&gt;Outliers!$F$6,"High",""))</f>
        <v/>
      </c>
      <c r="J605" s="6" t="str">
        <f aca="false">IF(B605&lt;Outliers!$E$7,"Low",IF(B605&gt;Outliers!$F$7,"High",""))</f>
        <v/>
      </c>
      <c r="K605" s="6" t="str">
        <f aca="false">IF(C605&lt;Outliers!$E$8,"Low",IF(C605&gt;Outliers!$F$8,"High",""))</f>
        <v/>
      </c>
      <c r="L605" s="6" t="str">
        <f aca="false">A605&amp;";"&amp;B605&amp;";"&amp;C605</f>
        <v>28.17432665;36.35720652;16.4003907792504</v>
      </c>
      <c r="M605" s="6" t="n">
        <f aca="false">IF(COUNTIF($L$2:$L$2201,L605)&gt;1,1,0)</f>
        <v>0</v>
      </c>
      <c r="N605" s="6" t="str">
        <f aca="false">IF(AND(C605&lt;Assumptions!$B$9,B605&lt;Assumptions!$B$10),"Irrigate Now",IF(AND(C605&gt;=Assumptions!$B$11,B605&gt;=Assumptions!$B$12),"No Irrigation Needed","Monitor"))</f>
        <v>Irrigate Now</v>
      </c>
      <c r="O605" s="6" t="n">
        <f aca="false">IF(N605=G605,1,0)</f>
        <v>1</v>
      </c>
    </row>
    <row r="606" customFormat="false" ht="15" hidden="false" customHeight="false" outlineLevel="0" collapsed="false">
      <c r="A606" s="16" t="n">
        <v>29.87888063</v>
      </c>
      <c r="B606" s="16" t="n">
        <v>44.75215854</v>
      </c>
      <c r="C606" s="16" t="n">
        <v>14.8241386862043</v>
      </c>
      <c r="D606" s="6" t="s">
        <v>57</v>
      </c>
      <c r="E606" s="6" t="s">
        <v>23</v>
      </c>
      <c r="F606" s="6" t="s">
        <v>24</v>
      </c>
      <c r="G606" s="6" t="s">
        <v>64</v>
      </c>
      <c r="H606" s="6" t="s">
        <v>65</v>
      </c>
      <c r="I606" s="6" t="str">
        <f aca="false">IF(A606&lt;Outliers!$E$6,"Low",IF(A606&gt;Outliers!$F$6,"High",""))</f>
        <v/>
      </c>
      <c r="J606" s="6" t="str">
        <f aca="false">IF(B606&lt;Outliers!$E$7,"Low",IF(B606&gt;Outliers!$F$7,"High",""))</f>
        <v/>
      </c>
      <c r="K606" s="6" t="str">
        <f aca="false">IF(C606&lt;Outliers!$E$8,"Low",IF(C606&gt;Outliers!$F$8,"High",""))</f>
        <v/>
      </c>
      <c r="L606" s="6" t="str">
        <f aca="false">A606&amp;";"&amp;B606&amp;";"&amp;C606</f>
        <v>29.87888063;44.75215854;14.8241386862043</v>
      </c>
      <c r="M606" s="6" t="n">
        <f aca="false">IF(COUNTIF($L$2:$L$2201,L606)&gt;1,1,0)</f>
        <v>0</v>
      </c>
      <c r="N606" s="6" t="str">
        <f aca="false">IF(AND(C606&lt;Assumptions!$B$9,B606&lt;Assumptions!$B$10),"Irrigate Now",IF(AND(C606&gt;=Assumptions!$B$11,B606&gt;=Assumptions!$B$12),"No Irrigation Needed","Monitor"))</f>
        <v>Irrigate Now</v>
      </c>
      <c r="O606" s="6" t="n">
        <f aca="false">IF(N606=G606,1,0)</f>
        <v>1</v>
      </c>
    </row>
    <row r="607" customFormat="false" ht="15" hidden="false" customHeight="false" outlineLevel="0" collapsed="false">
      <c r="A607" s="16" t="n">
        <v>29.89232778</v>
      </c>
      <c r="B607" s="16" t="n">
        <v>42.99498978</v>
      </c>
      <c r="C607" s="16" t="n">
        <v>14.9333781494739</v>
      </c>
      <c r="D607" s="6" t="s">
        <v>57</v>
      </c>
      <c r="E607" s="6" t="s">
        <v>23</v>
      </c>
      <c r="F607" s="6" t="s">
        <v>24</v>
      </c>
      <c r="G607" s="6" t="s">
        <v>64</v>
      </c>
      <c r="H607" s="6" t="s">
        <v>65</v>
      </c>
      <c r="I607" s="6" t="str">
        <f aca="false">IF(A607&lt;Outliers!$E$6,"Low",IF(A607&gt;Outliers!$F$6,"High",""))</f>
        <v/>
      </c>
      <c r="J607" s="6" t="str">
        <f aca="false">IF(B607&lt;Outliers!$E$7,"Low",IF(B607&gt;Outliers!$F$7,"High",""))</f>
        <v/>
      </c>
      <c r="K607" s="6" t="str">
        <f aca="false">IF(C607&lt;Outliers!$E$8,"Low",IF(C607&gt;Outliers!$F$8,"High",""))</f>
        <v/>
      </c>
      <c r="L607" s="6" t="str">
        <f aca="false">A607&amp;";"&amp;B607&amp;";"&amp;C607</f>
        <v>29.89232778;42.99498978;14.9333781494739</v>
      </c>
      <c r="M607" s="6" t="n">
        <f aca="false">IF(COUNTIF($L$2:$L$2201,L607)&gt;1,1,0)</f>
        <v>0</v>
      </c>
      <c r="N607" s="6" t="str">
        <f aca="false">IF(AND(C607&lt;Assumptions!$B$9,B607&lt;Assumptions!$B$10),"Irrigate Now",IF(AND(C607&gt;=Assumptions!$B$11,B607&gt;=Assumptions!$B$12),"No Irrigation Needed","Monitor"))</f>
        <v>Irrigate Now</v>
      </c>
      <c r="O607" s="6" t="n">
        <f aca="false">IF(N607=G607,1,0)</f>
        <v>1</v>
      </c>
    </row>
    <row r="608" customFormat="false" ht="15" hidden="false" customHeight="false" outlineLevel="0" collapsed="false">
      <c r="A608" s="16" t="n">
        <v>28.56212158</v>
      </c>
      <c r="B608" s="16" t="n">
        <v>56.48265193</v>
      </c>
      <c r="C608" s="16" t="n">
        <v>23.4678268698822</v>
      </c>
      <c r="D608" s="6" t="s">
        <v>57</v>
      </c>
      <c r="E608" s="6" t="s">
        <v>57</v>
      </c>
      <c r="F608" s="6" t="s">
        <v>60</v>
      </c>
      <c r="G608" s="6" t="s">
        <v>61</v>
      </c>
      <c r="H608" s="6" t="s">
        <v>63</v>
      </c>
      <c r="I608" s="6" t="str">
        <f aca="false">IF(A608&lt;Outliers!$E$6,"Low",IF(A608&gt;Outliers!$F$6,"High",""))</f>
        <v/>
      </c>
      <c r="J608" s="6" t="str">
        <f aca="false">IF(B608&lt;Outliers!$E$7,"Low",IF(B608&gt;Outliers!$F$7,"High",""))</f>
        <v/>
      </c>
      <c r="K608" s="6" t="str">
        <f aca="false">IF(C608&lt;Outliers!$E$8,"Low",IF(C608&gt;Outliers!$F$8,"High",""))</f>
        <v/>
      </c>
      <c r="L608" s="6" t="str">
        <f aca="false">A608&amp;";"&amp;B608&amp;";"&amp;C608</f>
        <v>28.56212158;56.48265193;23.4678268698822</v>
      </c>
      <c r="M608" s="6" t="n">
        <f aca="false">IF(COUNTIF($L$2:$L$2201,L608)&gt;1,1,0)</f>
        <v>0</v>
      </c>
      <c r="N608" s="6" t="str">
        <f aca="false">IF(AND(C608&lt;Assumptions!$B$9,B608&lt;Assumptions!$B$10),"Irrigate Now",IF(AND(C608&gt;=Assumptions!$B$11,B608&gt;=Assumptions!$B$12),"No Irrigation Needed","Monitor"))</f>
        <v>Monitor</v>
      </c>
      <c r="O608" s="6" t="n">
        <f aca="false">IF(N608=G608,1,0)</f>
        <v>1</v>
      </c>
    </row>
    <row r="609" customFormat="false" ht="15" hidden="false" customHeight="false" outlineLevel="0" collapsed="false">
      <c r="A609" s="16" t="n">
        <v>27.53592929</v>
      </c>
      <c r="B609" s="16" t="n">
        <v>53.01899249</v>
      </c>
      <c r="C609" s="16" t="n">
        <v>22.2664886640045</v>
      </c>
      <c r="D609" s="6" t="s">
        <v>57</v>
      </c>
      <c r="E609" s="6" t="s">
        <v>57</v>
      </c>
      <c r="F609" s="6" t="s">
        <v>60</v>
      </c>
      <c r="G609" s="6" t="s">
        <v>61</v>
      </c>
      <c r="H609" s="6" t="s">
        <v>63</v>
      </c>
      <c r="I609" s="6" t="str">
        <f aca="false">IF(A609&lt;Outliers!$E$6,"Low",IF(A609&gt;Outliers!$F$6,"High",""))</f>
        <v/>
      </c>
      <c r="J609" s="6" t="str">
        <f aca="false">IF(B609&lt;Outliers!$E$7,"Low",IF(B609&gt;Outliers!$F$7,"High",""))</f>
        <v/>
      </c>
      <c r="K609" s="6" t="str">
        <f aca="false">IF(C609&lt;Outliers!$E$8,"Low",IF(C609&gt;Outliers!$F$8,"High",""))</f>
        <v/>
      </c>
      <c r="L609" s="6" t="str">
        <f aca="false">A609&amp;";"&amp;B609&amp;";"&amp;C609</f>
        <v>27.53592929;53.01899249;22.2664886640045</v>
      </c>
      <c r="M609" s="6" t="n">
        <f aca="false">IF(COUNTIF($L$2:$L$2201,L609)&gt;1,1,0)</f>
        <v>0</v>
      </c>
      <c r="N609" s="6" t="str">
        <f aca="false">IF(AND(C609&lt;Assumptions!$B$9,B609&lt;Assumptions!$B$10),"Irrigate Now",IF(AND(C609&gt;=Assumptions!$B$11,B609&gt;=Assumptions!$B$12),"No Irrigation Needed","Monitor"))</f>
        <v>Monitor</v>
      </c>
      <c r="O609" s="6" t="n">
        <f aca="false">IF(N609=G609,1,0)</f>
        <v>1</v>
      </c>
    </row>
    <row r="610" customFormat="false" ht="15" hidden="false" customHeight="false" outlineLevel="0" collapsed="false">
      <c r="A610" s="16" t="n">
        <v>29.68361658</v>
      </c>
      <c r="B610" s="16" t="n">
        <v>41.82490236</v>
      </c>
      <c r="C610" s="16" t="n">
        <v>15.2216861079495</v>
      </c>
      <c r="D610" s="6" t="s">
        <v>57</v>
      </c>
      <c r="E610" s="6" t="s">
        <v>23</v>
      </c>
      <c r="F610" s="6" t="s">
        <v>24</v>
      </c>
      <c r="G610" s="6" t="s">
        <v>64</v>
      </c>
      <c r="H610" s="6" t="s">
        <v>65</v>
      </c>
      <c r="I610" s="6" t="str">
        <f aca="false">IF(A610&lt;Outliers!$E$6,"Low",IF(A610&gt;Outliers!$F$6,"High",""))</f>
        <v/>
      </c>
      <c r="J610" s="6" t="str">
        <f aca="false">IF(B610&lt;Outliers!$E$7,"Low",IF(B610&gt;Outliers!$F$7,"High",""))</f>
        <v/>
      </c>
      <c r="K610" s="6" t="str">
        <f aca="false">IF(C610&lt;Outliers!$E$8,"Low",IF(C610&gt;Outliers!$F$8,"High",""))</f>
        <v/>
      </c>
      <c r="L610" s="6" t="str">
        <f aca="false">A610&amp;";"&amp;B610&amp;";"&amp;C610</f>
        <v>29.68361658;41.82490236;15.2216861079495</v>
      </c>
      <c r="M610" s="6" t="n">
        <f aca="false">IF(COUNTIF($L$2:$L$2201,L610)&gt;1,1,0)</f>
        <v>0</v>
      </c>
      <c r="N610" s="6" t="str">
        <f aca="false">IF(AND(C610&lt;Assumptions!$B$9,B610&lt;Assumptions!$B$10),"Irrigate Now",IF(AND(C610&gt;=Assumptions!$B$11,B610&gt;=Assumptions!$B$12),"No Irrigation Needed","Monitor"))</f>
        <v>Irrigate Now</v>
      </c>
      <c r="O610" s="6" t="n">
        <f aca="false">IF(N610=G610,1,0)</f>
        <v>1</v>
      </c>
    </row>
    <row r="611" customFormat="false" ht="15" hidden="false" customHeight="false" outlineLevel="0" collapsed="false">
      <c r="A611" s="16" t="n">
        <v>28.14448546</v>
      </c>
      <c r="B611" s="16" t="n">
        <v>46.75690086</v>
      </c>
      <c r="C611" s="16" t="n">
        <v>27.0394147545913</v>
      </c>
      <c r="D611" s="6" t="s">
        <v>57</v>
      </c>
      <c r="E611" s="6" t="s">
        <v>23</v>
      </c>
      <c r="F611" s="6" t="s">
        <v>23</v>
      </c>
      <c r="G611" s="6" t="s">
        <v>61</v>
      </c>
      <c r="H611" s="6" t="s">
        <v>63</v>
      </c>
      <c r="I611" s="6" t="str">
        <f aca="false">IF(A611&lt;Outliers!$E$6,"Low",IF(A611&gt;Outliers!$F$6,"High",""))</f>
        <v/>
      </c>
      <c r="J611" s="6" t="str">
        <f aca="false">IF(B611&lt;Outliers!$E$7,"Low",IF(B611&gt;Outliers!$F$7,"High",""))</f>
        <v/>
      </c>
      <c r="K611" s="6" t="str">
        <f aca="false">IF(C611&lt;Outliers!$E$8,"Low",IF(C611&gt;Outliers!$F$8,"High",""))</f>
        <v/>
      </c>
      <c r="L611" s="6" t="str">
        <f aca="false">A611&amp;";"&amp;B611&amp;";"&amp;C611</f>
        <v>28.14448546;46.75690086;27.0394147545913</v>
      </c>
      <c r="M611" s="6" t="n">
        <f aca="false">IF(COUNTIF($L$2:$L$2201,L611)&gt;1,1,0)</f>
        <v>0</v>
      </c>
      <c r="N611" s="6" t="str">
        <f aca="false">IF(AND(C611&lt;Assumptions!$B$9,B611&lt;Assumptions!$B$10),"Irrigate Now",IF(AND(C611&gt;=Assumptions!$B$11,B611&gt;=Assumptions!$B$12),"No Irrigation Needed","Monitor"))</f>
        <v>Monitor</v>
      </c>
      <c r="O611" s="6" t="n">
        <f aca="false">IF(N611=G611,1,0)</f>
        <v>1</v>
      </c>
    </row>
    <row r="612" customFormat="false" ht="15" hidden="false" customHeight="false" outlineLevel="0" collapsed="false">
      <c r="A612" s="16" t="n">
        <v>29.53037621</v>
      </c>
      <c r="B612" s="16" t="n">
        <v>59.87232071</v>
      </c>
      <c r="C612" s="16" t="n">
        <v>25.7692669617001</v>
      </c>
      <c r="D612" s="6" t="s">
        <v>57</v>
      </c>
      <c r="E612" s="6" t="s">
        <v>57</v>
      </c>
      <c r="F612" s="6" t="s">
        <v>23</v>
      </c>
      <c r="G612" s="6" t="s">
        <v>61</v>
      </c>
      <c r="H612" s="6" t="s">
        <v>63</v>
      </c>
      <c r="I612" s="6" t="str">
        <f aca="false">IF(A612&lt;Outliers!$E$6,"Low",IF(A612&gt;Outliers!$F$6,"High",""))</f>
        <v/>
      </c>
      <c r="J612" s="6" t="str">
        <f aca="false">IF(B612&lt;Outliers!$E$7,"Low",IF(B612&gt;Outliers!$F$7,"High",""))</f>
        <v/>
      </c>
      <c r="K612" s="6" t="str">
        <f aca="false">IF(C612&lt;Outliers!$E$8,"Low",IF(C612&gt;Outliers!$F$8,"High",""))</f>
        <v/>
      </c>
      <c r="L612" s="6" t="str">
        <f aca="false">A612&amp;";"&amp;B612&amp;";"&amp;C612</f>
        <v>29.53037621;59.87232071;25.7692669617001</v>
      </c>
      <c r="M612" s="6" t="n">
        <f aca="false">IF(COUNTIF($L$2:$L$2201,L612)&gt;1,1,0)</f>
        <v>0</v>
      </c>
      <c r="N612" s="6" t="str">
        <f aca="false">IF(AND(C612&lt;Assumptions!$B$9,B612&lt;Assumptions!$B$10),"Irrigate Now",IF(AND(C612&gt;=Assumptions!$B$11,B612&gt;=Assumptions!$B$12),"No Irrigation Needed","Monitor"))</f>
        <v>Monitor</v>
      </c>
      <c r="O612" s="6" t="n">
        <f aca="false">IF(N612=G612,1,0)</f>
        <v>1</v>
      </c>
    </row>
    <row r="613" customFormat="false" ht="15" hidden="false" customHeight="false" outlineLevel="0" collapsed="false">
      <c r="A613" s="16" t="n">
        <v>27.88352946</v>
      </c>
      <c r="B613" s="16" t="n">
        <v>44.64407105</v>
      </c>
      <c r="C613" s="16" t="n">
        <v>29.0201445827654</v>
      </c>
      <c r="D613" s="6" t="s">
        <v>57</v>
      </c>
      <c r="E613" s="6" t="s">
        <v>23</v>
      </c>
      <c r="F613" s="6" t="s">
        <v>23</v>
      </c>
      <c r="G613" s="6" t="s">
        <v>61</v>
      </c>
      <c r="H613" s="6" t="s">
        <v>63</v>
      </c>
      <c r="I613" s="6" t="str">
        <f aca="false">IF(A613&lt;Outliers!$E$6,"Low",IF(A613&gt;Outliers!$F$6,"High",""))</f>
        <v/>
      </c>
      <c r="J613" s="6" t="str">
        <f aca="false">IF(B613&lt;Outliers!$E$7,"Low",IF(B613&gt;Outliers!$F$7,"High",""))</f>
        <v/>
      </c>
      <c r="K613" s="6" t="str">
        <f aca="false">IF(C613&lt;Outliers!$E$8,"Low",IF(C613&gt;Outliers!$F$8,"High",""))</f>
        <v/>
      </c>
      <c r="L613" s="6" t="str">
        <f aca="false">A613&amp;";"&amp;B613&amp;";"&amp;C613</f>
        <v>27.88352946;44.64407105;29.0201445827654</v>
      </c>
      <c r="M613" s="6" t="n">
        <f aca="false">IF(COUNTIF($L$2:$L$2201,L613)&gt;1,1,0)</f>
        <v>0</v>
      </c>
      <c r="N613" s="6" t="str">
        <f aca="false">IF(AND(C613&lt;Assumptions!$B$9,B613&lt;Assumptions!$B$10),"Irrigate Now",IF(AND(C613&gt;=Assumptions!$B$11,B613&gt;=Assumptions!$B$12),"No Irrigation Needed","Monitor"))</f>
        <v>Monitor</v>
      </c>
      <c r="O613" s="6" t="n">
        <f aca="false">IF(N613=G613,1,0)</f>
        <v>1</v>
      </c>
    </row>
    <row r="614" customFormat="false" ht="15" hidden="false" customHeight="false" outlineLevel="0" collapsed="false">
      <c r="A614" s="16" t="n">
        <v>28.22471276</v>
      </c>
      <c r="B614" s="16" t="n">
        <v>44.01206619</v>
      </c>
      <c r="C614" s="16" t="n">
        <v>10.3275964061103</v>
      </c>
      <c r="D614" s="6" t="s">
        <v>57</v>
      </c>
      <c r="E614" s="6" t="s">
        <v>23</v>
      </c>
      <c r="F614" s="6" t="s">
        <v>24</v>
      </c>
      <c r="G614" s="6" t="s">
        <v>64</v>
      </c>
      <c r="H614" s="6" t="s">
        <v>65</v>
      </c>
      <c r="I614" s="6" t="str">
        <f aca="false">IF(A614&lt;Outliers!$E$6,"Low",IF(A614&gt;Outliers!$F$6,"High",""))</f>
        <v/>
      </c>
      <c r="J614" s="6" t="str">
        <f aca="false">IF(B614&lt;Outliers!$E$7,"Low",IF(B614&gt;Outliers!$F$7,"High",""))</f>
        <v/>
      </c>
      <c r="K614" s="6" t="str">
        <f aca="false">IF(C614&lt;Outliers!$E$8,"Low",IF(C614&gt;Outliers!$F$8,"High",""))</f>
        <v/>
      </c>
      <c r="L614" s="6" t="str">
        <f aca="false">A614&amp;";"&amp;B614&amp;";"&amp;C614</f>
        <v>28.22471276;44.01206619;10.3275964061103</v>
      </c>
      <c r="M614" s="6" t="n">
        <f aca="false">IF(COUNTIF($L$2:$L$2201,L614)&gt;1,1,0)</f>
        <v>0</v>
      </c>
      <c r="N614" s="6" t="str">
        <f aca="false">IF(AND(C614&lt;Assumptions!$B$9,B614&lt;Assumptions!$B$10),"Irrigate Now",IF(AND(C614&gt;=Assumptions!$B$11,B614&gt;=Assumptions!$B$12),"No Irrigation Needed","Monitor"))</f>
        <v>Irrigate Now</v>
      </c>
      <c r="O614" s="6" t="n">
        <f aca="false">IF(N614=G614,1,0)</f>
        <v>1</v>
      </c>
    </row>
    <row r="615" customFormat="false" ht="15" hidden="false" customHeight="false" outlineLevel="0" collapsed="false">
      <c r="A615" s="16" t="n">
        <v>29.008124</v>
      </c>
      <c r="B615" s="16" t="n">
        <v>45.91011391</v>
      </c>
      <c r="C615" s="16" t="n">
        <v>16.4824090204258</v>
      </c>
      <c r="D615" s="6" t="s">
        <v>57</v>
      </c>
      <c r="E615" s="6" t="s">
        <v>23</v>
      </c>
      <c r="F615" s="6" t="s">
        <v>24</v>
      </c>
      <c r="G615" s="6" t="s">
        <v>64</v>
      </c>
      <c r="H615" s="6" t="s">
        <v>65</v>
      </c>
      <c r="I615" s="6" t="str">
        <f aca="false">IF(A615&lt;Outliers!$E$6,"Low",IF(A615&gt;Outliers!$F$6,"High",""))</f>
        <v/>
      </c>
      <c r="J615" s="6" t="str">
        <f aca="false">IF(B615&lt;Outliers!$E$7,"Low",IF(B615&gt;Outliers!$F$7,"High",""))</f>
        <v/>
      </c>
      <c r="K615" s="6" t="str">
        <f aca="false">IF(C615&lt;Outliers!$E$8,"Low",IF(C615&gt;Outliers!$F$8,"High",""))</f>
        <v/>
      </c>
      <c r="L615" s="6" t="str">
        <f aca="false">A615&amp;";"&amp;B615&amp;";"&amp;C615</f>
        <v>29.008124;45.91011391;16.4824090204258</v>
      </c>
      <c r="M615" s="6" t="n">
        <f aca="false">IF(COUNTIF($L$2:$L$2201,L615)&gt;1,1,0)</f>
        <v>0</v>
      </c>
      <c r="N615" s="6" t="str">
        <f aca="false">IF(AND(C615&lt;Assumptions!$B$9,B615&lt;Assumptions!$B$10),"Irrigate Now",IF(AND(C615&gt;=Assumptions!$B$11,B615&gt;=Assumptions!$B$12),"No Irrigation Needed","Monitor"))</f>
        <v>Irrigate Now</v>
      </c>
      <c r="O615" s="6" t="n">
        <f aca="false">IF(N615=G615,1,0)</f>
        <v>1</v>
      </c>
    </row>
    <row r="616" customFormat="false" ht="15" hidden="false" customHeight="false" outlineLevel="0" collapsed="false">
      <c r="A616" s="16" t="n">
        <v>29.75538903</v>
      </c>
      <c r="B616" s="16" t="n">
        <v>37.54602719</v>
      </c>
      <c r="C616" s="16" t="n">
        <v>25.5346171145774</v>
      </c>
      <c r="D616" s="6" t="s">
        <v>57</v>
      </c>
      <c r="E616" s="6" t="s">
        <v>23</v>
      </c>
      <c r="F616" s="6" t="s">
        <v>60</v>
      </c>
      <c r="G616" s="6" t="s">
        <v>61</v>
      </c>
      <c r="H616" s="6" t="s">
        <v>63</v>
      </c>
      <c r="I616" s="6" t="str">
        <f aca="false">IF(A616&lt;Outliers!$E$6,"Low",IF(A616&gt;Outliers!$F$6,"High",""))</f>
        <v/>
      </c>
      <c r="J616" s="6" t="str">
        <f aca="false">IF(B616&lt;Outliers!$E$7,"Low",IF(B616&gt;Outliers!$F$7,"High",""))</f>
        <v/>
      </c>
      <c r="K616" s="6" t="str">
        <f aca="false">IF(C616&lt;Outliers!$E$8,"Low",IF(C616&gt;Outliers!$F$8,"High",""))</f>
        <v/>
      </c>
      <c r="L616" s="6" t="str">
        <f aca="false">A616&amp;";"&amp;B616&amp;";"&amp;C616</f>
        <v>29.75538903;37.54602719;25.5346171145774</v>
      </c>
      <c r="M616" s="6" t="n">
        <f aca="false">IF(COUNTIF($L$2:$L$2201,L616)&gt;1,1,0)</f>
        <v>0</v>
      </c>
      <c r="N616" s="6" t="str">
        <f aca="false">IF(AND(C616&lt;Assumptions!$B$9,B616&lt;Assumptions!$B$10),"Irrigate Now",IF(AND(C616&gt;=Assumptions!$B$11,B616&gt;=Assumptions!$B$12),"No Irrigation Needed","Monitor"))</f>
        <v>Monitor</v>
      </c>
      <c r="O616" s="6" t="n">
        <f aca="false">IF(N616=G616,1,0)</f>
        <v>1</v>
      </c>
    </row>
    <row r="617" customFormat="false" ht="15" hidden="false" customHeight="false" outlineLevel="0" collapsed="false">
      <c r="A617" s="16" t="n">
        <v>29.78416743</v>
      </c>
      <c r="B617" s="16" t="n">
        <v>40.77872823</v>
      </c>
      <c r="C617" s="16" t="n">
        <v>27.2682516623644</v>
      </c>
      <c r="D617" s="6" t="s">
        <v>57</v>
      </c>
      <c r="E617" s="6" t="s">
        <v>23</v>
      </c>
      <c r="F617" s="6" t="s">
        <v>23</v>
      </c>
      <c r="G617" s="6" t="s">
        <v>61</v>
      </c>
      <c r="H617" s="6" t="s">
        <v>63</v>
      </c>
      <c r="I617" s="6" t="str">
        <f aca="false">IF(A617&lt;Outliers!$E$6,"Low",IF(A617&gt;Outliers!$F$6,"High",""))</f>
        <v/>
      </c>
      <c r="J617" s="6" t="str">
        <f aca="false">IF(B617&lt;Outliers!$E$7,"Low",IF(B617&gt;Outliers!$F$7,"High",""))</f>
        <v/>
      </c>
      <c r="K617" s="6" t="str">
        <f aca="false">IF(C617&lt;Outliers!$E$8,"Low",IF(C617&gt;Outliers!$F$8,"High",""))</f>
        <v/>
      </c>
      <c r="L617" s="6" t="str">
        <f aca="false">A617&amp;";"&amp;B617&amp;";"&amp;C617</f>
        <v>29.78416743;40.77872823;27.2682516623644</v>
      </c>
      <c r="M617" s="6" t="n">
        <f aca="false">IF(COUNTIF($L$2:$L$2201,L617)&gt;1,1,0)</f>
        <v>0</v>
      </c>
      <c r="N617" s="6" t="str">
        <f aca="false">IF(AND(C617&lt;Assumptions!$B$9,B617&lt;Assumptions!$B$10),"Irrigate Now",IF(AND(C617&gt;=Assumptions!$B$11,B617&gt;=Assumptions!$B$12),"No Irrigation Needed","Monitor"))</f>
        <v>Monitor</v>
      </c>
      <c r="O617" s="6" t="n">
        <f aca="false">IF(N617=G617,1,0)</f>
        <v>1</v>
      </c>
    </row>
    <row r="618" customFormat="false" ht="15" hidden="false" customHeight="false" outlineLevel="0" collapsed="false">
      <c r="A618" s="16" t="n">
        <v>27.8640132</v>
      </c>
      <c r="B618" s="16" t="n">
        <v>42.83053902</v>
      </c>
      <c r="C618" s="16" t="n">
        <v>19.9573760055637</v>
      </c>
      <c r="D618" s="6" t="s">
        <v>57</v>
      </c>
      <c r="E618" s="6" t="s">
        <v>23</v>
      </c>
      <c r="F618" s="6" t="s">
        <v>60</v>
      </c>
      <c r="G618" s="6" t="s">
        <v>61</v>
      </c>
      <c r="H618" s="6" t="s">
        <v>63</v>
      </c>
      <c r="I618" s="6" t="str">
        <f aca="false">IF(A618&lt;Outliers!$E$6,"Low",IF(A618&gt;Outliers!$F$6,"High",""))</f>
        <v/>
      </c>
      <c r="J618" s="6" t="str">
        <f aca="false">IF(B618&lt;Outliers!$E$7,"Low",IF(B618&gt;Outliers!$F$7,"High",""))</f>
        <v/>
      </c>
      <c r="K618" s="6" t="str">
        <f aca="false">IF(C618&lt;Outliers!$E$8,"Low",IF(C618&gt;Outliers!$F$8,"High",""))</f>
        <v/>
      </c>
      <c r="L618" s="6" t="str">
        <f aca="false">A618&amp;";"&amp;B618&amp;";"&amp;C618</f>
        <v>27.8640132;42.83053902;19.9573760055637</v>
      </c>
      <c r="M618" s="6" t="n">
        <f aca="false">IF(COUNTIF($L$2:$L$2201,L618)&gt;1,1,0)</f>
        <v>0</v>
      </c>
      <c r="N618" s="6" t="str">
        <f aca="false">IF(AND(C618&lt;Assumptions!$B$9,B618&lt;Assumptions!$B$10),"Irrigate Now",IF(AND(C618&gt;=Assumptions!$B$11,B618&gt;=Assumptions!$B$12),"No Irrigation Needed","Monitor"))</f>
        <v>Monitor</v>
      </c>
      <c r="O618" s="6" t="n">
        <f aca="false">IF(N618=G618,1,0)</f>
        <v>1</v>
      </c>
    </row>
    <row r="619" customFormat="false" ht="15" hidden="false" customHeight="false" outlineLevel="0" collapsed="false">
      <c r="A619" s="16" t="n">
        <v>27.11026483</v>
      </c>
      <c r="B619" s="16" t="n">
        <v>51.52617423</v>
      </c>
      <c r="C619" s="16" t="n">
        <v>22.2769904774412</v>
      </c>
      <c r="D619" s="6" t="s">
        <v>57</v>
      </c>
      <c r="E619" s="6" t="s">
        <v>57</v>
      </c>
      <c r="F619" s="6" t="s">
        <v>60</v>
      </c>
      <c r="G619" s="6" t="s">
        <v>61</v>
      </c>
      <c r="H619" s="6" t="s">
        <v>63</v>
      </c>
      <c r="I619" s="6" t="str">
        <f aca="false">IF(A619&lt;Outliers!$E$6,"Low",IF(A619&gt;Outliers!$F$6,"High",""))</f>
        <v/>
      </c>
      <c r="J619" s="6" t="str">
        <f aca="false">IF(B619&lt;Outliers!$E$7,"Low",IF(B619&gt;Outliers!$F$7,"High",""))</f>
        <v/>
      </c>
      <c r="K619" s="6" t="str">
        <f aca="false">IF(C619&lt;Outliers!$E$8,"Low",IF(C619&gt;Outliers!$F$8,"High",""))</f>
        <v/>
      </c>
      <c r="L619" s="6" t="str">
        <f aca="false">A619&amp;";"&amp;B619&amp;";"&amp;C619</f>
        <v>27.11026483;51.52617423;22.2769904774412</v>
      </c>
      <c r="M619" s="6" t="n">
        <f aca="false">IF(COUNTIF($L$2:$L$2201,L619)&gt;1,1,0)</f>
        <v>0</v>
      </c>
      <c r="N619" s="6" t="str">
        <f aca="false">IF(AND(C619&lt;Assumptions!$B$9,B619&lt;Assumptions!$B$10),"Irrigate Now",IF(AND(C619&gt;=Assumptions!$B$11,B619&gt;=Assumptions!$B$12),"No Irrigation Needed","Monitor"))</f>
        <v>Monitor</v>
      </c>
      <c r="O619" s="6" t="n">
        <f aca="false">IF(N619=G619,1,0)</f>
        <v>1</v>
      </c>
    </row>
    <row r="620" customFormat="false" ht="15" hidden="false" customHeight="false" outlineLevel="0" collapsed="false">
      <c r="A620" s="16" t="n">
        <v>27.11030369</v>
      </c>
      <c r="B620" s="16" t="n">
        <v>49.11964582</v>
      </c>
      <c r="C620" s="16" t="n">
        <v>21.75351818873</v>
      </c>
      <c r="D620" s="6" t="s">
        <v>57</v>
      </c>
      <c r="E620" s="6" t="s">
        <v>23</v>
      </c>
      <c r="F620" s="6" t="s">
        <v>60</v>
      </c>
      <c r="G620" s="6" t="s">
        <v>61</v>
      </c>
      <c r="H620" s="6" t="s">
        <v>63</v>
      </c>
      <c r="I620" s="6" t="str">
        <f aca="false">IF(A620&lt;Outliers!$E$6,"Low",IF(A620&gt;Outliers!$F$6,"High",""))</f>
        <v/>
      </c>
      <c r="J620" s="6" t="str">
        <f aca="false">IF(B620&lt;Outliers!$E$7,"Low",IF(B620&gt;Outliers!$F$7,"High",""))</f>
        <v/>
      </c>
      <c r="K620" s="6" t="str">
        <f aca="false">IF(C620&lt;Outliers!$E$8,"Low",IF(C620&gt;Outliers!$F$8,"High",""))</f>
        <v/>
      </c>
      <c r="L620" s="6" t="str">
        <f aca="false">A620&amp;";"&amp;B620&amp;";"&amp;C620</f>
        <v>27.11030369;49.11964582;21.75351818873</v>
      </c>
      <c r="M620" s="6" t="n">
        <f aca="false">IF(COUNTIF($L$2:$L$2201,L620)&gt;1,1,0)</f>
        <v>0</v>
      </c>
      <c r="N620" s="6" t="str">
        <f aca="false">IF(AND(C620&lt;Assumptions!$B$9,B620&lt;Assumptions!$B$10),"Irrigate Now",IF(AND(C620&gt;=Assumptions!$B$11,B620&gt;=Assumptions!$B$12),"No Irrigation Needed","Monitor"))</f>
        <v>Monitor</v>
      </c>
      <c r="O620" s="6" t="n">
        <f aca="false">IF(N620=G620,1,0)</f>
        <v>1</v>
      </c>
    </row>
    <row r="621" customFormat="false" ht="15" hidden="false" customHeight="false" outlineLevel="0" collapsed="false">
      <c r="A621" s="16" t="n">
        <v>28.95451232</v>
      </c>
      <c r="B621" s="16" t="n">
        <v>57.65901369</v>
      </c>
      <c r="C621" s="16" t="n">
        <v>26.8719858786542</v>
      </c>
      <c r="D621" s="6" t="s">
        <v>57</v>
      </c>
      <c r="E621" s="6" t="s">
        <v>57</v>
      </c>
      <c r="F621" s="6" t="s">
        <v>23</v>
      </c>
      <c r="G621" s="6" t="s">
        <v>61</v>
      </c>
      <c r="H621" s="6" t="s">
        <v>63</v>
      </c>
      <c r="I621" s="6" t="str">
        <f aca="false">IF(A621&lt;Outliers!$E$6,"Low",IF(A621&gt;Outliers!$F$6,"High",""))</f>
        <v/>
      </c>
      <c r="J621" s="6" t="str">
        <f aca="false">IF(B621&lt;Outliers!$E$7,"Low",IF(B621&gt;Outliers!$F$7,"High",""))</f>
        <v/>
      </c>
      <c r="K621" s="6" t="str">
        <f aca="false">IF(C621&lt;Outliers!$E$8,"Low",IF(C621&gt;Outliers!$F$8,"High",""))</f>
        <v/>
      </c>
      <c r="L621" s="6" t="str">
        <f aca="false">A621&amp;";"&amp;B621&amp;";"&amp;C621</f>
        <v>28.95451232;57.65901369;26.8719858786542</v>
      </c>
      <c r="M621" s="6" t="n">
        <f aca="false">IF(COUNTIF($L$2:$L$2201,L621)&gt;1,1,0)</f>
        <v>0</v>
      </c>
      <c r="N621" s="6" t="str">
        <f aca="false">IF(AND(C621&lt;Assumptions!$B$9,B621&lt;Assumptions!$B$10),"Irrigate Now",IF(AND(C621&gt;=Assumptions!$B$11,B621&gt;=Assumptions!$B$12),"No Irrigation Needed","Monitor"))</f>
        <v>Monitor</v>
      </c>
      <c r="O621" s="6" t="n">
        <f aca="false">IF(N621=G621,1,0)</f>
        <v>1</v>
      </c>
    </row>
    <row r="622" customFormat="false" ht="15" hidden="false" customHeight="false" outlineLevel="0" collapsed="false">
      <c r="A622" s="16" t="n">
        <v>29.21780035</v>
      </c>
      <c r="B622" s="16" t="n">
        <v>43.1386631</v>
      </c>
      <c r="C622" s="16" t="n">
        <v>29.1724059632928</v>
      </c>
      <c r="D622" s="6" t="s">
        <v>57</v>
      </c>
      <c r="E622" s="6" t="s">
        <v>23</v>
      </c>
      <c r="F622" s="6" t="s">
        <v>23</v>
      </c>
      <c r="G622" s="6" t="s">
        <v>61</v>
      </c>
      <c r="H622" s="6" t="s">
        <v>63</v>
      </c>
      <c r="I622" s="6" t="str">
        <f aca="false">IF(A622&lt;Outliers!$E$6,"Low",IF(A622&gt;Outliers!$F$6,"High",""))</f>
        <v/>
      </c>
      <c r="J622" s="6" t="str">
        <f aca="false">IF(B622&lt;Outliers!$E$7,"Low",IF(B622&gt;Outliers!$F$7,"High",""))</f>
        <v/>
      </c>
      <c r="K622" s="6" t="str">
        <f aca="false">IF(C622&lt;Outliers!$E$8,"Low",IF(C622&gt;Outliers!$F$8,"High",""))</f>
        <v/>
      </c>
      <c r="L622" s="6" t="str">
        <f aca="false">A622&amp;";"&amp;B622&amp;";"&amp;C622</f>
        <v>29.21780035;43.1386631;29.1724059632928</v>
      </c>
      <c r="M622" s="6" t="n">
        <f aca="false">IF(COUNTIF($L$2:$L$2201,L622)&gt;1,1,0)</f>
        <v>0</v>
      </c>
      <c r="N622" s="6" t="str">
        <f aca="false">IF(AND(C622&lt;Assumptions!$B$9,B622&lt;Assumptions!$B$10),"Irrigate Now",IF(AND(C622&gt;=Assumptions!$B$11,B622&gt;=Assumptions!$B$12),"No Irrigation Needed","Monitor"))</f>
        <v>Monitor</v>
      </c>
      <c r="O622" s="6" t="n">
        <f aca="false">IF(N622=G622,1,0)</f>
        <v>1</v>
      </c>
    </row>
    <row r="623" customFormat="false" ht="15" hidden="false" customHeight="false" outlineLevel="0" collapsed="false">
      <c r="A623" s="16" t="n">
        <v>28.7420098</v>
      </c>
      <c r="B623" s="16" t="n">
        <v>48.54598575</v>
      </c>
      <c r="C623" s="16" t="n">
        <v>25.2548028378073</v>
      </c>
      <c r="D623" s="6" t="s">
        <v>57</v>
      </c>
      <c r="E623" s="6" t="s">
        <v>23</v>
      </c>
      <c r="F623" s="6" t="s">
        <v>60</v>
      </c>
      <c r="G623" s="6" t="s">
        <v>61</v>
      </c>
      <c r="H623" s="6" t="s">
        <v>63</v>
      </c>
      <c r="I623" s="6" t="str">
        <f aca="false">IF(A623&lt;Outliers!$E$6,"Low",IF(A623&gt;Outliers!$F$6,"High",""))</f>
        <v/>
      </c>
      <c r="J623" s="6" t="str">
        <f aca="false">IF(B623&lt;Outliers!$E$7,"Low",IF(B623&gt;Outliers!$F$7,"High",""))</f>
        <v/>
      </c>
      <c r="K623" s="6" t="str">
        <f aca="false">IF(C623&lt;Outliers!$E$8,"Low",IF(C623&gt;Outliers!$F$8,"High",""))</f>
        <v/>
      </c>
      <c r="L623" s="6" t="str">
        <f aca="false">A623&amp;";"&amp;B623&amp;";"&amp;C623</f>
        <v>28.7420098;48.54598575;25.2548028378073</v>
      </c>
      <c r="M623" s="6" t="n">
        <f aca="false">IF(COUNTIF($L$2:$L$2201,L623)&gt;1,1,0)</f>
        <v>0</v>
      </c>
      <c r="N623" s="6" t="str">
        <f aca="false">IF(AND(C623&lt;Assumptions!$B$9,B623&lt;Assumptions!$B$10),"Irrigate Now",IF(AND(C623&gt;=Assumptions!$B$11,B623&gt;=Assumptions!$B$12),"No Irrigation Needed","Monitor"))</f>
        <v>Monitor</v>
      </c>
      <c r="O623" s="6" t="n">
        <f aca="false">IF(N623=G623,1,0)</f>
        <v>1</v>
      </c>
    </row>
    <row r="624" customFormat="false" ht="15" hidden="false" customHeight="false" outlineLevel="0" collapsed="false">
      <c r="A624" s="16" t="n">
        <v>29.65021184</v>
      </c>
      <c r="B624" s="16" t="n">
        <v>56.76278363</v>
      </c>
      <c r="C624" s="16" t="n">
        <v>13.8955730379791</v>
      </c>
      <c r="D624" s="6" t="s">
        <v>57</v>
      </c>
      <c r="E624" s="6" t="s">
        <v>57</v>
      </c>
      <c r="F624" s="6" t="s">
        <v>24</v>
      </c>
      <c r="G624" s="6" t="s">
        <v>64</v>
      </c>
      <c r="H624" s="6" t="s">
        <v>65</v>
      </c>
      <c r="I624" s="6" t="str">
        <f aca="false">IF(A624&lt;Outliers!$E$6,"Low",IF(A624&gt;Outliers!$F$6,"High",""))</f>
        <v/>
      </c>
      <c r="J624" s="6" t="str">
        <f aca="false">IF(B624&lt;Outliers!$E$7,"Low",IF(B624&gt;Outliers!$F$7,"High",""))</f>
        <v/>
      </c>
      <c r="K624" s="6" t="str">
        <f aca="false">IF(C624&lt;Outliers!$E$8,"Low",IF(C624&gt;Outliers!$F$8,"High",""))</f>
        <v/>
      </c>
      <c r="L624" s="6" t="str">
        <f aca="false">A624&amp;";"&amp;B624&amp;";"&amp;C624</f>
        <v>29.65021184;56.76278363;13.8955730379791</v>
      </c>
      <c r="M624" s="6" t="n">
        <f aca="false">IF(COUNTIF($L$2:$L$2201,L624)&gt;1,1,0)</f>
        <v>0</v>
      </c>
      <c r="N624" s="6" t="str">
        <f aca="false">IF(AND(C624&lt;Assumptions!$B$9,B624&lt;Assumptions!$B$10),"Irrigate Now",IF(AND(C624&gt;=Assumptions!$B$11,B624&gt;=Assumptions!$B$12),"No Irrigation Needed","Monitor"))</f>
        <v>Irrigate Now</v>
      </c>
      <c r="O624" s="6" t="n">
        <f aca="false">IF(N624=G624,1,0)</f>
        <v>1</v>
      </c>
    </row>
    <row r="625" customFormat="false" ht="15" hidden="false" customHeight="false" outlineLevel="0" collapsed="false">
      <c r="A625" s="16" t="n">
        <v>27.23924995</v>
      </c>
      <c r="B625" s="16" t="n">
        <v>37.31236904</v>
      </c>
      <c r="C625" s="16" t="n">
        <v>24.3877963011376</v>
      </c>
      <c r="D625" s="6" t="s">
        <v>57</v>
      </c>
      <c r="E625" s="6" t="s">
        <v>23</v>
      </c>
      <c r="F625" s="6" t="s">
        <v>60</v>
      </c>
      <c r="G625" s="6" t="s">
        <v>61</v>
      </c>
      <c r="H625" s="6" t="s">
        <v>63</v>
      </c>
      <c r="I625" s="6" t="str">
        <f aca="false">IF(A625&lt;Outliers!$E$6,"Low",IF(A625&gt;Outliers!$F$6,"High",""))</f>
        <v/>
      </c>
      <c r="J625" s="6" t="str">
        <f aca="false">IF(B625&lt;Outliers!$E$7,"Low",IF(B625&gt;Outliers!$F$7,"High",""))</f>
        <v/>
      </c>
      <c r="K625" s="6" t="str">
        <f aca="false">IF(C625&lt;Outliers!$E$8,"Low",IF(C625&gt;Outliers!$F$8,"High",""))</f>
        <v/>
      </c>
      <c r="L625" s="6" t="str">
        <f aca="false">A625&amp;";"&amp;B625&amp;";"&amp;C625</f>
        <v>27.23924995;37.31236904;24.3877963011376</v>
      </c>
      <c r="M625" s="6" t="n">
        <f aca="false">IF(COUNTIF($L$2:$L$2201,L625)&gt;1,1,0)</f>
        <v>0</v>
      </c>
      <c r="N625" s="6" t="str">
        <f aca="false">IF(AND(C625&lt;Assumptions!$B$9,B625&lt;Assumptions!$B$10),"Irrigate Now",IF(AND(C625&gt;=Assumptions!$B$11,B625&gt;=Assumptions!$B$12),"No Irrigation Needed","Monitor"))</f>
        <v>Monitor</v>
      </c>
      <c r="O625" s="6" t="n">
        <f aca="false">IF(N625=G625,1,0)</f>
        <v>1</v>
      </c>
    </row>
    <row r="626" customFormat="false" ht="15" hidden="false" customHeight="false" outlineLevel="0" collapsed="false">
      <c r="A626" s="16" t="n">
        <v>28.95172351</v>
      </c>
      <c r="B626" s="16" t="n">
        <v>56.51103293</v>
      </c>
      <c r="C626" s="16" t="n">
        <v>23.0637363273998</v>
      </c>
      <c r="D626" s="6" t="s">
        <v>57</v>
      </c>
      <c r="E626" s="6" t="s">
        <v>57</v>
      </c>
      <c r="F626" s="6" t="s">
        <v>60</v>
      </c>
      <c r="G626" s="6" t="s">
        <v>61</v>
      </c>
      <c r="H626" s="6" t="s">
        <v>63</v>
      </c>
      <c r="I626" s="6" t="str">
        <f aca="false">IF(A626&lt;Outliers!$E$6,"Low",IF(A626&gt;Outliers!$F$6,"High",""))</f>
        <v/>
      </c>
      <c r="J626" s="6" t="str">
        <f aca="false">IF(B626&lt;Outliers!$E$7,"Low",IF(B626&gt;Outliers!$F$7,"High",""))</f>
        <v/>
      </c>
      <c r="K626" s="6" t="str">
        <f aca="false">IF(C626&lt;Outliers!$E$8,"Low",IF(C626&gt;Outliers!$F$8,"High",""))</f>
        <v/>
      </c>
      <c r="L626" s="6" t="str">
        <f aca="false">A626&amp;";"&amp;B626&amp;";"&amp;C626</f>
        <v>28.95172351;56.51103293;23.0637363273998</v>
      </c>
      <c r="M626" s="6" t="n">
        <f aca="false">IF(COUNTIF($L$2:$L$2201,L626)&gt;1,1,0)</f>
        <v>0</v>
      </c>
      <c r="N626" s="6" t="str">
        <f aca="false">IF(AND(C626&lt;Assumptions!$B$9,B626&lt;Assumptions!$B$10),"Irrigate Now",IF(AND(C626&gt;=Assumptions!$B$11,B626&gt;=Assumptions!$B$12),"No Irrigation Needed","Monitor"))</f>
        <v>Monitor</v>
      </c>
      <c r="O626" s="6" t="n">
        <f aca="false">IF(N626=G626,1,0)</f>
        <v>1</v>
      </c>
    </row>
    <row r="627" customFormat="false" ht="15" hidden="false" customHeight="false" outlineLevel="0" collapsed="false">
      <c r="A627" s="16" t="n">
        <v>28.18837136</v>
      </c>
      <c r="B627" s="16" t="n">
        <v>37.01110438</v>
      </c>
      <c r="C627" s="16" t="n">
        <v>10.772525820213</v>
      </c>
      <c r="D627" s="6" t="s">
        <v>57</v>
      </c>
      <c r="E627" s="6" t="s">
        <v>23</v>
      </c>
      <c r="F627" s="6" t="s">
        <v>24</v>
      </c>
      <c r="G627" s="6" t="s">
        <v>64</v>
      </c>
      <c r="H627" s="6" t="s">
        <v>65</v>
      </c>
      <c r="I627" s="6" t="str">
        <f aca="false">IF(A627&lt;Outliers!$E$6,"Low",IF(A627&gt;Outliers!$F$6,"High",""))</f>
        <v/>
      </c>
      <c r="J627" s="6" t="str">
        <f aca="false">IF(B627&lt;Outliers!$E$7,"Low",IF(B627&gt;Outliers!$F$7,"High",""))</f>
        <v/>
      </c>
      <c r="K627" s="6" t="str">
        <f aca="false">IF(C627&lt;Outliers!$E$8,"Low",IF(C627&gt;Outliers!$F$8,"High",""))</f>
        <v/>
      </c>
      <c r="L627" s="6" t="str">
        <f aca="false">A627&amp;";"&amp;B627&amp;";"&amp;C627</f>
        <v>28.18837136;37.01110438;10.772525820213</v>
      </c>
      <c r="M627" s="6" t="n">
        <f aca="false">IF(COUNTIF($L$2:$L$2201,L627)&gt;1,1,0)</f>
        <v>0</v>
      </c>
      <c r="N627" s="6" t="str">
        <f aca="false">IF(AND(C627&lt;Assumptions!$B$9,B627&lt;Assumptions!$B$10),"Irrigate Now",IF(AND(C627&gt;=Assumptions!$B$11,B627&gt;=Assumptions!$B$12),"No Irrigation Needed","Monitor"))</f>
        <v>Irrigate Now</v>
      </c>
      <c r="O627" s="6" t="n">
        <f aca="false">IF(N627=G627,1,0)</f>
        <v>1</v>
      </c>
    </row>
    <row r="628" customFormat="false" ht="15" hidden="false" customHeight="false" outlineLevel="0" collapsed="false">
      <c r="A628" s="16" t="n">
        <v>28.30041493</v>
      </c>
      <c r="B628" s="16" t="n">
        <v>50.47333854</v>
      </c>
      <c r="C628" s="16" t="n">
        <v>12.3520777226332</v>
      </c>
      <c r="D628" s="6" t="s">
        <v>57</v>
      </c>
      <c r="E628" s="6" t="s">
        <v>57</v>
      </c>
      <c r="F628" s="6" t="s">
        <v>24</v>
      </c>
      <c r="G628" s="6" t="s">
        <v>64</v>
      </c>
      <c r="H628" s="6" t="s">
        <v>65</v>
      </c>
      <c r="I628" s="6" t="str">
        <f aca="false">IF(A628&lt;Outliers!$E$6,"Low",IF(A628&gt;Outliers!$F$6,"High",""))</f>
        <v/>
      </c>
      <c r="J628" s="6" t="str">
        <f aca="false">IF(B628&lt;Outliers!$E$7,"Low",IF(B628&gt;Outliers!$F$7,"High",""))</f>
        <v/>
      </c>
      <c r="K628" s="6" t="str">
        <f aca="false">IF(C628&lt;Outliers!$E$8,"Low",IF(C628&gt;Outliers!$F$8,"High",""))</f>
        <v/>
      </c>
      <c r="L628" s="6" t="str">
        <f aca="false">A628&amp;";"&amp;B628&amp;";"&amp;C628</f>
        <v>28.30041493;50.47333854;12.3520777226332</v>
      </c>
      <c r="M628" s="6" t="n">
        <f aca="false">IF(COUNTIF($L$2:$L$2201,L628)&gt;1,1,0)</f>
        <v>0</v>
      </c>
      <c r="N628" s="6" t="str">
        <f aca="false">IF(AND(C628&lt;Assumptions!$B$9,B628&lt;Assumptions!$B$10),"Irrigate Now",IF(AND(C628&gt;=Assumptions!$B$11,B628&gt;=Assumptions!$B$12),"No Irrigation Needed","Monitor"))</f>
        <v>Irrigate Now</v>
      </c>
      <c r="O628" s="6" t="n">
        <f aca="false">IF(N628=G628,1,0)</f>
        <v>1</v>
      </c>
    </row>
    <row r="629" customFormat="false" ht="15" hidden="false" customHeight="false" outlineLevel="0" collapsed="false">
      <c r="A629" s="16" t="n">
        <v>27.89636126</v>
      </c>
      <c r="B629" s="16" t="n">
        <v>57.79863368</v>
      </c>
      <c r="C629" s="16" t="n">
        <v>24.2262194563796</v>
      </c>
      <c r="D629" s="6" t="s">
        <v>57</v>
      </c>
      <c r="E629" s="6" t="s">
        <v>57</v>
      </c>
      <c r="F629" s="6" t="s">
        <v>60</v>
      </c>
      <c r="G629" s="6" t="s">
        <v>61</v>
      </c>
      <c r="H629" s="6" t="s">
        <v>63</v>
      </c>
      <c r="I629" s="6" t="str">
        <f aca="false">IF(A629&lt;Outliers!$E$6,"Low",IF(A629&gt;Outliers!$F$6,"High",""))</f>
        <v/>
      </c>
      <c r="J629" s="6" t="str">
        <f aca="false">IF(B629&lt;Outliers!$E$7,"Low",IF(B629&gt;Outliers!$F$7,"High",""))</f>
        <v/>
      </c>
      <c r="K629" s="6" t="str">
        <f aca="false">IF(C629&lt;Outliers!$E$8,"Low",IF(C629&gt;Outliers!$F$8,"High",""))</f>
        <v/>
      </c>
      <c r="L629" s="6" t="str">
        <f aca="false">A629&amp;";"&amp;B629&amp;";"&amp;C629</f>
        <v>27.89636126;57.79863368;24.2262194563796</v>
      </c>
      <c r="M629" s="6" t="n">
        <f aca="false">IF(COUNTIF($L$2:$L$2201,L629)&gt;1,1,0)</f>
        <v>0</v>
      </c>
      <c r="N629" s="6" t="str">
        <f aca="false">IF(AND(C629&lt;Assumptions!$B$9,B629&lt;Assumptions!$B$10),"Irrigate Now",IF(AND(C629&gt;=Assumptions!$B$11,B629&gt;=Assumptions!$B$12),"No Irrigation Needed","Monitor"))</f>
        <v>Monitor</v>
      </c>
      <c r="O629" s="6" t="n">
        <f aca="false">IF(N629=G629,1,0)</f>
        <v>1</v>
      </c>
    </row>
    <row r="630" customFormat="false" ht="15" hidden="false" customHeight="false" outlineLevel="0" collapsed="false">
      <c r="A630" s="16" t="n">
        <v>28.6899851</v>
      </c>
      <c r="B630" s="16" t="n">
        <v>44.56598352</v>
      </c>
      <c r="C630" s="16" t="n">
        <v>13.9450820226225</v>
      </c>
      <c r="D630" s="6" t="s">
        <v>57</v>
      </c>
      <c r="E630" s="6" t="s">
        <v>23</v>
      </c>
      <c r="F630" s="6" t="s">
        <v>24</v>
      </c>
      <c r="G630" s="6" t="s">
        <v>64</v>
      </c>
      <c r="H630" s="6" t="s">
        <v>65</v>
      </c>
      <c r="I630" s="6" t="str">
        <f aca="false">IF(A630&lt;Outliers!$E$6,"Low",IF(A630&gt;Outliers!$F$6,"High",""))</f>
        <v/>
      </c>
      <c r="J630" s="6" t="str">
        <f aca="false">IF(B630&lt;Outliers!$E$7,"Low",IF(B630&gt;Outliers!$F$7,"High",""))</f>
        <v/>
      </c>
      <c r="K630" s="6" t="str">
        <f aca="false">IF(C630&lt;Outliers!$E$8,"Low",IF(C630&gt;Outliers!$F$8,"High",""))</f>
        <v/>
      </c>
      <c r="L630" s="6" t="str">
        <f aca="false">A630&amp;";"&amp;B630&amp;";"&amp;C630</f>
        <v>28.6899851;44.56598352;13.9450820226225</v>
      </c>
      <c r="M630" s="6" t="n">
        <f aca="false">IF(COUNTIF($L$2:$L$2201,L630)&gt;1,1,0)</f>
        <v>0</v>
      </c>
      <c r="N630" s="6" t="str">
        <f aca="false">IF(AND(C630&lt;Assumptions!$B$9,B630&lt;Assumptions!$B$10),"Irrigate Now",IF(AND(C630&gt;=Assumptions!$B$11,B630&gt;=Assumptions!$B$12),"No Irrigation Needed","Monitor"))</f>
        <v>Irrigate Now</v>
      </c>
      <c r="O630" s="6" t="n">
        <f aca="false">IF(N630=G630,1,0)</f>
        <v>1</v>
      </c>
    </row>
    <row r="631" customFormat="false" ht="15" hidden="false" customHeight="false" outlineLevel="0" collapsed="false">
      <c r="A631" s="16" t="n">
        <v>27.8262623</v>
      </c>
      <c r="B631" s="16" t="n">
        <v>56.68833819</v>
      </c>
      <c r="C631" s="16" t="n">
        <v>23.6793713551014</v>
      </c>
      <c r="D631" s="6" t="s">
        <v>57</v>
      </c>
      <c r="E631" s="6" t="s">
        <v>57</v>
      </c>
      <c r="F631" s="6" t="s">
        <v>60</v>
      </c>
      <c r="G631" s="6" t="s">
        <v>61</v>
      </c>
      <c r="H631" s="6" t="s">
        <v>63</v>
      </c>
      <c r="I631" s="6" t="str">
        <f aca="false">IF(A631&lt;Outliers!$E$6,"Low",IF(A631&gt;Outliers!$F$6,"High",""))</f>
        <v/>
      </c>
      <c r="J631" s="6" t="str">
        <f aca="false">IF(B631&lt;Outliers!$E$7,"Low",IF(B631&gt;Outliers!$F$7,"High",""))</f>
        <v/>
      </c>
      <c r="K631" s="6" t="str">
        <f aca="false">IF(C631&lt;Outliers!$E$8,"Low",IF(C631&gt;Outliers!$F$8,"High",""))</f>
        <v/>
      </c>
      <c r="L631" s="6" t="str">
        <f aca="false">A631&amp;";"&amp;B631&amp;";"&amp;C631</f>
        <v>27.8262623;56.68833819;23.6793713551014</v>
      </c>
      <c r="M631" s="6" t="n">
        <f aca="false">IF(COUNTIF($L$2:$L$2201,L631)&gt;1,1,0)</f>
        <v>0</v>
      </c>
      <c r="N631" s="6" t="str">
        <f aca="false">IF(AND(C631&lt;Assumptions!$B$9,B631&lt;Assumptions!$B$10),"Irrigate Now",IF(AND(C631&gt;=Assumptions!$B$11,B631&gt;=Assumptions!$B$12),"No Irrigation Needed","Monitor"))</f>
        <v>Monitor</v>
      </c>
      <c r="O631" s="6" t="n">
        <f aca="false">IF(N631=G631,1,0)</f>
        <v>1</v>
      </c>
    </row>
    <row r="632" customFormat="false" ht="15" hidden="false" customHeight="false" outlineLevel="0" collapsed="false">
      <c r="A632" s="16" t="n">
        <v>28.70562673</v>
      </c>
      <c r="B632" s="16" t="n">
        <v>59.87065439</v>
      </c>
      <c r="C632" s="16" t="n">
        <v>10.80616462674</v>
      </c>
      <c r="D632" s="6" t="s">
        <v>57</v>
      </c>
      <c r="E632" s="6" t="s">
        <v>57</v>
      </c>
      <c r="F632" s="6" t="s">
        <v>24</v>
      </c>
      <c r="G632" s="6" t="s">
        <v>64</v>
      </c>
      <c r="H632" s="6" t="s">
        <v>65</v>
      </c>
      <c r="I632" s="6" t="str">
        <f aca="false">IF(A632&lt;Outliers!$E$6,"Low",IF(A632&gt;Outliers!$F$6,"High",""))</f>
        <v/>
      </c>
      <c r="J632" s="6" t="str">
        <f aca="false">IF(B632&lt;Outliers!$E$7,"Low",IF(B632&gt;Outliers!$F$7,"High",""))</f>
        <v/>
      </c>
      <c r="K632" s="6" t="str">
        <f aca="false">IF(C632&lt;Outliers!$E$8,"Low",IF(C632&gt;Outliers!$F$8,"High",""))</f>
        <v/>
      </c>
      <c r="L632" s="6" t="str">
        <f aca="false">A632&amp;";"&amp;B632&amp;";"&amp;C632</f>
        <v>28.70562673;59.87065439;10.80616462674</v>
      </c>
      <c r="M632" s="6" t="n">
        <f aca="false">IF(COUNTIF($L$2:$L$2201,L632)&gt;1,1,0)</f>
        <v>0</v>
      </c>
      <c r="N632" s="6" t="str">
        <f aca="false">IF(AND(C632&lt;Assumptions!$B$9,B632&lt;Assumptions!$B$10),"Irrigate Now",IF(AND(C632&gt;=Assumptions!$B$11,B632&gt;=Assumptions!$B$12),"No Irrigation Needed","Monitor"))</f>
        <v>Irrigate Now</v>
      </c>
      <c r="O632" s="6" t="n">
        <f aca="false">IF(N632=G632,1,0)</f>
        <v>1</v>
      </c>
    </row>
    <row r="633" customFormat="false" ht="15" hidden="false" customHeight="false" outlineLevel="0" collapsed="false">
      <c r="A633" s="16" t="n">
        <v>28.6362812</v>
      </c>
      <c r="B633" s="16" t="n">
        <v>48.48319335</v>
      </c>
      <c r="C633" s="16" t="n">
        <v>23.8833069562981</v>
      </c>
      <c r="D633" s="6" t="s">
        <v>57</v>
      </c>
      <c r="E633" s="6" t="s">
        <v>23</v>
      </c>
      <c r="F633" s="6" t="s">
        <v>60</v>
      </c>
      <c r="G633" s="6" t="s">
        <v>61</v>
      </c>
      <c r="H633" s="6" t="s">
        <v>63</v>
      </c>
      <c r="I633" s="6" t="str">
        <f aca="false">IF(A633&lt;Outliers!$E$6,"Low",IF(A633&gt;Outliers!$F$6,"High",""))</f>
        <v/>
      </c>
      <c r="J633" s="6" t="str">
        <f aca="false">IF(B633&lt;Outliers!$E$7,"Low",IF(B633&gt;Outliers!$F$7,"High",""))</f>
        <v/>
      </c>
      <c r="K633" s="6" t="str">
        <f aca="false">IF(C633&lt;Outliers!$E$8,"Low",IF(C633&gt;Outliers!$F$8,"High",""))</f>
        <v/>
      </c>
      <c r="L633" s="6" t="str">
        <f aca="false">A633&amp;";"&amp;B633&amp;";"&amp;C633</f>
        <v>28.6362812;48.48319335;23.8833069562981</v>
      </c>
      <c r="M633" s="6" t="n">
        <f aca="false">IF(COUNTIF($L$2:$L$2201,L633)&gt;1,1,0)</f>
        <v>0</v>
      </c>
      <c r="N633" s="6" t="str">
        <f aca="false">IF(AND(C633&lt;Assumptions!$B$9,B633&lt;Assumptions!$B$10),"Irrigate Now",IF(AND(C633&gt;=Assumptions!$B$11,B633&gt;=Assumptions!$B$12),"No Irrigation Needed","Monitor"))</f>
        <v>Monitor</v>
      </c>
      <c r="O633" s="6" t="n">
        <f aca="false">IF(N633=G633,1,0)</f>
        <v>1</v>
      </c>
    </row>
    <row r="634" customFormat="false" ht="15" hidden="false" customHeight="false" outlineLevel="0" collapsed="false">
      <c r="A634" s="16" t="n">
        <v>28.28511547</v>
      </c>
      <c r="B634" s="16" t="n">
        <v>48.56690235</v>
      </c>
      <c r="C634" s="16" t="n">
        <v>25.7204693449166</v>
      </c>
      <c r="D634" s="6" t="s">
        <v>57</v>
      </c>
      <c r="E634" s="6" t="s">
        <v>23</v>
      </c>
      <c r="F634" s="6" t="s">
        <v>60</v>
      </c>
      <c r="G634" s="6" t="s">
        <v>61</v>
      </c>
      <c r="H634" s="6" t="s">
        <v>63</v>
      </c>
      <c r="I634" s="6" t="str">
        <f aca="false">IF(A634&lt;Outliers!$E$6,"Low",IF(A634&gt;Outliers!$F$6,"High",""))</f>
        <v/>
      </c>
      <c r="J634" s="6" t="str">
        <f aca="false">IF(B634&lt;Outliers!$E$7,"Low",IF(B634&gt;Outliers!$F$7,"High",""))</f>
        <v/>
      </c>
      <c r="K634" s="6" t="str">
        <f aca="false">IF(C634&lt;Outliers!$E$8,"Low",IF(C634&gt;Outliers!$F$8,"High",""))</f>
        <v/>
      </c>
      <c r="L634" s="6" t="str">
        <f aca="false">A634&amp;";"&amp;B634&amp;";"&amp;C634</f>
        <v>28.28511547;48.56690235;25.7204693449166</v>
      </c>
      <c r="M634" s="6" t="n">
        <f aca="false">IF(COUNTIF($L$2:$L$2201,L634)&gt;1,1,0)</f>
        <v>0</v>
      </c>
      <c r="N634" s="6" t="str">
        <f aca="false">IF(AND(C634&lt;Assumptions!$B$9,B634&lt;Assumptions!$B$10),"Irrigate Now",IF(AND(C634&gt;=Assumptions!$B$11,B634&gt;=Assumptions!$B$12),"No Irrigation Needed","Monitor"))</f>
        <v>Monitor</v>
      </c>
      <c r="O634" s="6" t="n">
        <f aca="false">IF(N634=G634,1,0)</f>
        <v>1</v>
      </c>
    </row>
    <row r="635" customFormat="false" ht="15" hidden="false" customHeight="false" outlineLevel="0" collapsed="false">
      <c r="A635" s="16" t="n">
        <v>27.60887393</v>
      </c>
      <c r="B635" s="16" t="n">
        <v>43.80041104</v>
      </c>
      <c r="C635" s="16" t="n">
        <v>16.4592143486817</v>
      </c>
      <c r="D635" s="6" t="s">
        <v>57</v>
      </c>
      <c r="E635" s="6" t="s">
        <v>23</v>
      </c>
      <c r="F635" s="6" t="s">
        <v>24</v>
      </c>
      <c r="G635" s="6" t="s">
        <v>64</v>
      </c>
      <c r="H635" s="6" t="s">
        <v>65</v>
      </c>
      <c r="I635" s="6" t="str">
        <f aca="false">IF(A635&lt;Outliers!$E$6,"Low",IF(A635&gt;Outliers!$F$6,"High",""))</f>
        <v/>
      </c>
      <c r="J635" s="6" t="str">
        <f aca="false">IF(B635&lt;Outliers!$E$7,"Low",IF(B635&gt;Outliers!$F$7,"High",""))</f>
        <v/>
      </c>
      <c r="K635" s="6" t="str">
        <f aca="false">IF(C635&lt;Outliers!$E$8,"Low",IF(C635&gt;Outliers!$F$8,"High",""))</f>
        <v/>
      </c>
      <c r="L635" s="6" t="str">
        <f aca="false">A635&amp;";"&amp;B635&amp;";"&amp;C635</f>
        <v>27.60887393;43.80041104;16.4592143486817</v>
      </c>
      <c r="M635" s="6" t="n">
        <f aca="false">IF(COUNTIF($L$2:$L$2201,L635)&gt;1,1,0)</f>
        <v>0</v>
      </c>
      <c r="N635" s="6" t="str">
        <f aca="false">IF(AND(C635&lt;Assumptions!$B$9,B635&lt;Assumptions!$B$10),"Irrigate Now",IF(AND(C635&gt;=Assumptions!$B$11,B635&gt;=Assumptions!$B$12),"No Irrigation Needed","Monitor"))</f>
        <v>Irrigate Now</v>
      </c>
      <c r="O635" s="6" t="n">
        <f aca="false">IF(N635=G635,1,0)</f>
        <v>1</v>
      </c>
    </row>
    <row r="636" customFormat="false" ht="15" hidden="false" customHeight="false" outlineLevel="0" collapsed="false">
      <c r="A636" s="16" t="n">
        <v>28.60901145</v>
      </c>
      <c r="B636" s="16" t="n">
        <v>36.94616965</v>
      </c>
      <c r="C636" s="16" t="n">
        <v>23.5687109943707</v>
      </c>
      <c r="D636" s="6" t="s">
        <v>57</v>
      </c>
      <c r="E636" s="6" t="s">
        <v>23</v>
      </c>
      <c r="F636" s="6" t="s">
        <v>60</v>
      </c>
      <c r="G636" s="6" t="s">
        <v>61</v>
      </c>
      <c r="H636" s="6" t="s">
        <v>63</v>
      </c>
      <c r="I636" s="6" t="str">
        <f aca="false">IF(A636&lt;Outliers!$E$6,"Low",IF(A636&gt;Outliers!$F$6,"High",""))</f>
        <v/>
      </c>
      <c r="J636" s="6" t="str">
        <f aca="false">IF(B636&lt;Outliers!$E$7,"Low",IF(B636&gt;Outliers!$F$7,"High",""))</f>
        <v/>
      </c>
      <c r="K636" s="6" t="str">
        <f aca="false">IF(C636&lt;Outliers!$E$8,"Low",IF(C636&gt;Outliers!$F$8,"High",""))</f>
        <v/>
      </c>
      <c r="L636" s="6" t="str">
        <f aca="false">A636&amp;";"&amp;B636&amp;";"&amp;C636</f>
        <v>28.60901145;36.94616965;23.5687109943707</v>
      </c>
      <c r="M636" s="6" t="n">
        <f aca="false">IF(COUNTIF($L$2:$L$2201,L636)&gt;1,1,0)</f>
        <v>0</v>
      </c>
      <c r="N636" s="6" t="str">
        <f aca="false">IF(AND(C636&lt;Assumptions!$B$9,B636&lt;Assumptions!$B$10),"Irrigate Now",IF(AND(C636&gt;=Assumptions!$B$11,B636&gt;=Assumptions!$B$12),"No Irrigation Needed","Monitor"))</f>
        <v>Monitor</v>
      </c>
      <c r="O636" s="6" t="n">
        <f aca="false">IF(N636=G636,1,0)</f>
        <v>1</v>
      </c>
    </row>
    <row r="637" customFormat="false" ht="15" hidden="false" customHeight="false" outlineLevel="0" collapsed="false">
      <c r="A637" s="16" t="n">
        <v>29.24598976</v>
      </c>
      <c r="B637" s="16" t="n">
        <v>53.43228915</v>
      </c>
      <c r="C637" s="16" t="n">
        <v>19.5780791870989</v>
      </c>
      <c r="D637" s="6" t="s">
        <v>57</v>
      </c>
      <c r="E637" s="6" t="s">
        <v>57</v>
      </c>
      <c r="F637" s="6" t="s">
        <v>60</v>
      </c>
      <c r="G637" s="6" t="s">
        <v>61</v>
      </c>
      <c r="H637" s="6" t="s">
        <v>63</v>
      </c>
      <c r="I637" s="6" t="str">
        <f aca="false">IF(A637&lt;Outliers!$E$6,"Low",IF(A637&gt;Outliers!$F$6,"High",""))</f>
        <v/>
      </c>
      <c r="J637" s="6" t="str">
        <f aca="false">IF(B637&lt;Outliers!$E$7,"Low",IF(B637&gt;Outliers!$F$7,"High",""))</f>
        <v/>
      </c>
      <c r="K637" s="6" t="str">
        <f aca="false">IF(C637&lt;Outliers!$E$8,"Low",IF(C637&gt;Outliers!$F$8,"High",""))</f>
        <v/>
      </c>
      <c r="L637" s="6" t="str">
        <f aca="false">A637&amp;";"&amp;B637&amp;";"&amp;C637</f>
        <v>29.24598976;53.43228915;19.5780791870989</v>
      </c>
      <c r="M637" s="6" t="n">
        <f aca="false">IF(COUNTIF($L$2:$L$2201,L637)&gt;1,1,0)</f>
        <v>0</v>
      </c>
      <c r="N637" s="6" t="str">
        <f aca="false">IF(AND(C637&lt;Assumptions!$B$9,B637&lt;Assumptions!$B$10),"Irrigate Now",IF(AND(C637&gt;=Assumptions!$B$11,B637&gt;=Assumptions!$B$12),"No Irrigation Needed","Monitor"))</f>
        <v>Monitor</v>
      </c>
      <c r="O637" s="6" t="n">
        <f aca="false">IF(N637=G637,1,0)</f>
        <v>1</v>
      </c>
    </row>
    <row r="638" customFormat="false" ht="15" hidden="false" customHeight="false" outlineLevel="0" collapsed="false">
      <c r="A638" s="16" t="n">
        <v>28.62911222</v>
      </c>
      <c r="B638" s="16" t="n">
        <v>50.49913241</v>
      </c>
      <c r="C638" s="16" t="n">
        <v>27.9019710351263</v>
      </c>
      <c r="D638" s="6" t="s">
        <v>57</v>
      </c>
      <c r="E638" s="6" t="s">
        <v>57</v>
      </c>
      <c r="F638" s="6" t="s">
        <v>23</v>
      </c>
      <c r="G638" s="6" t="s">
        <v>61</v>
      </c>
      <c r="H638" s="6" t="s">
        <v>63</v>
      </c>
      <c r="I638" s="6" t="str">
        <f aca="false">IF(A638&lt;Outliers!$E$6,"Low",IF(A638&gt;Outliers!$F$6,"High",""))</f>
        <v/>
      </c>
      <c r="J638" s="6" t="str">
        <f aca="false">IF(B638&lt;Outliers!$E$7,"Low",IF(B638&gt;Outliers!$F$7,"High",""))</f>
        <v/>
      </c>
      <c r="K638" s="6" t="str">
        <f aca="false">IF(C638&lt;Outliers!$E$8,"Low",IF(C638&gt;Outliers!$F$8,"High",""))</f>
        <v/>
      </c>
      <c r="L638" s="6" t="str">
        <f aca="false">A638&amp;";"&amp;B638&amp;";"&amp;C638</f>
        <v>28.62911222;50.49913241;27.9019710351263</v>
      </c>
      <c r="M638" s="6" t="n">
        <f aca="false">IF(COUNTIF($L$2:$L$2201,L638)&gt;1,1,0)</f>
        <v>0</v>
      </c>
      <c r="N638" s="6" t="str">
        <f aca="false">IF(AND(C638&lt;Assumptions!$B$9,B638&lt;Assumptions!$B$10),"Irrigate Now",IF(AND(C638&gt;=Assumptions!$B$11,B638&gt;=Assumptions!$B$12),"No Irrigation Needed","Monitor"))</f>
        <v>Monitor</v>
      </c>
      <c r="O638" s="6" t="n">
        <f aca="false">IF(N638=G638,1,0)</f>
        <v>1</v>
      </c>
    </row>
    <row r="639" customFormat="false" ht="15" hidden="false" customHeight="false" outlineLevel="0" collapsed="false">
      <c r="A639" s="16" t="n">
        <v>29.57329479</v>
      </c>
      <c r="B639" s="16" t="n">
        <v>45.04467075</v>
      </c>
      <c r="C639" s="16" t="n">
        <v>24.7975933067005</v>
      </c>
      <c r="D639" s="6" t="s">
        <v>57</v>
      </c>
      <c r="E639" s="6" t="s">
        <v>23</v>
      </c>
      <c r="F639" s="6" t="s">
        <v>60</v>
      </c>
      <c r="G639" s="6" t="s">
        <v>61</v>
      </c>
      <c r="H639" s="6" t="s">
        <v>63</v>
      </c>
      <c r="I639" s="6" t="str">
        <f aca="false">IF(A639&lt;Outliers!$E$6,"Low",IF(A639&gt;Outliers!$F$6,"High",""))</f>
        <v/>
      </c>
      <c r="J639" s="6" t="str">
        <f aca="false">IF(B639&lt;Outliers!$E$7,"Low",IF(B639&gt;Outliers!$F$7,"High",""))</f>
        <v/>
      </c>
      <c r="K639" s="6" t="str">
        <f aca="false">IF(C639&lt;Outliers!$E$8,"Low",IF(C639&gt;Outliers!$F$8,"High",""))</f>
        <v/>
      </c>
      <c r="L639" s="6" t="str">
        <f aca="false">A639&amp;";"&amp;B639&amp;";"&amp;C639</f>
        <v>29.57329479;45.04467075;24.7975933067005</v>
      </c>
      <c r="M639" s="6" t="n">
        <f aca="false">IF(COUNTIF($L$2:$L$2201,L639)&gt;1,1,0)</f>
        <v>0</v>
      </c>
      <c r="N639" s="6" t="str">
        <f aca="false">IF(AND(C639&lt;Assumptions!$B$9,B639&lt;Assumptions!$B$10),"Irrigate Now",IF(AND(C639&gt;=Assumptions!$B$11,B639&gt;=Assumptions!$B$12),"No Irrigation Needed","Monitor"))</f>
        <v>Monitor</v>
      </c>
      <c r="O639" s="6" t="n">
        <f aca="false">IF(N639=G639,1,0)</f>
        <v>1</v>
      </c>
    </row>
    <row r="640" customFormat="false" ht="15" hidden="false" customHeight="false" outlineLevel="0" collapsed="false">
      <c r="A640" s="16" t="n">
        <v>27.82684262</v>
      </c>
      <c r="B640" s="16" t="n">
        <v>58.37249772</v>
      </c>
      <c r="C640" s="16" t="n">
        <v>21.6043148063039</v>
      </c>
      <c r="D640" s="6" t="s">
        <v>57</v>
      </c>
      <c r="E640" s="6" t="s">
        <v>57</v>
      </c>
      <c r="F640" s="6" t="s">
        <v>60</v>
      </c>
      <c r="G640" s="6" t="s">
        <v>61</v>
      </c>
      <c r="H640" s="6" t="s">
        <v>63</v>
      </c>
      <c r="I640" s="6" t="str">
        <f aca="false">IF(A640&lt;Outliers!$E$6,"Low",IF(A640&gt;Outliers!$F$6,"High",""))</f>
        <v/>
      </c>
      <c r="J640" s="6" t="str">
        <f aca="false">IF(B640&lt;Outliers!$E$7,"Low",IF(B640&gt;Outliers!$F$7,"High",""))</f>
        <v/>
      </c>
      <c r="K640" s="6" t="str">
        <f aca="false">IF(C640&lt;Outliers!$E$8,"Low",IF(C640&gt;Outliers!$F$8,"High",""))</f>
        <v/>
      </c>
      <c r="L640" s="6" t="str">
        <f aca="false">A640&amp;";"&amp;B640&amp;";"&amp;C640</f>
        <v>27.82684262;58.37249772;21.6043148063039</v>
      </c>
      <c r="M640" s="6" t="n">
        <f aca="false">IF(COUNTIF($L$2:$L$2201,L640)&gt;1,1,0)</f>
        <v>0</v>
      </c>
      <c r="N640" s="6" t="str">
        <f aca="false">IF(AND(C640&lt;Assumptions!$B$9,B640&lt;Assumptions!$B$10),"Irrigate Now",IF(AND(C640&gt;=Assumptions!$B$11,B640&gt;=Assumptions!$B$12),"No Irrigation Needed","Monitor"))</f>
        <v>Monitor</v>
      </c>
      <c r="O640" s="6" t="n">
        <f aca="false">IF(N640=G640,1,0)</f>
        <v>1</v>
      </c>
    </row>
    <row r="641" customFormat="false" ht="15" hidden="false" customHeight="false" outlineLevel="0" collapsed="false">
      <c r="A641" s="16" t="n">
        <v>29.8757015</v>
      </c>
      <c r="B641" s="16" t="n">
        <v>40.12044158</v>
      </c>
      <c r="C641" s="16" t="n">
        <v>22.5801603262697</v>
      </c>
      <c r="D641" s="6" t="s">
        <v>57</v>
      </c>
      <c r="E641" s="6" t="s">
        <v>23</v>
      </c>
      <c r="F641" s="6" t="s">
        <v>60</v>
      </c>
      <c r="G641" s="6" t="s">
        <v>61</v>
      </c>
      <c r="H641" s="6" t="s">
        <v>63</v>
      </c>
      <c r="I641" s="6" t="str">
        <f aca="false">IF(A641&lt;Outliers!$E$6,"Low",IF(A641&gt;Outliers!$F$6,"High",""))</f>
        <v/>
      </c>
      <c r="J641" s="6" t="str">
        <f aca="false">IF(B641&lt;Outliers!$E$7,"Low",IF(B641&gt;Outliers!$F$7,"High",""))</f>
        <v/>
      </c>
      <c r="K641" s="6" t="str">
        <f aca="false">IF(C641&lt;Outliers!$E$8,"Low",IF(C641&gt;Outliers!$F$8,"High",""))</f>
        <v/>
      </c>
      <c r="L641" s="6" t="str">
        <f aca="false">A641&amp;";"&amp;B641&amp;";"&amp;C641</f>
        <v>29.8757015;40.12044158;22.5801603262697</v>
      </c>
      <c r="M641" s="6" t="n">
        <f aca="false">IF(COUNTIF($L$2:$L$2201,L641)&gt;1,1,0)</f>
        <v>0</v>
      </c>
      <c r="N641" s="6" t="str">
        <f aca="false">IF(AND(C641&lt;Assumptions!$B$9,B641&lt;Assumptions!$B$10),"Irrigate Now",IF(AND(C641&gt;=Assumptions!$B$11,B641&gt;=Assumptions!$B$12),"No Irrigation Needed","Monitor"))</f>
        <v>Monitor</v>
      </c>
      <c r="O641" s="6" t="n">
        <f aca="false">IF(N641=G641,1,0)</f>
        <v>1</v>
      </c>
    </row>
    <row r="642" customFormat="false" ht="15" hidden="false" customHeight="false" outlineLevel="0" collapsed="false">
      <c r="A642" s="16" t="n">
        <v>27.33684386</v>
      </c>
      <c r="B642" s="16" t="n">
        <v>51.09802625</v>
      </c>
      <c r="C642" s="16" t="n">
        <v>16.9934299548237</v>
      </c>
      <c r="D642" s="6" t="s">
        <v>57</v>
      </c>
      <c r="E642" s="6" t="s">
        <v>57</v>
      </c>
      <c r="F642" s="6" t="s">
        <v>24</v>
      </c>
      <c r="G642" s="6" t="s">
        <v>64</v>
      </c>
      <c r="H642" s="6" t="s">
        <v>65</v>
      </c>
      <c r="I642" s="6" t="str">
        <f aca="false">IF(A642&lt;Outliers!$E$6,"Low",IF(A642&gt;Outliers!$F$6,"High",""))</f>
        <v/>
      </c>
      <c r="J642" s="6" t="str">
        <f aca="false">IF(B642&lt;Outliers!$E$7,"Low",IF(B642&gt;Outliers!$F$7,"High",""))</f>
        <v/>
      </c>
      <c r="K642" s="6" t="str">
        <f aca="false">IF(C642&lt;Outliers!$E$8,"Low",IF(C642&gt;Outliers!$F$8,"High",""))</f>
        <v/>
      </c>
      <c r="L642" s="6" t="str">
        <f aca="false">A642&amp;";"&amp;B642&amp;";"&amp;C642</f>
        <v>27.33684386;51.09802625;16.9934299548237</v>
      </c>
      <c r="M642" s="6" t="n">
        <f aca="false">IF(COUNTIF($L$2:$L$2201,L642)&gt;1,1,0)</f>
        <v>0</v>
      </c>
      <c r="N642" s="6" t="str">
        <f aca="false">IF(AND(C642&lt;Assumptions!$B$9,B642&lt;Assumptions!$B$10),"Irrigate Now",IF(AND(C642&gt;=Assumptions!$B$11,B642&gt;=Assumptions!$B$12),"No Irrigation Needed","Monitor"))</f>
        <v>Irrigate Now</v>
      </c>
      <c r="O642" s="6" t="n">
        <f aca="false">IF(N642=G642,1,0)</f>
        <v>1</v>
      </c>
    </row>
    <row r="643" customFormat="false" ht="15" hidden="false" customHeight="false" outlineLevel="0" collapsed="false">
      <c r="A643" s="16" t="n">
        <v>29.83040388</v>
      </c>
      <c r="B643" s="16" t="n">
        <v>58.86687093</v>
      </c>
      <c r="C643" s="16" t="n">
        <v>18.3407853594464</v>
      </c>
      <c r="D643" s="6" t="s">
        <v>57</v>
      </c>
      <c r="E643" s="6" t="s">
        <v>57</v>
      </c>
      <c r="F643" s="6" t="s">
        <v>24</v>
      </c>
      <c r="G643" s="6" t="s">
        <v>61</v>
      </c>
      <c r="H643" s="6" t="s">
        <v>63</v>
      </c>
      <c r="I643" s="6" t="str">
        <f aca="false">IF(A643&lt;Outliers!$E$6,"Low",IF(A643&gt;Outliers!$F$6,"High",""))</f>
        <v/>
      </c>
      <c r="J643" s="6" t="str">
        <f aca="false">IF(B643&lt;Outliers!$E$7,"Low",IF(B643&gt;Outliers!$F$7,"High",""))</f>
        <v/>
      </c>
      <c r="K643" s="6" t="str">
        <f aca="false">IF(C643&lt;Outliers!$E$8,"Low",IF(C643&gt;Outliers!$F$8,"High",""))</f>
        <v/>
      </c>
      <c r="L643" s="6" t="str">
        <f aca="false">A643&amp;";"&amp;B643&amp;";"&amp;C643</f>
        <v>29.83040388;58.86687093;18.3407853594464</v>
      </c>
      <c r="M643" s="6" t="n">
        <f aca="false">IF(COUNTIF($L$2:$L$2201,L643)&gt;1,1,0)</f>
        <v>0</v>
      </c>
      <c r="N643" s="6" t="str">
        <f aca="false">IF(AND(C643&lt;Assumptions!$B$9,B643&lt;Assumptions!$B$10),"Irrigate Now",IF(AND(C643&gt;=Assumptions!$B$11,B643&gt;=Assumptions!$B$12),"No Irrigation Needed","Monitor"))</f>
        <v>Monitor</v>
      </c>
      <c r="O643" s="6" t="n">
        <f aca="false">IF(N643=G643,1,0)</f>
        <v>1</v>
      </c>
    </row>
    <row r="644" customFormat="false" ht="15" hidden="false" customHeight="false" outlineLevel="0" collapsed="false">
      <c r="A644" s="16" t="n">
        <v>28.2753171</v>
      </c>
      <c r="B644" s="16" t="n">
        <v>56.04995423</v>
      </c>
      <c r="C644" s="16" t="n">
        <v>15.5042781000888</v>
      </c>
      <c r="D644" s="6" t="s">
        <v>57</v>
      </c>
      <c r="E644" s="6" t="s">
        <v>57</v>
      </c>
      <c r="F644" s="6" t="s">
        <v>24</v>
      </c>
      <c r="G644" s="6" t="s">
        <v>64</v>
      </c>
      <c r="H644" s="6" t="s">
        <v>65</v>
      </c>
      <c r="I644" s="6" t="str">
        <f aca="false">IF(A644&lt;Outliers!$E$6,"Low",IF(A644&gt;Outliers!$F$6,"High",""))</f>
        <v/>
      </c>
      <c r="J644" s="6" t="str">
        <f aca="false">IF(B644&lt;Outliers!$E$7,"Low",IF(B644&gt;Outliers!$F$7,"High",""))</f>
        <v/>
      </c>
      <c r="K644" s="6" t="str">
        <f aca="false">IF(C644&lt;Outliers!$E$8,"Low",IF(C644&gt;Outliers!$F$8,"High",""))</f>
        <v/>
      </c>
      <c r="L644" s="6" t="str">
        <f aca="false">A644&amp;";"&amp;B644&amp;";"&amp;C644</f>
        <v>28.2753171;56.04995423;15.5042781000888</v>
      </c>
      <c r="M644" s="6" t="n">
        <f aca="false">IF(COUNTIF($L$2:$L$2201,L644)&gt;1,1,0)</f>
        <v>0</v>
      </c>
      <c r="N644" s="6" t="str">
        <f aca="false">IF(AND(C644&lt;Assumptions!$B$9,B644&lt;Assumptions!$B$10),"Irrigate Now",IF(AND(C644&gt;=Assumptions!$B$11,B644&gt;=Assumptions!$B$12),"No Irrigation Needed","Monitor"))</f>
        <v>Irrigate Now</v>
      </c>
      <c r="O644" s="6" t="n">
        <f aca="false">IF(N644=G644,1,0)</f>
        <v>1</v>
      </c>
    </row>
    <row r="645" customFormat="false" ht="15" hidden="false" customHeight="false" outlineLevel="0" collapsed="false">
      <c r="A645" s="16" t="n">
        <v>29.86860065</v>
      </c>
      <c r="B645" s="16" t="n">
        <v>58.41394143</v>
      </c>
      <c r="C645" s="16" t="n">
        <v>28.4660054480702</v>
      </c>
      <c r="D645" s="6" t="s">
        <v>57</v>
      </c>
      <c r="E645" s="6" t="s">
        <v>57</v>
      </c>
      <c r="F645" s="6" t="s">
        <v>23</v>
      </c>
      <c r="G645" s="6" t="s">
        <v>61</v>
      </c>
      <c r="H645" s="6" t="s">
        <v>63</v>
      </c>
      <c r="I645" s="6" t="str">
        <f aca="false">IF(A645&lt;Outliers!$E$6,"Low",IF(A645&gt;Outliers!$F$6,"High",""))</f>
        <v/>
      </c>
      <c r="J645" s="6" t="str">
        <f aca="false">IF(B645&lt;Outliers!$E$7,"Low",IF(B645&gt;Outliers!$F$7,"High",""))</f>
        <v/>
      </c>
      <c r="K645" s="6" t="str">
        <f aca="false">IF(C645&lt;Outliers!$E$8,"Low",IF(C645&gt;Outliers!$F$8,"High",""))</f>
        <v/>
      </c>
      <c r="L645" s="6" t="str">
        <f aca="false">A645&amp;";"&amp;B645&amp;";"&amp;C645</f>
        <v>29.86860065;58.41394143;28.4660054480702</v>
      </c>
      <c r="M645" s="6" t="n">
        <f aca="false">IF(COUNTIF($L$2:$L$2201,L645)&gt;1,1,0)</f>
        <v>0</v>
      </c>
      <c r="N645" s="6" t="str">
        <f aca="false">IF(AND(C645&lt;Assumptions!$B$9,B645&lt;Assumptions!$B$10),"Irrigate Now",IF(AND(C645&gt;=Assumptions!$B$11,B645&gt;=Assumptions!$B$12),"No Irrigation Needed","Monitor"))</f>
        <v>Monitor</v>
      </c>
      <c r="O645" s="6" t="n">
        <f aca="false">IF(N645=G645,1,0)</f>
        <v>1</v>
      </c>
    </row>
    <row r="646" customFormat="false" ht="15" hidden="false" customHeight="false" outlineLevel="0" collapsed="false">
      <c r="A646" s="16" t="n">
        <v>29.5888162</v>
      </c>
      <c r="B646" s="16" t="n">
        <v>54.96121262</v>
      </c>
      <c r="C646" s="16" t="n">
        <v>26.9724617235232</v>
      </c>
      <c r="D646" s="6" t="s">
        <v>57</v>
      </c>
      <c r="E646" s="6" t="s">
        <v>57</v>
      </c>
      <c r="F646" s="6" t="s">
        <v>23</v>
      </c>
      <c r="G646" s="6" t="s">
        <v>61</v>
      </c>
      <c r="H646" s="6" t="s">
        <v>63</v>
      </c>
      <c r="I646" s="6" t="str">
        <f aca="false">IF(A646&lt;Outliers!$E$6,"Low",IF(A646&gt;Outliers!$F$6,"High",""))</f>
        <v/>
      </c>
      <c r="J646" s="6" t="str">
        <f aca="false">IF(B646&lt;Outliers!$E$7,"Low",IF(B646&gt;Outliers!$F$7,"High",""))</f>
        <v/>
      </c>
      <c r="K646" s="6" t="str">
        <f aca="false">IF(C646&lt;Outliers!$E$8,"Low",IF(C646&gt;Outliers!$F$8,"High",""))</f>
        <v/>
      </c>
      <c r="L646" s="6" t="str">
        <f aca="false">A646&amp;";"&amp;B646&amp;";"&amp;C646</f>
        <v>29.5888162;54.96121262;26.9724617235232</v>
      </c>
      <c r="M646" s="6" t="n">
        <f aca="false">IF(COUNTIF($L$2:$L$2201,L646)&gt;1,1,0)</f>
        <v>0</v>
      </c>
      <c r="N646" s="6" t="str">
        <f aca="false">IF(AND(C646&lt;Assumptions!$B$9,B646&lt;Assumptions!$B$10),"Irrigate Now",IF(AND(C646&gt;=Assumptions!$B$11,B646&gt;=Assumptions!$B$12),"No Irrigation Needed","Monitor"))</f>
        <v>Monitor</v>
      </c>
      <c r="O646" s="6" t="n">
        <f aca="false">IF(N646=G646,1,0)</f>
        <v>1</v>
      </c>
    </row>
    <row r="647" customFormat="false" ht="15" hidden="false" customHeight="false" outlineLevel="0" collapsed="false">
      <c r="A647" s="16" t="n">
        <v>28.07219563</v>
      </c>
      <c r="B647" s="16" t="n">
        <v>49.61865305</v>
      </c>
      <c r="C647" s="16" t="n">
        <v>23.263032045834</v>
      </c>
      <c r="D647" s="6" t="s">
        <v>57</v>
      </c>
      <c r="E647" s="6" t="s">
        <v>23</v>
      </c>
      <c r="F647" s="6" t="s">
        <v>60</v>
      </c>
      <c r="G647" s="6" t="s">
        <v>61</v>
      </c>
      <c r="H647" s="6" t="s">
        <v>63</v>
      </c>
      <c r="I647" s="6" t="str">
        <f aca="false">IF(A647&lt;Outliers!$E$6,"Low",IF(A647&gt;Outliers!$F$6,"High",""))</f>
        <v/>
      </c>
      <c r="J647" s="6" t="str">
        <f aca="false">IF(B647&lt;Outliers!$E$7,"Low",IF(B647&gt;Outliers!$F$7,"High",""))</f>
        <v/>
      </c>
      <c r="K647" s="6" t="str">
        <f aca="false">IF(C647&lt;Outliers!$E$8,"Low",IF(C647&gt;Outliers!$F$8,"High",""))</f>
        <v/>
      </c>
      <c r="L647" s="6" t="str">
        <f aca="false">A647&amp;";"&amp;B647&amp;";"&amp;C647</f>
        <v>28.07219563;49.61865305;23.263032045834</v>
      </c>
      <c r="M647" s="6" t="n">
        <f aca="false">IF(COUNTIF($L$2:$L$2201,L647)&gt;1,1,0)</f>
        <v>0</v>
      </c>
      <c r="N647" s="6" t="str">
        <f aca="false">IF(AND(C647&lt;Assumptions!$B$9,B647&lt;Assumptions!$B$10),"Irrigate Now",IF(AND(C647&gt;=Assumptions!$B$11,B647&gt;=Assumptions!$B$12),"No Irrigation Needed","Monitor"))</f>
        <v>Monitor</v>
      </c>
      <c r="O647" s="6" t="n">
        <f aca="false">IF(N647=G647,1,0)</f>
        <v>1</v>
      </c>
    </row>
    <row r="648" customFormat="false" ht="15" hidden="false" customHeight="false" outlineLevel="0" collapsed="false">
      <c r="A648" s="16" t="n">
        <v>27.84026517</v>
      </c>
      <c r="B648" s="16" t="n">
        <v>52.84626009</v>
      </c>
      <c r="C648" s="16" t="n">
        <v>27.779577050348</v>
      </c>
      <c r="D648" s="6" t="s">
        <v>57</v>
      </c>
      <c r="E648" s="6" t="s">
        <v>57</v>
      </c>
      <c r="F648" s="6" t="s">
        <v>23</v>
      </c>
      <c r="G648" s="6" t="s">
        <v>61</v>
      </c>
      <c r="H648" s="6" t="s">
        <v>63</v>
      </c>
      <c r="I648" s="6" t="str">
        <f aca="false">IF(A648&lt;Outliers!$E$6,"Low",IF(A648&gt;Outliers!$F$6,"High",""))</f>
        <v/>
      </c>
      <c r="J648" s="6" t="str">
        <f aca="false">IF(B648&lt;Outliers!$E$7,"Low",IF(B648&gt;Outliers!$F$7,"High",""))</f>
        <v/>
      </c>
      <c r="K648" s="6" t="str">
        <f aca="false">IF(C648&lt;Outliers!$E$8,"Low",IF(C648&gt;Outliers!$F$8,"High",""))</f>
        <v/>
      </c>
      <c r="L648" s="6" t="str">
        <f aca="false">A648&amp;";"&amp;B648&amp;";"&amp;C648</f>
        <v>27.84026517;52.84626009;27.779577050348</v>
      </c>
      <c r="M648" s="6" t="n">
        <f aca="false">IF(COUNTIF($L$2:$L$2201,L648)&gt;1,1,0)</f>
        <v>0</v>
      </c>
      <c r="N648" s="6" t="str">
        <f aca="false">IF(AND(C648&lt;Assumptions!$B$9,B648&lt;Assumptions!$B$10),"Irrigate Now",IF(AND(C648&gt;=Assumptions!$B$11,B648&gt;=Assumptions!$B$12),"No Irrigation Needed","Monitor"))</f>
        <v>Monitor</v>
      </c>
      <c r="O648" s="6" t="n">
        <f aca="false">IF(N648=G648,1,0)</f>
        <v>1</v>
      </c>
    </row>
    <row r="649" customFormat="false" ht="15" hidden="false" customHeight="false" outlineLevel="0" collapsed="false">
      <c r="A649" s="16" t="n">
        <v>27.10818093</v>
      </c>
      <c r="B649" s="16" t="n">
        <v>55.03723979</v>
      </c>
      <c r="C649" s="16" t="n">
        <v>10.8985185124262</v>
      </c>
      <c r="D649" s="6" t="s">
        <v>57</v>
      </c>
      <c r="E649" s="6" t="s">
        <v>57</v>
      </c>
      <c r="F649" s="6" t="s">
        <v>24</v>
      </c>
      <c r="G649" s="6" t="s">
        <v>64</v>
      </c>
      <c r="H649" s="6" t="s">
        <v>65</v>
      </c>
      <c r="I649" s="6" t="str">
        <f aca="false">IF(A649&lt;Outliers!$E$6,"Low",IF(A649&gt;Outliers!$F$6,"High",""))</f>
        <v/>
      </c>
      <c r="J649" s="6" t="str">
        <f aca="false">IF(B649&lt;Outliers!$E$7,"Low",IF(B649&gt;Outliers!$F$7,"High",""))</f>
        <v/>
      </c>
      <c r="K649" s="6" t="str">
        <f aca="false">IF(C649&lt;Outliers!$E$8,"Low",IF(C649&gt;Outliers!$F$8,"High",""))</f>
        <v/>
      </c>
      <c r="L649" s="6" t="str">
        <f aca="false">A649&amp;";"&amp;B649&amp;";"&amp;C649</f>
        <v>27.10818093;55.03723979;10.8985185124262</v>
      </c>
      <c r="M649" s="6" t="n">
        <f aca="false">IF(COUNTIF($L$2:$L$2201,L649)&gt;1,1,0)</f>
        <v>0</v>
      </c>
      <c r="N649" s="6" t="str">
        <f aca="false">IF(AND(C649&lt;Assumptions!$B$9,B649&lt;Assumptions!$B$10),"Irrigate Now",IF(AND(C649&gt;=Assumptions!$B$11,B649&gt;=Assumptions!$B$12),"No Irrigation Needed","Monitor"))</f>
        <v>Irrigate Now</v>
      </c>
      <c r="O649" s="6" t="n">
        <f aca="false">IF(N649=G649,1,0)</f>
        <v>1</v>
      </c>
    </row>
    <row r="650" customFormat="false" ht="15" hidden="false" customHeight="false" outlineLevel="0" collapsed="false">
      <c r="A650" s="16" t="n">
        <v>27.68515114</v>
      </c>
      <c r="B650" s="16" t="n">
        <v>54.62243308</v>
      </c>
      <c r="C650" s="16" t="n">
        <v>23.2938658986424</v>
      </c>
      <c r="D650" s="6" t="s">
        <v>57</v>
      </c>
      <c r="E650" s="6" t="s">
        <v>57</v>
      </c>
      <c r="F650" s="6" t="s">
        <v>60</v>
      </c>
      <c r="G650" s="6" t="s">
        <v>61</v>
      </c>
      <c r="H650" s="6" t="s">
        <v>63</v>
      </c>
      <c r="I650" s="6" t="str">
        <f aca="false">IF(A650&lt;Outliers!$E$6,"Low",IF(A650&gt;Outliers!$F$6,"High",""))</f>
        <v/>
      </c>
      <c r="J650" s="6" t="str">
        <f aca="false">IF(B650&lt;Outliers!$E$7,"Low",IF(B650&gt;Outliers!$F$7,"High",""))</f>
        <v/>
      </c>
      <c r="K650" s="6" t="str">
        <f aca="false">IF(C650&lt;Outliers!$E$8,"Low",IF(C650&gt;Outliers!$F$8,"High",""))</f>
        <v/>
      </c>
      <c r="L650" s="6" t="str">
        <f aca="false">A650&amp;";"&amp;B650&amp;";"&amp;C650</f>
        <v>27.68515114;54.62243308;23.2938658986424</v>
      </c>
      <c r="M650" s="6" t="n">
        <f aca="false">IF(COUNTIF($L$2:$L$2201,L650)&gt;1,1,0)</f>
        <v>0</v>
      </c>
      <c r="N650" s="6" t="str">
        <f aca="false">IF(AND(C650&lt;Assumptions!$B$9,B650&lt;Assumptions!$B$10),"Irrigate Now",IF(AND(C650&gt;=Assumptions!$B$11,B650&gt;=Assumptions!$B$12),"No Irrigation Needed","Monitor"))</f>
        <v>Monitor</v>
      </c>
      <c r="O650" s="6" t="n">
        <f aca="false">IF(N650=G650,1,0)</f>
        <v>1</v>
      </c>
    </row>
    <row r="651" customFormat="false" ht="15" hidden="false" customHeight="false" outlineLevel="0" collapsed="false">
      <c r="A651" s="16" t="n">
        <v>29.34594634</v>
      </c>
      <c r="B651" s="16" t="n">
        <v>59.03629954</v>
      </c>
      <c r="C651" s="16" t="n">
        <v>20.3436615422196</v>
      </c>
      <c r="D651" s="6" t="s">
        <v>57</v>
      </c>
      <c r="E651" s="6" t="s">
        <v>57</v>
      </c>
      <c r="F651" s="6" t="s">
        <v>60</v>
      </c>
      <c r="G651" s="6" t="s">
        <v>61</v>
      </c>
      <c r="H651" s="6" t="s">
        <v>63</v>
      </c>
      <c r="I651" s="6" t="str">
        <f aca="false">IF(A651&lt;Outliers!$E$6,"Low",IF(A651&gt;Outliers!$F$6,"High",""))</f>
        <v/>
      </c>
      <c r="J651" s="6" t="str">
        <f aca="false">IF(B651&lt;Outliers!$E$7,"Low",IF(B651&gt;Outliers!$F$7,"High",""))</f>
        <v/>
      </c>
      <c r="K651" s="6" t="str">
        <f aca="false">IF(C651&lt;Outliers!$E$8,"Low",IF(C651&gt;Outliers!$F$8,"High",""))</f>
        <v/>
      </c>
      <c r="L651" s="6" t="str">
        <f aca="false">A651&amp;";"&amp;B651&amp;";"&amp;C651</f>
        <v>29.34594634;59.03629954;20.3436615422196</v>
      </c>
      <c r="M651" s="6" t="n">
        <f aca="false">IF(COUNTIF($L$2:$L$2201,L651)&gt;1,1,0)</f>
        <v>0</v>
      </c>
      <c r="N651" s="6" t="str">
        <f aca="false">IF(AND(C651&lt;Assumptions!$B$9,B651&lt;Assumptions!$B$10),"Irrigate Now",IF(AND(C651&gt;=Assumptions!$B$11,B651&gt;=Assumptions!$B$12),"No Irrigation Needed","Monitor"))</f>
        <v>Monitor</v>
      </c>
      <c r="O651" s="6" t="n">
        <f aca="false">IF(N651=G651,1,0)</f>
        <v>1</v>
      </c>
    </row>
    <row r="652" customFormat="false" ht="15" hidden="false" customHeight="false" outlineLevel="0" collapsed="false">
      <c r="A652" s="16" t="n">
        <v>28.36319404</v>
      </c>
      <c r="B652" s="16" t="n">
        <v>52.93031105</v>
      </c>
      <c r="C652" s="16" t="n">
        <v>22.685406022693</v>
      </c>
      <c r="D652" s="6" t="s">
        <v>57</v>
      </c>
      <c r="E652" s="6" t="s">
        <v>57</v>
      </c>
      <c r="F652" s="6" t="s">
        <v>60</v>
      </c>
      <c r="G652" s="6" t="s">
        <v>61</v>
      </c>
      <c r="H652" s="6" t="s">
        <v>63</v>
      </c>
      <c r="I652" s="6" t="str">
        <f aca="false">IF(A652&lt;Outliers!$E$6,"Low",IF(A652&gt;Outliers!$F$6,"High",""))</f>
        <v/>
      </c>
      <c r="J652" s="6" t="str">
        <f aca="false">IF(B652&lt;Outliers!$E$7,"Low",IF(B652&gt;Outliers!$F$7,"High",""))</f>
        <v/>
      </c>
      <c r="K652" s="6" t="str">
        <f aca="false">IF(C652&lt;Outliers!$E$8,"Low",IF(C652&gt;Outliers!$F$8,"High",""))</f>
        <v/>
      </c>
      <c r="L652" s="6" t="str">
        <f aca="false">A652&amp;";"&amp;B652&amp;";"&amp;C652</f>
        <v>28.36319404;52.93031105;22.685406022693</v>
      </c>
      <c r="M652" s="6" t="n">
        <f aca="false">IF(COUNTIF($L$2:$L$2201,L652)&gt;1,1,0)</f>
        <v>0</v>
      </c>
      <c r="N652" s="6" t="str">
        <f aca="false">IF(AND(C652&lt;Assumptions!$B$9,B652&lt;Assumptions!$B$10),"Irrigate Now",IF(AND(C652&gt;=Assumptions!$B$11,B652&gt;=Assumptions!$B$12),"No Irrigation Needed","Monitor"))</f>
        <v>Monitor</v>
      </c>
      <c r="O652" s="6" t="n">
        <f aca="false">IF(N652=G652,1,0)</f>
        <v>1</v>
      </c>
    </row>
    <row r="653" customFormat="false" ht="15" hidden="false" customHeight="false" outlineLevel="0" collapsed="false">
      <c r="A653" s="16" t="n">
        <v>27.65280218</v>
      </c>
      <c r="B653" s="16" t="n">
        <v>56.52558045</v>
      </c>
      <c r="C653" s="16" t="n">
        <v>21.8846806247065</v>
      </c>
      <c r="D653" s="6" t="s">
        <v>57</v>
      </c>
      <c r="E653" s="6" t="s">
        <v>57</v>
      </c>
      <c r="F653" s="6" t="s">
        <v>60</v>
      </c>
      <c r="G653" s="6" t="s">
        <v>61</v>
      </c>
      <c r="H653" s="6" t="s">
        <v>63</v>
      </c>
      <c r="I653" s="6" t="str">
        <f aca="false">IF(A653&lt;Outliers!$E$6,"Low",IF(A653&gt;Outliers!$F$6,"High",""))</f>
        <v/>
      </c>
      <c r="J653" s="6" t="str">
        <f aca="false">IF(B653&lt;Outliers!$E$7,"Low",IF(B653&gt;Outliers!$F$7,"High",""))</f>
        <v/>
      </c>
      <c r="K653" s="6" t="str">
        <f aca="false">IF(C653&lt;Outliers!$E$8,"Low",IF(C653&gt;Outliers!$F$8,"High",""))</f>
        <v/>
      </c>
      <c r="L653" s="6" t="str">
        <f aca="false">A653&amp;";"&amp;B653&amp;";"&amp;C653</f>
        <v>27.65280218;56.52558045;21.8846806247065</v>
      </c>
      <c r="M653" s="6" t="n">
        <f aca="false">IF(COUNTIF($L$2:$L$2201,L653)&gt;1,1,0)</f>
        <v>0</v>
      </c>
      <c r="N653" s="6" t="str">
        <f aca="false">IF(AND(C653&lt;Assumptions!$B$9,B653&lt;Assumptions!$B$10),"Irrigate Now",IF(AND(C653&gt;=Assumptions!$B$11,B653&gt;=Assumptions!$B$12),"No Irrigation Needed","Monitor"))</f>
        <v>Monitor</v>
      </c>
      <c r="O653" s="6" t="n">
        <f aca="false">IF(N653=G653,1,0)</f>
        <v>1</v>
      </c>
    </row>
    <row r="654" customFormat="false" ht="15" hidden="false" customHeight="false" outlineLevel="0" collapsed="false">
      <c r="A654" s="16" t="n">
        <v>27.31372793</v>
      </c>
      <c r="B654" s="16" t="n">
        <v>53.15223123</v>
      </c>
      <c r="C654" s="16" t="n">
        <v>23.2005372778373</v>
      </c>
      <c r="D654" s="6" t="s">
        <v>57</v>
      </c>
      <c r="E654" s="6" t="s">
        <v>57</v>
      </c>
      <c r="F654" s="6" t="s">
        <v>60</v>
      </c>
      <c r="G654" s="6" t="s">
        <v>61</v>
      </c>
      <c r="H654" s="6" t="s">
        <v>63</v>
      </c>
      <c r="I654" s="6" t="str">
        <f aca="false">IF(A654&lt;Outliers!$E$6,"Low",IF(A654&gt;Outliers!$F$6,"High",""))</f>
        <v/>
      </c>
      <c r="J654" s="6" t="str">
        <f aca="false">IF(B654&lt;Outliers!$E$7,"Low",IF(B654&gt;Outliers!$F$7,"High",""))</f>
        <v/>
      </c>
      <c r="K654" s="6" t="str">
        <f aca="false">IF(C654&lt;Outliers!$E$8,"Low",IF(C654&gt;Outliers!$F$8,"High",""))</f>
        <v/>
      </c>
      <c r="L654" s="6" t="str">
        <f aca="false">A654&amp;";"&amp;B654&amp;";"&amp;C654</f>
        <v>27.31372793;53.15223123;23.2005372778373</v>
      </c>
      <c r="M654" s="6" t="n">
        <f aca="false">IF(COUNTIF($L$2:$L$2201,L654)&gt;1,1,0)</f>
        <v>0</v>
      </c>
      <c r="N654" s="6" t="str">
        <f aca="false">IF(AND(C654&lt;Assumptions!$B$9,B654&lt;Assumptions!$B$10),"Irrigate Now",IF(AND(C654&gt;=Assumptions!$B$11,B654&gt;=Assumptions!$B$12),"No Irrigation Needed","Monitor"))</f>
        <v>Monitor</v>
      </c>
      <c r="O654" s="6" t="n">
        <f aca="false">IF(N654=G654,1,0)</f>
        <v>1</v>
      </c>
    </row>
    <row r="655" customFormat="false" ht="15" hidden="false" customHeight="false" outlineLevel="0" collapsed="false">
      <c r="A655" s="16" t="n">
        <v>27.06909959</v>
      </c>
      <c r="B655" s="16" t="n">
        <v>50.46746116</v>
      </c>
      <c r="C655" s="16" t="n">
        <v>19.1248653473817</v>
      </c>
      <c r="D655" s="6" t="s">
        <v>57</v>
      </c>
      <c r="E655" s="6" t="s">
        <v>57</v>
      </c>
      <c r="F655" s="6" t="s">
        <v>24</v>
      </c>
      <c r="G655" s="6" t="s">
        <v>61</v>
      </c>
      <c r="H655" s="6" t="s">
        <v>63</v>
      </c>
      <c r="I655" s="6" t="str">
        <f aca="false">IF(A655&lt;Outliers!$E$6,"Low",IF(A655&gt;Outliers!$F$6,"High",""))</f>
        <v/>
      </c>
      <c r="J655" s="6" t="str">
        <f aca="false">IF(B655&lt;Outliers!$E$7,"Low",IF(B655&gt;Outliers!$F$7,"High",""))</f>
        <v/>
      </c>
      <c r="K655" s="6" t="str">
        <f aca="false">IF(C655&lt;Outliers!$E$8,"Low",IF(C655&gt;Outliers!$F$8,"High",""))</f>
        <v/>
      </c>
      <c r="L655" s="6" t="str">
        <f aca="false">A655&amp;";"&amp;B655&amp;";"&amp;C655</f>
        <v>27.06909959;50.46746116;19.1248653473817</v>
      </c>
      <c r="M655" s="6" t="n">
        <f aca="false">IF(COUNTIF($L$2:$L$2201,L655)&gt;1,1,0)</f>
        <v>0</v>
      </c>
      <c r="N655" s="6" t="str">
        <f aca="false">IF(AND(C655&lt;Assumptions!$B$9,B655&lt;Assumptions!$B$10),"Irrigate Now",IF(AND(C655&gt;=Assumptions!$B$11,B655&gt;=Assumptions!$B$12),"No Irrigation Needed","Monitor"))</f>
        <v>Monitor</v>
      </c>
      <c r="O655" s="6" t="n">
        <f aca="false">IF(N655=G655,1,0)</f>
        <v>1</v>
      </c>
    </row>
    <row r="656" customFormat="false" ht="15" hidden="false" customHeight="false" outlineLevel="0" collapsed="false">
      <c r="A656" s="16" t="n">
        <v>28.06642822</v>
      </c>
      <c r="B656" s="16" t="n">
        <v>39.23831035</v>
      </c>
      <c r="C656" s="16" t="n">
        <v>20.5110941420181</v>
      </c>
      <c r="D656" s="6" t="s">
        <v>57</v>
      </c>
      <c r="E656" s="6" t="s">
        <v>23</v>
      </c>
      <c r="F656" s="6" t="s">
        <v>60</v>
      </c>
      <c r="G656" s="6" t="s">
        <v>61</v>
      </c>
      <c r="H656" s="6" t="s">
        <v>63</v>
      </c>
      <c r="I656" s="6" t="str">
        <f aca="false">IF(A656&lt;Outliers!$E$6,"Low",IF(A656&gt;Outliers!$F$6,"High",""))</f>
        <v/>
      </c>
      <c r="J656" s="6" t="str">
        <f aca="false">IF(B656&lt;Outliers!$E$7,"Low",IF(B656&gt;Outliers!$F$7,"High",""))</f>
        <v/>
      </c>
      <c r="K656" s="6" t="str">
        <f aca="false">IF(C656&lt;Outliers!$E$8,"Low",IF(C656&gt;Outliers!$F$8,"High",""))</f>
        <v/>
      </c>
      <c r="L656" s="6" t="str">
        <f aca="false">A656&amp;";"&amp;B656&amp;";"&amp;C656</f>
        <v>28.06642822;39.23831035;20.5110941420181</v>
      </c>
      <c r="M656" s="6" t="n">
        <f aca="false">IF(COUNTIF($L$2:$L$2201,L656)&gt;1,1,0)</f>
        <v>0</v>
      </c>
      <c r="N656" s="6" t="str">
        <f aca="false">IF(AND(C656&lt;Assumptions!$B$9,B656&lt;Assumptions!$B$10),"Irrigate Now",IF(AND(C656&gt;=Assumptions!$B$11,B656&gt;=Assumptions!$B$12),"No Irrigation Needed","Monitor"))</f>
        <v>Monitor</v>
      </c>
      <c r="O656" s="6" t="n">
        <f aca="false">IF(N656=G656,1,0)</f>
        <v>1</v>
      </c>
    </row>
    <row r="657" customFormat="false" ht="15" hidden="false" customHeight="false" outlineLevel="0" collapsed="false">
      <c r="A657" s="16" t="n">
        <v>27.73329078</v>
      </c>
      <c r="B657" s="16" t="n">
        <v>44.17580911</v>
      </c>
      <c r="C657" s="16" t="n">
        <v>22.2223867081971</v>
      </c>
      <c r="D657" s="6" t="s">
        <v>57</v>
      </c>
      <c r="E657" s="6" t="s">
        <v>23</v>
      </c>
      <c r="F657" s="6" t="s">
        <v>60</v>
      </c>
      <c r="G657" s="6" t="s">
        <v>61</v>
      </c>
      <c r="H657" s="6" t="s">
        <v>63</v>
      </c>
      <c r="I657" s="6" t="str">
        <f aca="false">IF(A657&lt;Outliers!$E$6,"Low",IF(A657&gt;Outliers!$F$6,"High",""))</f>
        <v/>
      </c>
      <c r="J657" s="6" t="str">
        <f aca="false">IF(B657&lt;Outliers!$E$7,"Low",IF(B657&gt;Outliers!$F$7,"High",""))</f>
        <v/>
      </c>
      <c r="K657" s="6" t="str">
        <f aca="false">IF(C657&lt;Outliers!$E$8,"Low",IF(C657&gt;Outliers!$F$8,"High",""))</f>
        <v/>
      </c>
      <c r="L657" s="6" t="str">
        <f aca="false">A657&amp;";"&amp;B657&amp;";"&amp;C657</f>
        <v>27.73329078;44.17580911;22.2223867081971</v>
      </c>
      <c r="M657" s="6" t="n">
        <f aca="false">IF(COUNTIF($L$2:$L$2201,L657)&gt;1,1,0)</f>
        <v>0</v>
      </c>
      <c r="N657" s="6" t="str">
        <f aca="false">IF(AND(C657&lt;Assumptions!$B$9,B657&lt;Assumptions!$B$10),"Irrigate Now",IF(AND(C657&gt;=Assumptions!$B$11,B657&gt;=Assumptions!$B$12),"No Irrigation Needed","Monitor"))</f>
        <v>Monitor</v>
      </c>
      <c r="O657" s="6" t="n">
        <f aca="false">IF(N657=G657,1,0)</f>
        <v>1</v>
      </c>
    </row>
    <row r="658" customFormat="false" ht="15" hidden="false" customHeight="false" outlineLevel="0" collapsed="false">
      <c r="A658" s="16" t="n">
        <v>27.53632932</v>
      </c>
      <c r="B658" s="16" t="n">
        <v>45.48591922</v>
      </c>
      <c r="C658" s="16" t="n">
        <v>22.575228491368</v>
      </c>
      <c r="D658" s="6" t="s">
        <v>57</v>
      </c>
      <c r="E658" s="6" t="s">
        <v>23</v>
      </c>
      <c r="F658" s="6" t="s">
        <v>60</v>
      </c>
      <c r="G658" s="6" t="s">
        <v>61</v>
      </c>
      <c r="H658" s="6" t="s">
        <v>63</v>
      </c>
      <c r="I658" s="6" t="str">
        <f aca="false">IF(A658&lt;Outliers!$E$6,"Low",IF(A658&gt;Outliers!$F$6,"High",""))</f>
        <v/>
      </c>
      <c r="J658" s="6" t="str">
        <f aca="false">IF(B658&lt;Outliers!$E$7,"Low",IF(B658&gt;Outliers!$F$7,"High",""))</f>
        <v/>
      </c>
      <c r="K658" s="6" t="str">
        <f aca="false">IF(C658&lt;Outliers!$E$8,"Low",IF(C658&gt;Outliers!$F$8,"High",""))</f>
        <v/>
      </c>
      <c r="L658" s="6" t="str">
        <f aca="false">A658&amp;";"&amp;B658&amp;";"&amp;C658</f>
        <v>27.53632932;45.48591922;22.575228491368</v>
      </c>
      <c r="M658" s="6" t="n">
        <f aca="false">IF(COUNTIF($L$2:$L$2201,L658)&gt;1,1,0)</f>
        <v>0</v>
      </c>
      <c r="N658" s="6" t="str">
        <f aca="false">IF(AND(C658&lt;Assumptions!$B$9,B658&lt;Assumptions!$B$10),"Irrigate Now",IF(AND(C658&gt;=Assumptions!$B$11,B658&gt;=Assumptions!$B$12),"No Irrigation Needed","Monitor"))</f>
        <v>Monitor</v>
      </c>
      <c r="O658" s="6" t="n">
        <f aca="false">IF(N658=G658,1,0)</f>
        <v>1</v>
      </c>
    </row>
    <row r="659" customFormat="false" ht="15" hidden="false" customHeight="false" outlineLevel="0" collapsed="false">
      <c r="A659" s="16" t="n">
        <v>29.66461594</v>
      </c>
      <c r="B659" s="16" t="n">
        <v>56.09542002</v>
      </c>
      <c r="C659" s="16" t="n">
        <v>24.9368934113116</v>
      </c>
      <c r="D659" s="6" t="s">
        <v>57</v>
      </c>
      <c r="E659" s="6" t="s">
        <v>57</v>
      </c>
      <c r="F659" s="6" t="s">
        <v>60</v>
      </c>
      <c r="G659" s="6" t="s">
        <v>61</v>
      </c>
      <c r="H659" s="6" t="s">
        <v>63</v>
      </c>
      <c r="I659" s="6" t="str">
        <f aca="false">IF(A659&lt;Outliers!$E$6,"Low",IF(A659&gt;Outliers!$F$6,"High",""))</f>
        <v/>
      </c>
      <c r="J659" s="6" t="str">
        <f aca="false">IF(B659&lt;Outliers!$E$7,"Low",IF(B659&gt;Outliers!$F$7,"High",""))</f>
        <v/>
      </c>
      <c r="K659" s="6" t="str">
        <f aca="false">IF(C659&lt;Outliers!$E$8,"Low",IF(C659&gt;Outliers!$F$8,"High",""))</f>
        <v/>
      </c>
      <c r="L659" s="6" t="str">
        <f aca="false">A659&amp;";"&amp;B659&amp;";"&amp;C659</f>
        <v>29.66461594;56.09542002;24.9368934113116</v>
      </c>
      <c r="M659" s="6" t="n">
        <f aca="false">IF(COUNTIF($L$2:$L$2201,L659)&gt;1,1,0)</f>
        <v>0</v>
      </c>
      <c r="N659" s="6" t="str">
        <f aca="false">IF(AND(C659&lt;Assumptions!$B$9,B659&lt;Assumptions!$B$10),"Irrigate Now",IF(AND(C659&gt;=Assumptions!$B$11,B659&gt;=Assumptions!$B$12),"No Irrigation Needed","Monitor"))</f>
        <v>Monitor</v>
      </c>
      <c r="O659" s="6" t="n">
        <f aca="false">IF(N659=G659,1,0)</f>
        <v>1</v>
      </c>
    </row>
    <row r="660" customFormat="false" ht="15" hidden="false" customHeight="false" outlineLevel="0" collapsed="false">
      <c r="A660" s="16" t="n">
        <v>29.9145443</v>
      </c>
      <c r="B660" s="16" t="n">
        <v>41.39081525</v>
      </c>
      <c r="C660" s="16" t="n">
        <v>19.1621432777568</v>
      </c>
      <c r="D660" s="6" t="s">
        <v>57</v>
      </c>
      <c r="E660" s="6" t="s">
        <v>23</v>
      </c>
      <c r="F660" s="6" t="s">
        <v>24</v>
      </c>
      <c r="G660" s="6" t="s">
        <v>61</v>
      </c>
      <c r="H660" s="6" t="s">
        <v>63</v>
      </c>
      <c r="I660" s="6" t="str">
        <f aca="false">IF(A660&lt;Outliers!$E$6,"Low",IF(A660&gt;Outliers!$F$6,"High",""))</f>
        <v/>
      </c>
      <c r="J660" s="6" t="str">
        <f aca="false">IF(B660&lt;Outliers!$E$7,"Low",IF(B660&gt;Outliers!$F$7,"High",""))</f>
        <v/>
      </c>
      <c r="K660" s="6" t="str">
        <f aca="false">IF(C660&lt;Outliers!$E$8,"Low",IF(C660&gt;Outliers!$F$8,"High",""))</f>
        <v/>
      </c>
      <c r="L660" s="6" t="str">
        <f aca="false">A660&amp;";"&amp;B660&amp;";"&amp;C660</f>
        <v>29.9145443;41.39081525;19.1621432777568</v>
      </c>
      <c r="M660" s="6" t="n">
        <f aca="false">IF(COUNTIF($L$2:$L$2201,L660)&gt;1,1,0)</f>
        <v>0</v>
      </c>
      <c r="N660" s="6" t="str">
        <f aca="false">IF(AND(C660&lt;Assumptions!$B$9,B660&lt;Assumptions!$B$10),"Irrigate Now",IF(AND(C660&gt;=Assumptions!$B$11,B660&gt;=Assumptions!$B$12),"No Irrigation Needed","Monitor"))</f>
        <v>Monitor</v>
      </c>
      <c r="O660" s="6" t="n">
        <f aca="false">IF(N660=G660,1,0)</f>
        <v>1</v>
      </c>
    </row>
    <row r="661" customFormat="false" ht="15" hidden="false" customHeight="false" outlineLevel="0" collapsed="false">
      <c r="A661" s="16" t="n">
        <v>28.36363858</v>
      </c>
      <c r="B661" s="16" t="n">
        <v>57.99524359</v>
      </c>
      <c r="C661" s="16" t="n">
        <v>10.4198894654052</v>
      </c>
      <c r="D661" s="6" t="s">
        <v>57</v>
      </c>
      <c r="E661" s="6" t="s">
        <v>57</v>
      </c>
      <c r="F661" s="6" t="s">
        <v>24</v>
      </c>
      <c r="G661" s="6" t="s">
        <v>64</v>
      </c>
      <c r="H661" s="6" t="s">
        <v>65</v>
      </c>
      <c r="I661" s="6" t="str">
        <f aca="false">IF(A661&lt;Outliers!$E$6,"Low",IF(A661&gt;Outliers!$F$6,"High",""))</f>
        <v/>
      </c>
      <c r="J661" s="6" t="str">
        <f aca="false">IF(B661&lt;Outliers!$E$7,"Low",IF(B661&gt;Outliers!$F$7,"High",""))</f>
        <v/>
      </c>
      <c r="K661" s="6" t="str">
        <f aca="false">IF(C661&lt;Outliers!$E$8,"Low",IF(C661&gt;Outliers!$F$8,"High",""))</f>
        <v/>
      </c>
      <c r="L661" s="6" t="str">
        <f aca="false">A661&amp;";"&amp;B661&amp;";"&amp;C661</f>
        <v>28.36363858;57.99524359;10.4198894654052</v>
      </c>
      <c r="M661" s="6" t="n">
        <f aca="false">IF(COUNTIF($L$2:$L$2201,L661)&gt;1,1,0)</f>
        <v>0</v>
      </c>
      <c r="N661" s="6" t="str">
        <f aca="false">IF(AND(C661&lt;Assumptions!$B$9,B661&lt;Assumptions!$B$10),"Irrigate Now",IF(AND(C661&gt;=Assumptions!$B$11,B661&gt;=Assumptions!$B$12),"No Irrigation Needed","Monitor"))</f>
        <v>Irrigate Now</v>
      </c>
      <c r="O661" s="6" t="n">
        <f aca="false">IF(N661=G661,1,0)</f>
        <v>1</v>
      </c>
    </row>
    <row r="662" customFormat="false" ht="15" hidden="false" customHeight="false" outlineLevel="0" collapsed="false">
      <c r="A662" s="16" t="n">
        <v>29.46416042</v>
      </c>
      <c r="B662" s="16" t="n">
        <v>43.15411472</v>
      </c>
      <c r="C662" s="16" t="n">
        <v>13.5323860532031</v>
      </c>
      <c r="D662" s="6" t="s">
        <v>57</v>
      </c>
      <c r="E662" s="6" t="s">
        <v>23</v>
      </c>
      <c r="F662" s="6" t="s">
        <v>24</v>
      </c>
      <c r="G662" s="6" t="s">
        <v>64</v>
      </c>
      <c r="H662" s="6" t="s">
        <v>65</v>
      </c>
      <c r="I662" s="6" t="str">
        <f aca="false">IF(A662&lt;Outliers!$E$6,"Low",IF(A662&gt;Outliers!$F$6,"High",""))</f>
        <v/>
      </c>
      <c r="J662" s="6" t="str">
        <f aca="false">IF(B662&lt;Outliers!$E$7,"Low",IF(B662&gt;Outliers!$F$7,"High",""))</f>
        <v/>
      </c>
      <c r="K662" s="6" t="str">
        <f aca="false">IF(C662&lt;Outliers!$E$8,"Low",IF(C662&gt;Outliers!$F$8,"High",""))</f>
        <v/>
      </c>
      <c r="L662" s="6" t="str">
        <f aca="false">A662&amp;";"&amp;B662&amp;";"&amp;C662</f>
        <v>29.46416042;43.15411472;13.5323860532031</v>
      </c>
      <c r="M662" s="6" t="n">
        <f aca="false">IF(COUNTIF($L$2:$L$2201,L662)&gt;1,1,0)</f>
        <v>0</v>
      </c>
      <c r="N662" s="6" t="str">
        <f aca="false">IF(AND(C662&lt;Assumptions!$B$9,B662&lt;Assumptions!$B$10),"Irrigate Now",IF(AND(C662&gt;=Assumptions!$B$11,B662&gt;=Assumptions!$B$12),"No Irrigation Needed","Monitor"))</f>
        <v>Irrigate Now</v>
      </c>
      <c r="O662" s="6" t="n">
        <f aca="false">IF(N662=G662,1,0)</f>
        <v>1</v>
      </c>
    </row>
    <row r="663" customFormat="false" ht="15" hidden="false" customHeight="false" outlineLevel="0" collapsed="false">
      <c r="A663" s="16" t="n">
        <v>29.73013036</v>
      </c>
      <c r="B663" s="16" t="n">
        <v>50.91511275</v>
      </c>
      <c r="C663" s="16" t="n">
        <v>14.7011668567713</v>
      </c>
      <c r="D663" s="6" t="s">
        <v>57</v>
      </c>
      <c r="E663" s="6" t="s">
        <v>57</v>
      </c>
      <c r="F663" s="6" t="s">
        <v>24</v>
      </c>
      <c r="G663" s="6" t="s">
        <v>64</v>
      </c>
      <c r="H663" s="6" t="s">
        <v>65</v>
      </c>
      <c r="I663" s="6" t="str">
        <f aca="false">IF(A663&lt;Outliers!$E$6,"Low",IF(A663&gt;Outliers!$F$6,"High",""))</f>
        <v/>
      </c>
      <c r="J663" s="6" t="str">
        <f aca="false">IF(B663&lt;Outliers!$E$7,"Low",IF(B663&gt;Outliers!$F$7,"High",""))</f>
        <v/>
      </c>
      <c r="K663" s="6" t="str">
        <f aca="false">IF(C663&lt;Outliers!$E$8,"Low",IF(C663&gt;Outliers!$F$8,"High",""))</f>
        <v/>
      </c>
      <c r="L663" s="6" t="str">
        <f aca="false">A663&amp;";"&amp;B663&amp;";"&amp;C663</f>
        <v>29.73013036;50.91511275;14.7011668567713</v>
      </c>
      <c r="M663" s="6" t="n">
        <f aca="false">IF(COUNTIF($L$2:$L$2201,L663)&gt;1,1,0)</f>
        <v>0</v>
      </c>
      <c r="N663" s="6" t="str">
        <f aca="false">IF(AND(C663&lt;Assumptions!$B$9,B663&lt;Assumptions!$B$10),"Irrigate Now",IF(AND(C663&gt;=Assumptions!$B$11,B663&gt;=Assumptions!$B$12),"No Irrigation Needed","Monitor"))</f>
        <v>Irrigate Now</v>
      </c>
      <c r="O663" s="6" t="n">
        <f aca="false">IF(N663=G663,1,0)</f>
        <v>1</v>
      </c>
    </row>
    <row r="664" customFormat="false" ht="15" hidden="false" customHeight="false" outlineLevel="0" collapsed="false">
      <c r="A664" s="16" t="n">
        <v>27.46852989</v>
      </c>
      <c r="B664" s="16" t="n">
        <v>43.78420984</v>
      </c>
      <c r="C664" s="16" t="n">
        <v>26.9059327282734</v>
      </c>
      <c r="D664" s="6" t="s">
        <v>57</v>
      </c>
      <c r="E664" s="6" t="s">
        <v>23</v>
      </c>
      <c r="F664" s="6" t="s">
        <v>23</v>
      </c>
      <c r="G664" s="6" t="s">
        <v>61</v>
      </c>
      <c r="H664" s="6" t="s">
        <v>63</v>
      </c>
      <c r="I664" s="6" t="str">
        <f aca="false">IF(A664&lt;Outliers!$E$6,"Low",IF(A664&gt;Outliers!$F$6,"High",""))</f>
        <v/>
      </c>
      <c r="J664" s="6" t="str">
        <f aca="false">IF(B664&lt;Outliers!$E$7,"Low",IF(B664&gt;Outliers!$F$7,"High",""))</f>
        <v/>
      </c>
      <c r="K664" s="6" t="str">
        <f aca="false">IF(C664&lt;Outliers!$E$8,"Low",IF(C664&gt;Outliers!$F$8,"High",""))</f>
        <v/>
      </c>
      <c r="L664" s="6" t="str">
        <f aca="false">A664&amp;";"&amp;B664&amp;";"&amp;C664</f>
        <v>27.46852989;43.78420984;26.9059327282734</v>
      </c>
      <c r="M664" s="6" t="n">
        <f aca="false">IF(COUNTIF($L$2:$L$2201,L664)&gt;1,1,0)</f>
        <v>0</v>
      </c>
      <c r="N664" s="6" t="str">
        <f aca="false">IF(AND(C664&lt;Assumptions!$B$9,B664&lt;Assumptions!$B$10),"Irrigate Now",IF(AND(C664&gt;=Assumptions!$B$11,B664&gt;=Assumptions!$B$12),"No Irrigation Needed","Monitor"))</f>
        <v>Monitor</v>
      </c>
      <c r="O664" s="6" t="n">
        <f aca="false">IF(N664=G664,1,0)</f>
        <v>1</v>
      </c>
    </row>
    <row r="665" customFormat="false" ht="15" hidden="false" customHeight="false" outlineLevel="0" collapsed="false">
      <c r="A665" s="16" t="n">
        <v>27.77076285</v>
      </c>
      <c r="B665" s="16" t="n">
        <v>49.50812624</v>
      </c>
      <c r="C665" s="16" t="n">
        <v>25.4944069218378</v>
      </c>
      <c r="D665" s="6" t="s">
        <v>57</v>
      </c>
      <c r="E665" s="6" t="s">
        <v>23</v>
      </c>
      <c r="F665" s="6" t="s">
        <v>60</v>
      </c>
      <c r="G665" s="6" t="s">
        <v>61</v>
      </c>
      <c r="H665" s="6" t="s">
        <v>63</v>
      </c>
      <c r="I665" s="6" t="str">
        <f aca="false">IF(A665&lt;Outliers!$E$6,"Low",IF(A665&gt;Outliers!$F$6,"High",""))</f>
        <v/>
      </c>
      <c r="J665" s="6" t="str">
        <f aca="false">IF(B665&lt;Outliers!$E$7,"Low",IF(B665&gt;Outliers!$F$7,"High",""))</f>
        <v/>
      </c>
      <c r="K665" s="6" t="str">
        <f aca="false">IF(C665&lt;Outliers!$E$8,"Low",IF(C665&gt;Outliers!$F$8,"High",""))</f>
        <v/>
      </c>
      <c r="L665" s="6" t="str">
        <f aca="false">A665&amp;";"&amp;B665&amp;";"&amp;C665</f>
        <v>27.77076285;49.50812624;25.4944069218378</v>
      </c>
      <c r="M665" s="6" t="n">
        <f aca="false">IF(COUNTIF($L$2:$L$2201,L665)&gt;1,1,0)</f>
        <v>0</v>
      </c>
      <c r="N665" s="6" t="str">
        <f aca="false">IF(AND(C665&lt;Assumptions!$B$9,B665&lt;Assumptions!$B$10),"Irrigate Now",IF(AND(C665&gt;=Assumptions!$B$11,B665&gt;=Assumptions!$B$12),"No Irrigation Needed","Monitor"))</f>
        <v>Monitor</v>
      </c>
      <c r="O665" s="6" t="n">
        <f aca="false">IF(N665=G665,1,0)</f>
        <v>1</v>
      </c>
    </row>
    <row r="666" customFormat="false" ht="15" hidden="false" customHeight="false" outlineLevel="0" collapsed="false">
      <c r="A666" s="16" t="n">
        <v>29.12939524</v>
      </c>
      <c r="B666" s="16" t="n">
        <v>36.45012824</v>
      </c>
      <c r="C666" s="16" t="n">
        <v>24.7320869147292</v>
      </c>
      <c r="D666" s="6" t="s">
        <v>57</v>
      </c>
      <c r="E666" s="6" t="s">
        <v>23</v>
      </c>
      <c r="F666" s="6" t="s">
        <v>60</v>
      </c>
      <c r="G666" s="6" t="s">
        <v>61</v>
      </c>
      <c r="H666" s="6" t="s">
        <v>63</v>
      </c>
      <c r="I666" s="6" t="str">
        <f aca="false">IF(A666&lt;Outliers!$E$6,"Low",IF(A666&gt;Outliers!$F$6,"High",""))</f>
        <v/>
      </c>
      <c r="J666" s="6" t="str">
        <f aca="false">IF(B666&lt;Outliers!$E$7,"Low",IF(B666&gt;Outliers!$F$7,"High",""))</f>
        <v/>
      </c>
      <c r="K666" s="6" t="str">
        <f aca="false">IF(C666&lt;Outliers!$E$8,"Low",IF(C666&gt;Outliers!$F$8,"High",""))</f>
        <v/>
      </c>
      <c r="L666" s="6" t="str">
        <f aca="false">A666&amp;";"&amp;B666&amp;";"&amp;C666</f>
        <v>29.12939524;36.45012824;24.7320869147292</v>
      </c>
      <c r="M666" s="6" t="n">
        <f aca="false">IF(COUNTIF($L$2:$L$2201,L666)&gt;1,1,0)</f>
        <v>0</v>
      </c>
      <c r="N666" s="6" t="str">
        <f aca="false">IF(AND(C666&lt;Assumptions!$B$9,B666&lt;Assumptions!$B$10),"Irrigate Now",IF(AND(C666&gt;=Assumptions!$B$11,B666&gt;=Assumptions!$B$12),"No Irrigation Needed","Monitor"))</f>
        <v>Monitor</v>
      </c>
      <c r="O666" s="6" t="n">
        <f aca="false">IF(N666=G666,1,0)</f>
        <v>1</v>
      </c>
    </row>
    <row r="667" customFormat="false" ht="15" hidden="false" customHeight="false" outlineLevel="0" collapsed="false">
      <c r="A667" s="16" t="n">
        <v>27.10606808</v>
      </c>
      <c r="B667" s="16" t="n">
        <v>37.45680611</v>
      </c>
      <c r="C667" s="16" t="n">
        <v>22.4844339240461</v>
      </c>
      <c r="D667" s="6" t="s">
        <v>57</v>
      </c>
      <c r="E667" s="6" t="s">
        <v>23</v>
      </c>
      <c r="F667" s="6" t="s">
        <v>60</v>
      </c>
      <c r="G667" s="6" t="s">
        <v>61</v>
      </c>
      <c r="H667" s="6" t="s">
        <v>63</v>
      </c>
      <c r="I667" s="6" t="str">
        <f aca="false">IF(A667&lt;Outliers!$E$6,"Low",IF(A667&gt;Outliers!$F$6,"High",""))</f>
        <v/>
      </c>
      <c r="J667" s="6" t="str">
        <f aca="false">IF(B667&lt;Outliers!$E$7,"Low",IF(B667&gt;Outliers!$F$7,"High",""))</f>
        <v/>
      </c>
      <c r="K667" s="6" t="str">
        <f aca="false">IF(C667&lt;Outliers!$E$8,"Low",IF(C667&gt;Outliers!$F$8,"High",""))</f>
        <v/>
      </c>
      <c r="L667" s="6" t="str">
        <f aca="false">A667&amp;";"&amp;B667&amp;";"&amp;C667</f>
        <v>27.10606808;37.45680611;22.4844339240461</v>
      </c>
      <c r="M667" s="6" t="n">
        <f aca="false">IF(COUNTIF($L$2:$L$2201,L667)&gt;1,1,0)</f>
        <v>0</v>
      </c>
      <c r="N667" s="6" t="str">
        <f aca="false">IF(AND(C667&lt;Assumptions!$B$9,B667&lt;Assumptions!$B$10),"Irrigate Now",IF(AND(C667&gt;=Assumptions!$B$11,B667&gt;=Assumptions!$B$12),"No Irrigation Needed","Monitor"))</f>
        <v>Monitor</v>
      </c>
      <c r="O667" s="6" t="n">
        <f aca="false">IF(N667=G667,1,0)</f>
        <v>1</v>
      </c>
    </row>
    <row r="668" customFormat="false" ht="15" hidden="false" customHeight="false" outlineLevel="0" collapsed="false">
      <c r="A668" s="16" t="n">
        <v>28.88078945</v>
      </c>
      <c r="B668" s="16" t="n">
        <v>53.79732545</v>
      </c>
      <c r="C668" s="16" t="n">
        <v>11.4025393569988</v>
      </c>
      <c r="D668" s="6" t="s">
        <v>57</v>
      </c>
      <c r="E668" s="6" t="s">
        <v>57</v>
      </c>
      <c r="F668" s="6" t="s">
        <v>24</v>
      </c>
      <c r="G668" s="6" t="s">
        <v>64</v>
      </c>
      <c r="H668" s="6" t="s">
        <v>65</v>
      </c>
      <c r="I668" s="6" t="str">
        <f aca="false">IF(A668&lt;Outliers!$E$6,"Low",IF(A668&gt;Outliers!$F$6,"High",""))</f>
        <v/>
      </c>
      <c r="J668" s="6" t="str">
        <f aca="false">IF(B668&lt;Outliers!$E$7,"Low",IF(B668&gt;Outliers!$F$7,"High",""))</f>
        <v/>
      </c>
      <c r="K668" s="6" t="str">
        <f aca="false">IF(C668&lt;Outliers!$E$8,"Low",IF(C668&gt;Outliers!$F$8,"High",""))</f>
        <v/>
      </c>
      <c r="L668" s="6" t="str">
        <f aca="false">A668&amp;";"&amp;B668&amp;";"&amp;C668</f>
        <v>28.88078945;53.79732545;11.4025393569988</v>
      </c>
      <c r="M668" s="6" t="n">
        <f aca="false">IF(COUNTIF($L$2:$L$2201,L668)&gt;1,1,0)</f>
        <v>0</v>
      </c>
      <c r="N668" s="6" t="str">
        <f aca="false">IF(AND(C668&lt;Assumptions!$B$9,B668&lt;Assumptions!$B$10),"Irrigate Now",IF(AND(C668&gt;=Assumptions!$B$11,B668&gt;=Assumptions!$B$12),"No Irrigation Needed","Monitor"))</f>
        <v>Irrigate Now</v>
      </c>
      <c r="O668" s="6" t="n">
        <f aca="false">IF(N668=G668,1,0)</f>
        <v>1</v>
      </c>
    </row>
    <row r="669" customFormat="false" ht="15" hidden="false" customHeight="false" outlineLevel="0" collapsed="false">
      <c r="A669" s="16" t="n">
        <v>28.14720892</v>
      </c>
      <c r="B669" s="16" t="n">
        <v>37.44800463</v>
      </c>
      <c r="C669" s="16" t="n">
        <v>22.081480107911</v>
      </c>
      <c r="D669" s="6" t="s">
        <v>57</v>
      </c>
      <c r="E669" s="6" t="s">
        <v>23</v>
      </c>
      <c r="F669" s="6" t="s">
        <v>60</v>
      </c>
      <c r="G669" s="6" t="s">
        <v>61</v>
      </c>
      <c r="H669" s="6" t="s">
        <v>63</v>
      </c>
      <c r="I669" s="6" t="str">
        <f aca="false">IF(A669&lt;Outliers!$E$6,"Low",IF(A669&gt;Outliers!$F$6,"High",""))</f>
        <v/>
      </c>
      <c r="J669" s="6" t="str">
        <f aca="false">IF(B669&lt;Outliers!$E$7,"Low",IF(B669&gt;Outliers!$F$7,"High",""))</f>
        <v/>
      </c>
      <c r="K669" s="6" t="str">
        <f aca="false">IF(C669&lt;Outliers!$E$8,"Low",IF(C669&gt;Outliers!$F$8,"High",""))</f>
        <v/>
      </c>
      <c r="L669" s="6" t="str">
        <f aca="false">A669&amp;";"&amp;B669&amp;";"&amp;C669</f>
        <v>28.14720892;37.44800463;22.081480107911</v>
      </c>
      <c r="M669" s="6" t="n">
        <f aca="false">IF(COUNTIF($L$2:$L$2201,L669)&gt;1,1,0)</f>
        <v>0</v>
      </c>
      <c r="N669" s="6" t="str">
        <f aca="false">IF(AND(C669&lt;Assumptions!$B$9,B669&lt;Assumptions!$B$10),"Irrigate Now",IF(AND(C669&gt;=Assumptions!$B$11,B669&gt;=Assumptions!$B$12),"No Irrigation Needed","Monitor"))</f>
        <v>Monitor</v>
      </c>
      <c r="O669" s="6" t="n">
        <f aca="false">IF(N669=G669,1,0)</f>
        <v>1</v>
      </c>
    </row>
    <row r="670" customFormat="false" ht="15" hidden="false" customHeight="false" outlineLevel="0" collapsed="false">
      <c r="A670" s="16" t="n">
        <v>29.89129144</v>
      </c>
      <c r="B670" s="16" t="n">
        <v>54.7960127</v>
      </c>
      <c r="C670" s="16" t="n">
        <v>26.2330214664816</v>
      </c>
      <c r="D670" s="6" t="s">
        <v>57</v>
      </c>
      <c r="E670" s="6" t="s">
        <v>57</v>
      </c>
      <c r="F670" s="6" t="s">
        <v>23</v>
      </c>
      <c r="G670" s="6" t="s">
        <v>61</v>
      </c>
      <c r="H670" s="6" t="s">
        <v>63</v>
      </c>
      <c r="I670" s="6" t="str">
        <f aca="false">IF(A670&lt;Outliers!$E$6,"Low",IF(A670&gt;Outliers!$F$6,"High",""))</f>
        <v/>
      </c>
      <c r="J670" s="6" t="str">
        <f aca="false">IF(B670&lt;Outliers!$E$7,"Low",IF(B670&gt;Outliers!$F$7,"High",""))</f>
        <v/>
      </c>
      <c r="K670" s="6" t="str">
        <f aca="false">IF(C670&lt;Outliers!$E$8,"Low",IF(C670&gt;Outliers!$F$8,"High",""))</f>
        <v/>
      </c>
      <c r="L670" s="6" t="str">
        <f aca="false">A670&amp;";"&amp;B670&amp;";"&amp;C670</f>
        <v>29.89129144;54.7960127;26.2330214664816</v>
      </c>
      <c r="M670" s="6" t="n">
        <f aca="false">IF(COUNTIF($L$2:$L$2201,L670)&gt;1,1,0)</f>
        <v>0</v>
      </c>
      <c r="N670" s="6" t="str">
        <f aca="false">IF(AND(C670&lt;Assumptions!$B$9,B670&lt;Assumptions!$B$10),"Irrigate Now",IF(AND(C670&gt;=Assumptions!$B$11,B670&gt;=Assumptions!$B$12),"No Irrigation Needed","Monitor"))</f>
        <v>Monitor</v>
      </c>
      <c r="O670" s="6" t="n">
        <f aca="false">IF(N670=G670,1,0)</f>
        <v>1</v>
      </c>
    </row>
    <row r="671" customFormat="false" ht="15" hidden="false" customHeight="false" outlineLevel="0" collapsed="false">
      <c r="A671" s="16" t="n">
        <v>27.41503453</v>
      </c>
      <c r="B671" s="16" t="n">
        <v>40.53173216</v>
      </c>
      <c r="C671" s="16" t="n">
        <v>18.8711517046507</v>
      </c>
      <c r="D671" s="6" t="s">
        <v>57</v>
      </c>
      <c r="E671" s="6" t="s">
        <v>23</v>
      </c>
      <c r="F671" s="6" t="s">
        <v>24</v>
      </c>
      <c r="G671" s="6" t="s">
        <v>61</v>
      </c>
      <c r="H671" s="6" t="s">
        <v>63</v>
      </c>
      <c r="I671" s="6" t="str">
        <f aca="false">IF(A671&lt;Outliers!$E$6,"Low",IF(A671&gt;Outliers!$F$6,"High",""))</f>
        <v/>
      </c>
      <c r="J671" s="6" t="str">
        <f aca="false">IF(B671&lt;Outliers!$E$7,"Low",IF(B671&gt;Outliers!$F$7,"High",""))</f>
        <v/>
      </c>
      <c r="K671" s="6" t="str">
        <f aca="false">IF(C671&lt;Outliers!$E$8,"Low",IF(C671&gt;Outliers!$F$8,"High",""))</f>
        <v/>
      </c>
      <c r="L671" s="6" t="str">
        <f aca="false">A671&amp;";"&amp;B671&amp;";"&amp;C671</f>
        <v>27.41503453;40.53173216;18.8711517046507</v>
      </c>
      <c r="M671" s="6" t="n">
        <f aca="false">IF(COUNTIF($L$2:$L$2201,L671)&gt;1,1,0)</f>
        <v>0</v>
      </c>
      <c r="N671" s="6" t="str">
        <f aca="false">IF(AND(C671&lt;Assumptions!$B$9,B671&lt;Assumptions!$B$10),"Irrigate Now",IF(AND(C671&gt;=Assumptions!$B$11,B671&gt;=Assumptions!$B$12),"No Irrigation Needed","Monitor"))</f>
        <v>Monitor</v>
      </c>
      <c r="O671" s="6" t="n">
        <f aca="false">IF(N671=G671,1,0)</f>
        <v>1</v>
      </c>
    </row>
    <row r="672" customFormat="false" ht="15" hidden="false" customHeight="false" outlineLevel="0" collapsed="false">
      <c r="A672" s="16" t="n">
        <v>29.27308605</v>
      </c>
      <c r="B672" s="16" t="n">
        <v>50.9246554</v>
      </c>
      <c r="C672" s="16" t="n">
        <v>28.6650885632747</v>
      </c>
      <c r="D672" s="6" t="s">
        <v>57</v>
      </c>
      <c r="E672" s="6" t="s">
        <v>57</v>
      </c>
      <c r="F672" s="6" t="s">
        <v>23</v>
      </c>
      <c r="G672" s="6" t="s">
        <v>61</v>
      </c>
      <c r="H672" s="6" t="s">
        <v>63</v>
      </c>
      <c r="I672" s="6" t="str">
        <f aca="false">IF(A672&lt;Outliers!$E$6,"Low",IF(A672&gt;Outliers!$F$6,"High",""))</f>
        <v/>
      </c>
      <c r="J672" s="6" t="str">
        <f aca="false">IF(B672&lt;Outliers!$E$7,"Low",IF(B672&gt;Outliers!$F$7,"High",""))</f>
        <v/>
      </c>
      <c r="K672" s="6" t="str">
        <f aca="false">IF(C672&lt;Outliers!$E$8,"Low",IF(C672&gt;Outliers!$F$8,"High",""))</f>
        <v/>
      </c>
      <c r="L672" s="6" t="str">
        <f aca="false">A672&amp;";"&amp;B672&amp;";"&amp;C672</f>
        <v>29.27308605;50.9246554;28.6650885632747</v>
      </c>
      <c r="M672" s="6" t="n">
        <f aca="false">IF(COUNTIF($L$2:$L$2201,L672)&gt;1,1,0)</f>
        <v>0</v>
      </c>
      <c r="N672" s="6" t="str">
        <f aca="false">IF(AND(C672&lt;Assumptions!$B$9,B672&lt;Assumptions!$B$10),"Irrigate Now",IF(AND(C672&gt;=Assumptions!$B$11,B672&gt;=Assumptions!$B$12),"No Irrigation Needed","Monitor"))</f>
        <v>Monitor</v>
      </c>
      <c r="O672" s="6" t="n">
        <f aca="false">IF(N672=G672,1,0)</f>
        <v>1</v>
      </c>
    </row>
    <row r="673" customFormat="false" ht="15" hidden="false" customHeight="false" outlineLevel="0" collapsed="false">
      <c r="A673" s="16" t="n">
        <v>29.65296893</v>
      </c>
      <c r="B673" s="16" t="n">
        <v>56.01913159</v>
      </c>
      <c r="C673" s="16" t="n">
        <v>17.1207047580212</v>
      </c>
      <c r="D673" s="6" t="s">
        <v>57</v>
      </c>
      <c r="E673" s="6" t="s">
        <v>57</v>
      </c>
      <c r="F673" s="6" t="s">
        <v>24</v>
      </c>
      <c r="G673" s="6" t="s">
        <v>64</v>
      </c>
      <c r="H673" s="6" t="s">
        <v>65</v>
      </c>
      <c r="I673" s="6" t="str">
        <f aca="false">IF(A673&lt;Outliers!$E$6,"Low",IF(A673&gt;Outliers!$F$6,"High",""))</f>
        <v/>
      </c>
      <c r="J673" s="6" t="str">
        <f aca="false">IF(B673&lt;Outliers!$E$7,"Low",IF(B673&gt;Outliers!$F$7,"High",""))</f>
        <v/>
      </c>
      <c r="K673" s="6" t="str">
        <f aca="false">IF(C673&lt;Outliers!$E$8,"Low",IF(C673&gt;Outliers!$F$8,"High",""))</f>
        <v/>
      </c>
      <c r="L673" s="6" t="str">
        <f aca="false">A673&amp;";"&amp;B673&amp;";"&amp;C673</f>
        <v>29.65296893;56.01913159;17.1207047580212</v>
      </c>
      <c r="M673" s="6" t="n">
        <f aca="false">IF(COUNTIF($L$2:$L$2201,L673)&gt;1,1,0)</f>
        <v>0</v>
      </c>
      <c r="N673" s="6" t="str">
        <f aca="false">IF(AND(C673&lt;Assumptions!$B$9,B673&lt;Assumptions!$B$10),"Irrigate Now",IF(AND(C673&gt;=Assumptions!$B$11,B673&gt;=Assumptions!$B$12),"No Irrigation Needed","Monitor"))</f>
        <v>Irrigate Now</v>
      </c>
      <c r="O673" s="6" t="n">
        <f aca="false">IF(N673=G673,1,0)</f>
        <v>1</v>
      </c>
    </row>
    <row r="674" customFormat="false" ht="15" hidden="false" customHeight="false" outlineLevel="0" collapsed="false">
      <c r="A674" s="16" t="n">
        <v>28.44524991</v>
      </c>
      <c r="B674" s="16" t="n">
        <v>58.18713162</v>
      </c>
      <c r="C674" s="16" t="n">
        <v>24.9447391081827</v>
      </c>
      <c r="D674" s="6" t="s">
        <v>57</v>
      </c>
      <c r="E674" s="6" t="s">
        <v>57</v>
      </c>
      <c r="F674" s="6" t="s">
        <v>60</v>
      </c>
      <c r="G674" s="6" t="s">
        <v>61</v>
      </c>
      <c r="H674" s="6" t="s">
        <v>63</v>
      </c>
      <c r="I674" s="6" t="str">
        <f aca="false">IF(A674&lt;Outliers!$E$6,"Low",IF(A674&gt;Outliers!$F$6,"High",""))</f>
        <v/>
      </c>
      <c r="J674" s="6" t="str">
        <f aca="false">IF(B674&lt;Outliers!$E$7,"Low",IF(B674&gt;Outliers!$F$7,"High",""))</f>
        <v/>
      </c>
      <c r="K674" s="6" t="str">
        <f aca="false">IF(C674&lt;Outliers!$E$8,"Low",IF(C674&gt;Outliers!$F$8,"High",""))</f>
        <v/>
      </c>
      <c r="L674" s="6" t="str">
        <f aca="false">A674&amp;";"&amp;B674&amp;";"&amp;C674</f>
        <v>28.44524991;58.18713162;24.9447391081827</v>
      </c>
      <c r="M674" s="6" t="n">
        <f aca="false">IF(COUNTIF($L$2:$L$2201,L674)&gt;1,1,0)</f>
        <v>0</v>
      </c>
      <c r="N674" s="6" t="str">
        <f aca="false">IF(AND(C674&lt;Assumptions!$B$9,B674&lt;Assumptions!$B$10),"Irrigate Now",IF(AND(C674&gt;=Assumptions!$B$11,B674&gt;=Assumptions!$B$12),"No Irrigation Needed","Monitor"))</f>
        <v>Monitor</v>
      </c>
      <c r="O674" s="6" t="n">
        <f aca="false">IF(N674=G674,1,0)</f>
        <v>1</v>
      </c>
    </row>
    <row r="675" customFormat="false" ht="15" hidden="false" customHeight="false" outlineLevel="0" collapsed="false">
      <c r="A675" s="16" t="n">
        <v>27.96235681</v>
      </c>
      <c r="B675" s="16" t="n">
        <v>48.9366954</v>
      </c>
      <c r="C675" s="16" t="n">
        <v>24.4049188223525</v>
      </c>
      <c r="D675" s="6" t="s">
        <v>57</v>
      </c>
      <c r="E675" s="6" t="s">
        <v>23</v>
      </c>
      <c r="F675" s="6" t="s">
        <v>60</v>
      </c>
      <c r="G675" s="6" t="s">
        <v>61</v>
      </c>
      <c r="H675" s="6" t="s">
        <v>63</v>
      </c>
      <c r="I675" s="6" t="str">
        <f aca="false">IF(A675&lt;Outliers!$E$6,"Low",IF(A675&gt;Outliers!$F$6,"High",""))</f>
        <v/>
      </c>
      <c r="J675" s="6" t="str">
        <f aca="false">IF(B675&lt;Outliers!$E$7,"Low",IF(B675&gt;Outliers!$F$7,"High",""))</f>
        <v/>
      </c>
      <c r="K675" s="6" t="str">
        <f aca="false">IF(C675&lt;Outliers!$E$8,"Low",IF(C675&gt;Outliers!$F$8,"High",""))</f>
        <v/>
      </c>
      <c r="L675" s="6" t="str">
        <f aca="false">A675&amp;";"&amp;B675&amp;";"&amp;C675</f>
        <v>27.96235681;48.9366954;24.4049188223525</v>
      </c>
      <c r="M675" s="6" t="n">
        <f aca="false">IF(COUNTIF($L$2:$L$2201,L675)&gt;1,1,0)</f>
        <v>0</v>
      </c>
      <c r="N675" s="6" t="str">
        <f aca="false">IF(AND(C675&lt;Assumptions!$B$9,B675&lt;Assumptions!$B$10),"Irrigate Now",IF(AND(C675&gt;=Assumptions!$B$11,B675&gt;=Assumptions!$B$12),"No Irrigation Needed","Monitor"))</f>
        <v>Monitor</v>
      </c>
      <c r="O675" s="6" t="n">
        <f aca="false">IF(N675=G675,1,0)</f>
        <v>1</v>
      </c>
    </row>
    <row r="676" customFormat="false" ht="15" hidden="false" customHeight="false" outlineLevel="0" collapsed="false">
      <c r="A676" s="16" t="n">
        <v>29.25649321</v>
      </c>
      <c r="B676" s="16" t="n">
        <v>42.02483277</v>
      </c>
      <c r="C676" s="16" t="n">
        <v>23.5500687393433</v>
      </c>
      <c r="D676" s="6" t="s">
        <v>57</v>
      </c>
      <c r="E676" s="6" t="s">
        <v>23</v>
      </c>
      <c r="F676" s="6" t="s">
        <v>60</v>
      </c>
      <c r="G676" s="6" t="s">
        <v>61</v>
      </c>
      <c r="H676" s="6" t="s">
        <v>63</v>
      </c>
      <c r="I676" s="6" t="str">
        <f aca="false">IF(A676&lt;Outliers!$E$6,"Low",IF(A676&gt;Outliers!$F$6,"High",""))</f>
        <v/>
      </c>
      <c r="J676" s="6" t="str">
        <f aca="false">IF(B676&lt;Outliers!$E$7,"Low",IF(B676&gt;Outliers!$F$7,"High",""))</f>
        <v/>
      </c>
      <c r="K676" s="6" t="str">
        <f aca="false">IF(C676&lt;Outliers!$E$8,"Low",IF(C676&gt;Outliers!$F$8,"High",""))</f>
        <v/>
      </c>
      <c r="L676" s="6" t="str">
        <f aca="false">A676&amp;";"&amp;B676&amp;";"&amp;C676</f>
        <v>29.25649321;42.02483277;23.5500687393433</v>
      </c>
      <c r="M676" s="6" t="n">
        <f aca="false">IF(COUNTIF($L$2:$L$2201,L676)&gt;1,1,0)</f>
        <v>0</v>
      </c>
      <c r="N676" s="6" t="str">
        <f aca="false">IF(AND(C676&lt;Assumptions!$B$9,B676&lt;Assumptions!$B$10),"Irrigate Now",IF(AND(C676&gt;=Assumptions!$B$11,B676&gt;=Assumptions!$B$12),"No Irrigation Needed","Monitor"))</f>
        <v>Monitor</v>
      </c>
      <c r="O676" s="6" t="n">
        <f aca="false">IF(N676=G676,1,0)</f>
        <v>1</v>
      </c>
    </row>
    <row r="677" customFormat="false" ht="15" hidden="false" customHeight="false" outlineLevel="0" collapsed="false">
      <c r="A677" s="16" t="n">
        <v>28.36291385</v>
      </c>
      <c r="B677" s="16" t="n">
        <v>43.05130077</v>
      </c>
      <c r="C677" s="16" t="n">
        <v>27.3613522072636</v>
      </c>
      <c r="D677" s="6" t="s">
        <v>57</v>
      </c>
      <c r="E677" s="6" t="s">
        <v>23</v>
      </c>
      <c r="F677" s="6" t="s">
        <v>23</v>
      </c>
      <c r="G677" s="6" t="s">
        <v>61</v>
      </c>
      <c r="H677" s="6" t="s">
        <v>63</v>
      </c>
      <c r="I677" s="6" t="str">
        <f aca="false">IF(A677&lt;Outliers!$E$6,"Low",IF(A677&gt;Outliers!$F$6,"High",""))</f>
        <v/>
      </c>
      <c r="J677" s="6" t="str">
        <f aca="false">IF(B677&lt;Outliers!$E$7,"Low",IF(B677&gt;Outliers!$F$7,"High",""))</f>
        <v/>
      </c>
      <c r="K677" s="6" t="str">
        <f aca="false">IF(C677&lt;Outliers!$E$8,"Low",IF(C677&gt;Outliers!$F$8,"High",""))</f>
        <v/>
      </c>
      <c r="L677" s="6" t="str">
        <f aca="false">A677&amp;";"&amp;B677&amp;";"&amp;C677</f>
        <v>28.36291385;43.05130077;27.3613522072636</v>
      </c>
      <c r="M677" s="6" t="n">
        <f aca="false">IF(COUNTIF($L$2:$L$2201,L677)&gt;1,1,0)</f>
        <v>0</v>
      </c>
      <c r="N677" s="6" t="str">
        <f aca="false">IF(AND(C677&lt;Assumptions!$B$9,B677&lt;Assumptions!$B$10),"Irrigate Now",IF(AND(C677&gt;=Assumptions!$B$11,B677&gt;=Assumptions!$B$12),"No Irrigation Needed","Monitor"))</f>
        <v>Monitor</v>
      </c>
      <c r="O677" s="6" t="n">
        <f aca="false">IF(N677=G677,1,0)</f>
        <v>1</v>
      </c>
    </row>
    <row r="678" customFormat="false" ht="15" hidden="false" customHeight="false" outlineLevel="0" collapsed="false">
      <c r="A678" s="16" t="n">
        <v>27.62749466</v>
      </c>
      <c r="B678" s="16" t="n">
        <v>39.26137642</v>
      </c>
      <c r="C678" s="16" t="n">
        <v>23.9599312457013</v>
      </c>
      <c r="D678" s="6" t="s">
        <v>57</v>
      </c>
      <c r="E678" s="6" t="s">
        <v>23</v>
      </c>
      <c r="F678" s="6" t="s">
        <v>60</v>
      </c>
      <c r="G678" s="6" t="s">
        <v>61</v>
      </c>
      <c r="H678" s="6" t="s">
        <v>63</v>
      </c>
      <c r="I678" s="6" t="str">
        <f aca="false">IF(A678&lt;Outliers!$E$6,"Low",IF(A678&gt;Outliers!$F$6,"High",""))</f>
        <v/>
      </c>
      <c r="J678" s="6" t="str">
        <f aca="false">IF(B678&lt;Outliers!$E$7,"Low",IF(B678&gt;Outliers!$F$7,"High",""))</f>
        <v/>
      </c>
      <c r="K678" s="6" t="str">
        <f aca="false">IF(C678&lt;Outliers!$E$8,"Low",IF(C678&gt;Outliers!$F$8,"High",""))</f>
        <v/>
      </c>
      <c r="L678" s="6" t="str">
        <f aca="false">A678&amp;";"&amp;B678&amp;";"&amp;C678</f>
        <v>27.62749466;39.26137642;23.9599312457013</v>
      </c>
      <c r="M678" s="6" t="n">
        <f aca="false">IF(COUNTIF($L$2:$L$2201,L678)&gt;1,1,0)</f>
        <v>0</v>
      </c>
      <c r="N678" s="6" t="str">
        <f aca="false">IF(AND(C678&lt;Assumptions!$B$9,B678&lt;Assumptions!$B$10),"Irrigate Now",IF(AND(C678&gt;=Assumptions!$B$11,B678&gt;=Assumptions!$B$12),"No Irrigation Needed","Monitor"))</f>
        <v>Monitor</v>
      </c>
      <c r="O678" s="6" t="n">
        <f aca="false">IF(N678=G678,1,0)</f>
        <v>1</v>
      </c>
    </row>
    <row r="679" customFormat="false" ht="15" hidden="false" customHeight="false" outlineLevel="0" collapsed="false">
      <c r="A679" s="16" t="n">
        <v>28.66086349</v>
      </c>
      <c r="B679" s="16" t="n">
        <v>50.01534317</v>
      </c>
      <c r="C679" s="16" t="n">
        <v>29.6675075718586</v>
      </c>
      <c r="D679" s="6" t="s">
        <v>57</v>
      </c>
      <c r="E679" s="6" t="s">
        <v>57</v>
      </c>
      <c r="F679" s="6" t="s">
        <v>23</v>
      </c>
      <c r="G679" s="6" t="s">
        <v>61</v>
      </c>
      <c r="H679" s="6" t="s">
        <v>63</v>
      </c>
      <c r="I679" s="6" t="str">
        <f aca="false">IF(A679&lt;Outliers!$E$6,"Low",IF(A679&gt;Outliers!$F$6,"High",""))</f>
        <v/>
      </c>
      <c r="J679" s="6" t="str">
        <f aca="false">IF(B679&lt;Outliers!$E$7,"Low",IF(B679&gt;Outliers!$F$7,"High",""))</f>
        <v/>
      </c>
      <c r="K679" s="6" t="str">
        <f aca="false">IF(C679&lt;Outliers!$E$8,"Low",IF(C679&gt;Outliers!$F$8,"High",""))</f>
        <v/>
      </c>
      <c r="L679" s="6" t="str">
        <f aca="false">A679&amp;";"&amp;B679&amp;";"&amp;C679</f>
        <v>28.66086349;50.01534317;29.6675075718586</v>
      </c>
      <c r="M679" s="6" t="n">
        <f aca="false">IF(COUNTIF($L$2:$L$2201,L679)&gt;1,1,0)</f>
        <v>0</v>
      </c>
      <c r="N679" s="6" t="str">
        <f aca="false">IF(AND(C679&lt;Assumptions!$B$9,B679&lt;Assumptions!$B$10),"Irrigate Now",IF(AND(C679&gt;=Assumptions!$B$11,B679&gt;=Assumptions!$B$12),"No Irrigation Needed","Monitor"))</f>
        <v>Monitor</v>
      </c>
      <c r="O679" s="6" t="n">
        <f aca="false">IF(N679=G679,1,0)</f>
        <v>1</v>
      </c>
    </row>
    <row r="680" customFormat="false" ht="15" hidden="false" customHeight="false" outlineLevel="0" collapsed="false">
      <c r="A680" s="16" t="n">
        <v>29.2114218</v>
      </c>
      <c r="B680" s="16" t="n">
        <v>51.53848218</v>
      </c>
      <c r="C680" s="16" t="n">
        <v>15.1317654574967</v>
      </c>
      <c r="D680" s="6" t="s">
        <v>57</v>
      </c>
      <c r="E680" s="6" t="s">
        <v>57</v>
      </c>
      <c r="F680" s="6" t="s">
        <v>24</v>
      </c>
      <c r="G680" s="6" t="s">
        <v>64</v>
      </c>
      <c r="H680" s="6" t="s">
        <v>65</v>
      </c>
      <c r="I680" s="6" t="str">
        <f aca="false">IF(A680&lt;Outliers!$E$6,"Low",IF(A680&gt;Outliers!$F$6,"High",""))</f>
        <v/>
      </c>
      <c r="J680" s="6" t="str">
        <f aca="false">IF(B680&lt;Outliers!$E$7,"Low",IF(B680&gt;Outliers!$F$7,"High",""))</f>
        <v/>
      </c>
      <c r="K680" s="6" t="str">
        <f aca="false">IF(C680&lt;Outliers!$E$8,"Low",IF(C680&gt;Outliers!$F$8,"High",""))</f>
        <v/>
      </c>
      <c r="L680" s="6" t="str">
        <f aca="false">A680&amp;";"&amp;B680&amp;";"&amp;C680</f>
        <v>29.2114218;51.53848218;15.1317654574967</v>
      </c>
      <c r="M680" s="6" t="n">
        <f aca="false">IF(COUNTIF($L$2:$L$2201,L680)&gt;1,1,0)</f>
        <v>0</v>
      </c>
      <c r="N680" s="6" t="str">
        <f aca="false">IF(AND(C680&lt;Assumptions!$B$9,B680&lt;Assumptions!$B$10),"Irrigate Now",IF(AND(C680&gt;=Assumptions!$B$11,B680&gt;=Assumptions!$B$12),"No Irrigation Needed","Monitor"))</f>
        <v>Irrigate Now</v>
      </c>
      <c r="O680" s="6" t="n">
        <f aca="false">IF(N680=G680,1,0)</f>
        <v>1</v>
      </c>
    </row>
    <row r="681" customFormat="false" ht="15" hidden="false" customHeight="false" outlineLevel="0" collapsed="false">
      <c r="A681" s="16" t="n">
        <v>29.40889385</v>
      </c>
      <c r="B681" s="16" t="n">
        <v>53.35486977</v>
      </c>
      <c r="C681" s="16" t="n">
        <v>29.6098280865572</v>
      </c>
      <c r="D681" s="6" t="s">
        <v>57</v>
      </c>
      <c r="E681" s="6" t="s">
        <v>57</v>
      </c>
      <c r="F681" s="6" t="s">
        <v>23</v>
      </c>
      <c r="G681" s="6" t="s">
        <v>61</v>
      </c>
      <c r="H681" s="6" t="s">
        <v>63</v>
      </c>
      <c r="I681" s="6" t="str">
        <f aca="false">IF(A681&lt;Outliers!$E$6,"Low",IF(A681&gt;Outliers!$F$6,"High",""))</f>
        <v/>
      </c>
      <c r="J681" s="6" t="str">
        <f aca="false">IF(B681&lt;Outliers!$E$7,"Low",IF(B681&gt;Outliers!$F$7,"High",""))</f>
        <v/>
      </c>
      <c r="K681" s="6" t="str">
        <f aca="false">IF(C681&lt;Outliers!$E$8,"Low",IF(C681&gt;Outliers!$F$8,"High",""))</f>
        <v/>
      </c>
      <c r="L681" s="6" t="str">
        <f aca="false">A681&amp;";"&amp;B681&amp;";"&amp;C681</f>
        <v>29.40889385;53.35486977;29.6098280865572</v>
      </c>
      <c r="M681" s="6" t="n">
        <f aca="false">IF(COUNTIF($L$2:$L$2201,L681)&gt;1,1,0)</f>
        <v>0</v>
      </c>
      <c r="N681" s="6" t="str">
        <f aca="false">IF(AND(C681&lt;Assumptions!$B$9,B681&lt;Assumptions!$B$10),"Irrigate Now",IF(AND(C681&gt;=Assumptions!$B$11,B681&gt;=Assumptions!$B$12),"No Irrigation Needed","Monitor"))</f>
        <v>Monitor</v>
      </c>
      <c r="O681" s="6" t="n">
        <f aca="false">IF(N681=G681,1,0)</f>
        <v>1</v>
      </c>
    </row>
    <row r="682" customFormat="false" ht="15" hidden="false" customHeight="false" outlineLevel="0" collapsed="false">
      <c r="A682" s="16" t="n">
        <v>28.02952623</v>
      </c>
      <c r="B682" s="16" t="n">
        <v>36.12042927</v>
      </c>
      <c r="C682" s="16" t="n">
        <v>10.5066129551014</v>
      </c>
      <c r="D682" s="6" t="s">
        <v>57</v>
      </c>
      <c r="E682" s="6" t="s">
        <v>23</v>
      </c>
      <c r="F682" s="6" t="s">
        <v>24</v>
      </c>
      <c r="G682" s="6" t="s">
        <v>64</v>
      </c>
      <c r="H682" s="6" t="s">
        <v>65</v>
      </c>
      <c r="I682" s="6" t="str">
        <f aca="false">IF(A682&lt;Outliers!$E$6,"Low",IF(A682&gt;Outliers!$F$6,"High",""))</f>
        <v/>
      </c>
      <c r="J682" s="6" t="str">
        <f aca="false">IF(B682&lt;Outliers!$E$7,"Low",IF(B682&gt;Outliers!$F$7,"High",""))</f>
        <v/>
      </c>
      <c r="K682" s="6" t="str">
        <f aca="false">IF(C682&lt;Outliers!$E$8,"Low",IF(C682&gt;Outliers!$F$8,"High",""))</f>
        <v/>
      </c>
      <c r="L682" s="6" t="str">
        <f aca="false">A682&amp;";"&amp;B682&amp;";"&amp;C682</f>
        <v>28.02952623;36.12042927;10.5066129551014</v>
      </c>
      <c r="M682" s="6" t="n">
        <f aca="false">IF(COUNTIF($L$2:$L$2201,L682)&gt;1,1,0)</f>
        <v>0</v>
      </c>
      <c r="N682" s="6" t="str">
        <f aca="false">IF(AND(C682&lt;Assumptions!$B$9,B682&lt;Assumptions!$B$10),"Irrigate Now",IF(AND(C682&gt;=Assumptions!$B$11,B682&gt;=Assumptions!$B$12),"No Irrigation Needed","Monitor"))</f>
        <v>Irrigate Now</v>
      </c>
      <c r="O682" s="6" t="n">
        <f aca="false">IF(N682=G682,1,0)</f>
        <v>1</v>
      </c>
    </row>
    <row r="683" customFormat="false" ht="15" hidden="false" customHeight="false" outlineLevel="0" collapsed="false">
      <c r="A683" s="16" t="n">
        <v>28.08657178</v>
      </c>
      <c r="B683" s="16" t="n">
        <v>38.14476781</v>
      </c>
      <c r="C683" s="16" t="n">
        <v>29.3547372944456</v>
      </c>
      <c r="D683" s="6" t="s">
        <v>57</v>
      </c>
      <c r="E683" s="6" t="s">
        <v>23</v>
      </c>
      <c r="F683" s="6" t="s">
        <v>23</v>
      </c>
      <c r="G683" s="6" t="s">
        <v>61</v>
      </c>
      <c r="H683" s="6" t="s">
        <v>63</v>
      </c>
      <c r="I683" s="6" t="str">
        <f aca="false">IF(A683&lt;Outliers!$E$6,"Low",IF(A683&gt;Outliers!$F$6,"High",""))</f>
        <v/>
      </c>
      <c r="J683" s="6" t="str">
        <f aca="false">IF(B683&lt;Outliers!$E$7,"Low",IF(B683&gt;Outliers!$F$7,"High",""))</f>
        <v/>
      </c>
      <c r="K683" s="6" t="str">
        <f aca="false">IF(C683&lt;Outliers!$E$8,"Low",IF(C683&gt;Outliers!$F$8,"High",""))</f>
        <v/>
      </c>
      <c r="L683" s="6" t="str">
        <f aca="false">A683&amp;";"&amp;B683&amp;";"&amp;C683</f>
        <v>28.08657178;38.14476781;29.3547372944456</v>
      </c>
      <c r="M683" s="6" t="n">
        <f aca="false">IF(COUNTIF($L$2:$L$2201,L683)&gt;1,1,0)</f>
        <v>0</v>
      </c>
      <c r="N683" s="6" t="str">
        <f aca="false">IF(AND(C683&lt;Assumptions!$B$9,B683&lt;Assumptions!$B$10),"Irrigate Now",IF(AND(C683&gt;=Assumptions!$B$11,B683&gt;=Assumptions!$B$12),"No Irrigation Needed","Monitor"))</f>
        <v>Monitor</v>
      </c>
      <c r="O683" s="6" t="n">
        <f aca="false">IF(N683=G683,1,0)</f>
        <v>1</v>
      </c>
    </row>
    <row r="684" customFormat="false" ht="15" hidden="false" customHeight="false" outlineLevel="0" collapsed="false">
      <c r="A684" s="16" t="n">
        <v>29.16174608</v>
      </c>
      <c r="B684" s="16" t="n">
        <v>40.16545979</v>
      </c>
      <c r="C684" s="16" t="n">
        <v>27.6091446293123</v>
      </c>
      <c r="D684" s="6" t="s">
        <v>57</v>
      </c>
      <c r="E684" s="6" t="s">
        <v>23</v>
      </c>
      <c r="F684" s="6" t="s">
        <v>23</v>
      </c>
      <c r="G684" s="6" t="s">
        <v>61</v>
      </c>
      <c r="H684" s="6" t="s">
        <v>63</v>
      </c>
      <c r="I684" s="6" t="str">
        <f aca="false">IF(A684&lt;Outliers!$E$6,"Low",IF(A684&gt;Outliers!$F$6,"High",""))</f>
        <v/>
      </c>
      <c r="J684" s="6" t="str">
        <f aca="false">IF(B684&lt;Outliers!$E$7,"Low",IF(B684&gt;Outliers!$F$7,"High",""))</f>
        <v/>
      </c>
      <c r="K684" s="6" t="str">
        <f aca="false">IF(C684&lt;Outliers!$E$8,"Low",IF(C684&gt;Outliers!$F$8,"High",""))</f>
        <v/>
      </c>
      <c r="L684" s="6" t="str">
        <f aca="false">A684&amp;";"&amp;B684&amp;";"&amp;C684</f>
        <v>29.16174608;40.16545979;27.6091446293123</v>
      </c>
      <c r="M684" s="6" t="n">
        <f aca="false">IF(COUNTIF($L$2:$L$2201,L684)&gt;1,1,0)</f>
        <v>0</v>
      </c>
      <c r="N684" s="6" t="str">
        <f aca="false">IF(AND(C684&lt;Assumptions!$B$9,B684&lt;Assumptions!$B$10),"Irrigate Now",IF(AND(C684&gt;=Assumptions!$B$11,B684&gt;=Assumptions!$B$12),"No Irrigation Needed","Monitor"))</f>
        <v>Monitor</v>
      </c>
      <c r="O684" s="6" t="n">
        <f aca="false">IF(N684=G684,1,0)</f>
        <v>1</v>
      </c>
    </row>
    <row r="685" customFormat="false" ht="15" hidden="false" customHeight="false" outlineLevel="0" collapsed="false">
      <c r="A685" s="16" t="n">
        <v>29.8596912</v>
      </c>
      <c r="B685" s="16" t="n">
        <v>50.66487502</v>
      </c>
      <c r="C685" s="16" t="n">
        <v>29.1461110767792</v>
      </c>
      <c r="D685" s="6" t="s">
        <v>57</v>
      </c>
      <c r="E685" s="6" t="s">
        <v>57</v>
      </c>
      <c r="F685" s="6" t="s">
        <v>23</v>
      </c>
      <c r="G685" s="6" t="s">
        <v>61</v>
      </c>
      <c r="H685" s="6" t="s">
        <v>63</v>
      </c>
      <c r="I685" s="6" t="str">
        <f aca="false">IF(A685&lt;Outliers!$E$6,"Low",IF(A685&gt;Outliers!$F$6,"High",""))</f>
        <v/>
      </c>
      <c r="J685" s="6" t="str">
        <f aca="false">IF(B685&lt;Outliers!$E$7,"Low",IF(B685&gt;Outliers!$F$7,"High",""))</f>
        <v/>
      </c>
      <c r="K685" s="6" t="str">
        <f aca="false">IF(C685&lt;Outliers!$E$8,"Low",IF(C685&gt;Outliers!$F$8,"High",""))</f>
        <v/>
      </c>
      <c r="L685" s="6" t="str">
        <f aca="false">A685&amp;";"&amp;B685&amp;";"&amp;C685</f>
        <v>29.8596912;50.66487502;29.1461110767792</v>
      </c>
      <c r="M685" s="6" t="n">
        <f aca="false">IF(COUNTIF($L$2:$L$2201,L685)&gt;1,1,0)</f>
        <v>0</v>
      </c>
      <c r="N685" s="6" t="str">
        <f aca="false">IF(AND(C685&lt;Assumptions!$B$9,B685&lt;Assumptions!$B$10),"Irrigate Now",IF(AND(C685&gt;=Assumptions!$B$11,B685&gt;=Assumptions!$B$12),"No Irrigation Needed","Monitor"))</f>
        <v>Monitor</v>
      </c>
      <c r="O685" s="6" t="n">
        <f aca="false">IF(N685=G685,1,0)</f>
        <v>1</v>
      </c>
    </row>
    <row r="686" customFormat="false" ht="15" hidden="false" customHeight="false" outlineLevel="0" collapsed="false">
      <c r="A686" s="16" t="n">
        <v>29.06631494</v>
      </c>
      <c r="B686" s="16" t="n">
        <v>43.95183726</v>
      </c>
      <c r="C686" s="16" t="n">
        <v>14.2391369745178</v>
      </c>
      <c r="D686" s="6" t="s">
        <v>57</v>
      </c>
      <c r="E686" s="6" t="s">
        <v>23</v>
      </c>
      <c r="F686" s="6" t="s">
        <v>24</v>
      </c>
      <c r="G686" s="6" t="s">
        <v>64</v>
      </c>
      <c r="H686" s="6" t="s">
        <v>65</v>
      </c>
      <c r="I686" s="6" t="str">
        <f aca="false">IF(A686&lt;Outliers!$E$6,"Low",IF(A686&gt;Outliers!$F$6,"High",""))</f>
        <v/>
      </c>
      <c r="J686" s="6" t="str">
        <f aca="false">IF(B686&lt;Outliers!$E$7,"Low",IF(B686&gt;Outliers!$F$7,"High",""))</f>
        <v/>
      </c>
      <c r="K686" s="6" t="str">
        <f aca="false">IF(C686&lt;Outliers!$E$8,"Low",IF(C686&gt;Outliers!$F$8,"High",""))</f>
        <v/>
      </c>
      <c r="L686" s="6" t="str">
        <f aca="false">A686&amp;";"&amp;B686&amp;";"&amp;C686</f>
        <v>29.06631494;43.95183726;14.2391369745178</v>
      </c>
      <c r="M686" s="6" t="n">
        <f aca="false">IF(COUNTIF($L$2:$L$2201,L686)&gt;1,1,0)</f>
        <v>0</v>
      </c>
      <c r="N686" s="6" t="str">
        <f aca="false">IF(AND(C686&lt;Assumptions!$B$9,B686&lt;Assumptions!$B$10),"Irrigate Now",IF(AND(C686&gt;=Assumptions!$B$11,B686&gt;=Assumptions!$B$12),"No Irrigation Needed","Monitor"))</f>
        <v>Irrigate Now</v>
      </c>
      <c r="O686" s="6" t="n">
        <f aca="false">IF(N686=G686,1,0)</f>
        <v>1</v>
      </c>
    </row>
    <row r="687" customFormat="false" ht="15" hidden="false" customHeight="false" outlineLevel="0" collapsed="false">
      <c r="A687" s="16" t="n">
        <v>27.38538997</v>
      </c>
      <c r="B687" s="16" t="n">
        <v>58.29933073</v>
      </c>
      <c r="C687" s="16" t="n">
        <v>23.4405295686593</v>
      </c>
      <c r="D687" s="6" t="s">
        <v>57</v>
      </c>
      <c r="E687" s="6" t="s">
        <v>57</v>
      </c>
      <c r="F687" s="6" t="s">
        <v>60</v>
      </c>
      <c r="G687" s="6" t="s">
        <v>61</v>
      </c>
      <c r="H687" s="6" t="s">
        <v>63</v>
      </c>
      <c r="I687" s="6" t="str">
        <f aca="false">IF(A687&lt;Outliers!$E$6,"Low",IF(A687&gt;Outliers!$F$6,"High",""))</f>
        <v/>
      </c>
      <c r="J687" s="6" t="str">
        <f aca="false">IF(B687&lt;Outliers!$E$7,"Low",IF(B687&gt;Outliers!$F$7,"High",""))</f>
        <v/>
      </c>
      <c r="K687" s="6" t="str">
        <f aca="false">IF(C687&lt;Outliers!$E$8,"Low",IF(C687&gt;Outliers!$F$8,"High",""))</f>
        <v/>
      </c>
      <c r="L687" s="6" t="str">
        <f aca="false">A687&amp;";"&amp;B687&amp;";"&amp;C687</f>
        <v>27.38538997;58.29933073;23.4405295686593</v>
      </c>
      <c r="M687" s="6" t="n">
        <f aca="false">IF(COUNTIF($L$2:$L$2201,L687)&gt;1,1,0)</f>
        <v>0</v>
      </c>
      <c r="N687" s="6" t="str">
        <f aca="false">IF(AND(C687&lt;Assumptions!$B$9,B687&lt;Assumptions!$B$10),"Irrigate Now",IF(AND(C687&gt;=Assumptions!$B$11,B687&gt;=Assumptions!$B$12),"No Irrigation Needed","Monitor"))</f>
        <v>Monitor</v>
      </c>
      <c r="O687" s="6" t="n">
        <f aca="false">IF(N687=G687,1,0)</f>
        <v>1</v>
      </c>
    </row>
    <row r="688" customFormat="false" ht="15" hidden="false" customHeight="false" outlineLevel="0" collapsed="false">
      <c r="A688" s="16" t="n">
        <v>27.93034941</v>
      </c>
      <c r="B688" s="16" t="n">
        <v>43.25095608</v>
      </c>
      <c r="C688" s="16" t="n">
        <v>11.6613580780184</v>
      </c>
      <c r="D688" s="6" t="s">
        <v>57</v>
      </c>
      <c r="E688" s="6" t="s">
        <v>23</v>
      </c>
      <c r="F688" s="6" t="s">
        <v>24</v>
      </c>
      <c r="G688" s="6" t="s">
        <v>64</v>
      </c>
      <c r="H688" s="6" t="s">
        <v>65</v>
      </c>
      <c r="I688" s="6" t="str">
        <f aca="false">IF(A688&lt;Outliers!$E$6,"Low",IF(A688&gt;Outliers!$F$6,"High",""))</f>
        <v/>
      </c>
      <c r="J688" s="6" t="str">
        <f aca="false">IF(B688&lt;Outliers!$E$7,"Low",IF(B688&gt;Outliers!$F$7,"High",""))</f>
        <v/>
      </c>
      <c r="K688" s="6" t="str">
        <f aca="false">IF(C688&lt;Outliers!$E$8,"Low",IF(C688&gt;Outliers!$F$8,"High",""))</f>
        <v/>
      </c>
      <c r="L688" s="6" t="str">
        <f aca="false">A688&amp;";"&amp;B688&amp;";"&amp;C688</f>
        <v>27.93034941;43.25095608;11.6613580780184</v>
      </c>
      <c r="M688" s="6" t="n">
        <f aca="false">IF(COUNTIF($L$2:$L$2201,L688)&gt;1,1,0)</f>
        <v>0</v>
      </c>
      <c r="N688" s="6" t="str">
        <f aca="false">IF(AND(C688&lt;Assumptions!$B$9,B688&lt;Assumptions!$B$10),"Irrigate Now",IF(AND(C688&gt;=Assumptions!$B$11,B688&gt;=Assumptions!$B$12),"No Irrigation Needed","Monitor"))</f>
        <v>Irrigate Now</v>
      </c>
      <c r="O688" s="6" t="n">
        <f aca="false">IF(N688=G688,1,0)</f>
        <v>1</v>
      </c>
    </row>
    <row r="689" customFormat="false" ht="15" hidden="false" customHeight="false" outlineLevel="0" collapsed="false">
      <c r="A689" s="16" t="n">
        <v>29.2808618</v>
      </c>
      <c r="B689" s="16" t="n">
        <v>44.47427436</v>
      </c>
      <c r="C689" s="16" t="n">
        <v>22.980778343886</v>
      </c>
      <c r="D689" s="6" t="s">
        <v>57</v>
      </c>
      <c r="E689" s="6" t="s">
        <v>23</v>
      </c>
      <c r="F689" s="6" t="s">
        <v>60</v>
      </c>
      <c r="G689" s="6" t="s">
        <v>61</v>
      </c>
      <c r="H689" s="6" t="s">
        <v>63</v>
      </c>
      <c r="I689" s="6" t="str">
        <f aca="false">IF(A689&lt;Outliers!$E$6,"Low",IF(A689&gt;Outliers!$F$6,"High",""))</f>
        <v/>
      </c>
      <c r="J689" s="6" t="str">
        <f aca="false">IF(B689&lt;Outliers!$E$7,"Low",IF(B689&gt;Outliers!$F$7,"High",""))</f>
        <v/>
      </c>
      <c r="K689" s="6" t="str">
        <f aca="false">IF(C689&lt;Outliers!$E$8,"Low",IF(C689&gt;Outliers!$F$8,"High",""))</f>
        <v/>
      </c>
      <c r="L689" s="6" t="str">
        <f aca="false">A689&amp;";"&amp;B689&amp;";"&amp;C689</f>
        <v>29.2808618;44.47427436;22.980778343886</v>
      </c>
      <c r="M689" s="6" t="n">
        <f aca="false">IF(COUNTIF($L$2:$L$2201,L689)&gt;1,1,0)</f>
        <v>0</v>
      </c>
      <c r="N689" s="6" t="str">
        <f aca="false">IF(AND(C689&lt;Assumptions!$B$9,B689&lt;Assumptions!$B$10),"Irrigate Now",IF(AND(C689&gt;=Assumptions!$B$11,B689&gt;=Assumptions!$B$12),"No Irrigation Needed","Monitor"))</f>
        <v>Monitor</v>
      </c>
      <c r="O689" s="6" t="n">
        <f aca="false">IF(N689=G689,1,0)</f>
        <v>1</v>
      </c>
    </row>
    <row r="690" customFormat="false" ht="15" hidden="false" customHeight="false" outlineLevel="0" collapsed="false">
      <c r="A690" s="16" t="n">
        <v>28.9973145</v>
      </c>
      <c r="B690" s="16" t="n">
        <v>59.84499208</v>
      </c>
      <c r="C690" s="16" t="n">
        <v>29.0333986351163</v>
      </c>
      <c r="D690" s="6" t="s">
        <v>57</v>
      </c>
      <c r="E690" s="6" t="s">
        <v>57</v>
      </c>
      <c r="F690" s="6" t="s">
        <v>23</v>
      </c>
      <c r="G690" s="6" t="s">
        <v>61</v>
      </c>
      <c r="H690" s="6" t="s">
        <v>63</v>
      </c>
      <c r="I690" s="6" t="str">
        <f aca="false">IF(A690&lt;Outliers!$E$6,"Low",IF(A690&gt;Outliers!$F$6,"High",""))</f>
        <v/>
      </c>
      <c r="J690" s="6" t="str">
        <f aca="false">IF(B690&lt;Outliers!$E$7,"Low",IF(B690&gt;Outliers!$F$7,"High",""))</f>
        <v/>
      </c>
      <c r="K690" s="6" t="str">
        <f aca="false">IF(C690&lt;Outliers!$E$8,"Low",IF(C690&gt;Outliers!$F$8,"High",""))</f>
        <v/>
      </c>
      <c r="L690" s="6" t="str">
        <f aca="false">A690&amp;";"&amp;B690&amp;";"&amp;C690</f>
        <v>28.9973145;59.84499208;29.0333986351163</v>
      </c>
      <c r="M690" s="6" t="n">
        <f aca="false">IF(COUNTIF($L$2:$L$2201,L690)&gt;1,1,0)</f>
        <v>0</v>
      </c>
      <c r="N690" s="6" t="str">
        <f aca="false">IF(AND(C690&lt;Assumptions!$B$9,B690&lt;Assumptions!$B$10),"Irrigate Now",IF(AND(C690&gt;=Assumptions!$B$11,B690&gt;=Assumptions!$B$12),"No Irrigation Needed","Monitor"))</f>
        <v>Monitor</v>
      </c>
      <c r="O690" s="6" t="n">
        <f aca="false">IF(N690=G690,1,0)</f>
        <v>1</v>
      </c>
    </row>
    <row r="691" customFormat="false" ht="15" hidden="false" customHeight="false" outlineLevel="0" collapsed="false">
      <c r="A691" s="16" t="n">
        <v>27.92678579</v>
      </c>
      <c r="B691" s="16" t="n">
        <v>43.4826194</v>
      </c>
      <c r="C691" s="16" t="n">
        <v>15.314463414163</v>
      </c>
      <c r="D691" s="6" t="s">
        <v>57</v>
      </c>
      <c r="E691" s="6" t="s">
        <v>23</v>
      </c>
      <c r="F691" s="6" t="s">
        <v>24</v>
      </c>
      <c r="G691" s="6" t="s">
        <v>64</v>
      </c>
      <c r="H691" s="6" t="s">
        <v>65</v>
      </c>
      <c r="I691" s="6" t="str">
        <f aca="false">IF(A691&lt;Outliers!$E$6,"Low",IF(A691&gt;Outliers!$F$6,"High",""))</f>
        <v/>
      </c>
      <c r="J691" s="6" t="str">
        <f aca="false">IF(B691&lt;Outliers!$E$7,"Low",IF(B691&gt;Outliers!$F$7,"High",""))</f>
        <v/>
      </c>
      <c r="K691" s="6" t="str">
        <f aca="false">IF(C691&lt;Outliers!$E$8,"Low",IF(C691&gt;Outliers!$F$8,"High",""))</f>
        <v/>
      </c>
      <c r="L691" s="6" t="str">
        <f aca="false">A691&amp;";"&amp;B691&amp;";"&amp;C691</f>
        <v>27.92678579;43.4826194;15.314463414163</v>
      </c>
      <c r="M691" s="6" t="n">
        <f aca="false">IF(COUNTIF($L$2:$L$2201,L691)&gt;1,1,0)</f>
        <v>0</v>
      </c>
      <c r="N691" s="6" t="str">
        <f aca="false">IF(AND(C691&lt;Assumptions!$B$9,B691&lt;Assumptions!$B$10),"Irrigate Now",IF(AND(C691&gt;=Assumptions!$B$11,B691&gt;=Assumptions!$B$12),"No Irrigation Needed","Monitor"))</f>
        <v>Irrigate Now</v>
      </c>
      <c r="O691" s="6" t="n">
        <f aca="false">IF(N691=G691,1,0)</f>
        <v>1</v>
      </c>
    </row>
    <row r="692" customFormat="false" ht="15" hidden="false" customHeight="false" outlineLevel="0" collapsed="false">
      <c r="A692" s="16" t="n">
        <v>28.5474135</v>
      </c>
      <c r="B692" s="16" t="n">
        <v>49.4897245</v>
      </c>
      <c r="C692" s="16" t="n">
        <v>20.287319496496</v>
      </c>
      <c r="D692" s="6" t="s">
        <v>57</v>
      </c>
      <c r="E692" s="6" t="s">
        <v>23</v>
      </c>
      <c r="F692" s="6" t="s">
        <v>60</v>
      </c>
      <c r="G692" s="6" t="s">
        <v>61</v>
      </c>
      <c r="H692" s="6" t="s">
        <v>63</v>
      </c>
      <c r="I692" s="6" t="str">
        <f aca="false">IF(A692&lt;Outliers!$E$6,"Low",IF(A692&gt;Outliers!$F$6,"High",""))</f>
        <v/>
      </c>
      <c r="J692" s="6" t="str">
        <f aca="false">IF(B692&lt;Outliers!$E$7,"Low",IF(B692&gt;Outliers!$F$7,"High",""))</f>
        <v/>
      </c>
      <c r="K692" s="6" t="str">
        <f aca="false">IF(C692&lt;Outliers!$E$8,"Low",IF(C692&gt;Outliers!$F$8,"High",""))</f>
        <v/>
      </c>
      <c r="L692" s="6" t="str">
        <f aca="false">A692&amp;";"&amp;B692&amp;";"&amp;C692</f>
        <v>28.5474135;49.4897245;20.287319496496</v>
      </c>
      <c r="M692" s="6" t="n">
        <f aca="false">IF(COUNTIF($L$2:$L$2201,L692)&gt;1,1,0)</f>
        <v>0</v>
      </c>
      <c r="N692" s="6" t="str">
        <f aca="false">IF(AND(C692&lt;Assumptions!$B$9,B692&lt;Assumptions!$B$10),"Irrigate Now",IF(AND(C692&gt;=Assumptions!$B$11,B692&gt;=Assumptions!$B$12),"No Irrigation Needed","Monitor"))</f>
        <v>Monitor</v>
      </c>
      <c r="O692" s="6" t="n">
        <f aca="false">IF(N692=G692,1,0)</f>
        <v>1</v>
      </c>
    </row>
    <row r="693" customFormat="false" ht="15" hidden="false" customHeight="false" outlineLevel="0" collapsed="false">
      <c r="A693" s="16" t="n">
        <v>29.36488409</v>
      </c>
      <c r="B693" s="16" t="n">
        <v>48.30159325</v>
      </c>
      <c r="C693" s="16" t="n">
        <v>17.7157768054615</v>
      </c>
      <c r="D693" s="6" t="s">
        <v>57</v>
      </c>
      <c r="E693" s="6" t="s">
        <v>23</v>
      </c>
      <c r="F693" s="6" t="s">
        <v>24</v>
      </c>
      <c r="G693" s="6" t="s">
        <v>64</v>
      </c>
      <c r="H693" s="6" t="s">
        <v>65</v>
      </c>
      <c r="I693" s="6" t="str">
        <f aca="false">IF(A693&lt;Outliers!$E$6,"Low",IF(A693&gt;Outliers!$F$6,"High",""))</f>
        <v/>
      </c>
      <c r="J693" s="6" t="str">
        <f aca="false">IF(B693&lt;Outliers!$E$7,"Low",IF(B693&gt;Outliers!$F$7,"High",""))</f>
        <v/>
      </c>
      <c r="K693" s="6" t="str">
        <f aca="false">IF(C693&lt;Outliers!$E$8,"Low",IF(C693&gt;Outliers!$F$8,"High",""))</f>
        <v/>
      </c>
      <c r="L693" s="6" t="str">
        <f aca="false">A693&amp;";"&amp;B693&amp;";"&amp;C693</f>
        <v>29.36488409;48.30159325;17.7157768054615</v>
      </c>
      <c r="M693" s="6" t="n">
        <f aca="false">IF(COUNTIF($L$2:$L$2201,L693)&gt;1,1,0)</f>
        <v>0</v>
      </c>
      <c r="N693" s="6" t="str">
        <f aca="false">IF(AND(C693&lt;Assumptions!$B$9,B693&lt;Assumptions!$B$10),"Irrigate Now",IF(AND(C693&gt;=Assumptions!$B$11,B693&gt;=Assumptions!$B$12),"No Irrigation Needed","Monitor"))</f>
        <v>Irrigate Now</v>
      </c>
      <c r="O693" s="6" t="n">
        <f aca="false">IF(N693=G693,1,0)</f>
        <v>1</v>
      </c>
    </row>
    <row r="694" customFormat="false" ht="15" hidden="false" customHeight="false" outlineLevel="0" collapsed="false">
      <c r="A694" s="16" t="n">
        <v>28.56149805</v>
      </c>
      <c r="B694" s="16" t="n">
        <v>41.013132</v>
      </c>
      <c r="C694" s="16" t="n">
        <v>25.6666303407825</v>
      </c>
      <c r="D694" s="6" t="s">
        <v>57</v>
      </c>
      <c r="E694" s="6" t="s">
        <v>23</v>
      </c>
      <c r="F694" s="6" t="s">
        <v>60</v>
      </c>
      <c r="G694" s="6" t="s">
        <v>61</v>
      </c>
      <c r="H694" s="6" t="s">
        <v>63</v>
      </c>
      <c r="I694" s="6" t="str">
        <f aca="false">IF(A694&lt;Outliers!$E$6,"Low",IF(A694&gt;Outliers!$F$6,"High",""))</f>
        <v/>
      </c>
      <c r="J694" s="6" t="str">
        <f aca="false">IF(B694&lt;Outliers!$E$7,"Low",IF(B694&gt;Outliers!$F$7,"High",""))</f>
        <v/>
      </c>
      <c r="K694" s="6" t="str">
        <f aca="false">IF(C694&lt;Outliers!$E$8,"Low",IF(C694&gt;Outliers!$F$8,"High",""))</f>
        <v/>
      </c>
      <c r="L694" s="6" t="str">
        <f aca="false">A694&amp;";"&amp;B694&amp;";"&amp;C694</f>
        <v>28.56149805;41.013132;25.6666303407825</v>
      </c>
      <c r="M694" s="6" t="n">
        <f aca="false">IF(COUNTIF($L$2:$L$2201,L694)&gt;1,1,0)</f>
        <v>0</v>
      </c>
      <c r="N694" s="6" t="str">
        <f aca="false">IF(AND(C694&lt;Assumptions!$B$9,B694&lt;Assumptions!$B$10),"Irrigate Now",IF(AND(C694&gt;=Assumptions!$B$11,B694&gt;=Assumptions!$B$12),"No Irrigation Needed","Monitor"))</f>
        <v>Monitor</v>
      </c>
      <c r="O694" s="6" t="n">
        <f aca="false">IF(N694=G694,1,0)</f>
        <v>1</v>
      </c>
    </row>
    <row r="695" customFormat="false" ht="15" hidden="false" customHeight="false" outlineLevel="0" collapsed="false">
      <c r="A695" s="16" t="n">
        <v>28.43683487</v>
      </c>
      <c r="B695" s="16" t="n">
        <v>43.12063289</v>
      </c>
      <c r="C695" s="16" t="n">
        <v>14.2575017994055</v>
      </c>
      <c r="D695" s="6" t="s">
        <v>57</v>
      </c>
      <c r="E695" s="6" t="s">
        <v>23</v>
      </c>
      <c r="F695" s="6" t="s">
        <v>24</v>
      </c>
      <c r="G695" s="6" t="s">
        <v>64</v>
      </c>
      <c r="H695" s="6" t="s">
        <v>65</v>
      </c>
      <c r="I695" s="6" t="str">
        <f aca="false">IF(A695&lt;Outliers!$E$6,"Low",IF(A695&gt;Outliers!$F$6,"High",""))</f>
        <v/>
      </c>
      <c r="J695" s="6" t="str">
        <f aca="false">IF(B695&lt;Outliers!$E$7,"Low",IF(B695&gt;Outliers!$F$7,"High",""))</f>
        <v/>
      </c>
      <c r="K695" s="6" t="str">
        <f aca="false">IF(C695&lt;Outliers!$E$8,"Low",IF(C695&gt;Outliers!$F$8,"High",""))</f>
        <v/>
      </c>
      <c r="L695" s="6" t="str">
        <f aca="false">A695&amp;";"&amp;B695&amp;";"&amp;C695</f>
        <v>28.43683487;43.12063289;14.2575017994055</v>
      </c>
      <c r="M695" s="6" t="n">
        <f aca="false">IF(COUNTIF($L$2:$L$2201,L695)&gt;1,1,0)</f>
        <v>0</v>
      </c>
      <c r="N695" s="6" t="str">
        <f aca="false">IF(AND(C695&lt;Assumptions!$B$9,B695&lt;Assumptions!$B$10),"Irrigate Now",IF(AND(C695&gt;=Assumptions!$B$11,B695&gt;=Assumptions!$B$12),"No Irrigation Needed","Monitor"))</f>
        <v>Irrigate Now</v>
      </c>
      <c r="O695" s="6" t="n">
        <f aca="false">IF(N695=G695,1,0)</f>
        <v>1</v>
      </c>
    </row>
    <row r="696" customFormat="false" ht="15" hidden="false" customHeight="false" outlineLevel="0" collapsed="false">
      <c r="A696" s="16" t="n">
        <v>28.79728147</v>
      </c>
      <c r="B696" s="16" t="n">
        <v>44.30070517</v>
      </c>
      <c r="C696" s="16" t="n">
        <v>11.9249270512817</v>
      </c>
      <c r="D696" s="6" t="s">
        <v>57</v>
      </c>
      <c r="E696" s="6" t="s">
        <v>23</v>
      </c>
      <c r="F696" s="6" t="s">
        <v>24</v>
      </c>
      <c r="G696" s="6" t="s">
        <v>64</v>
      </c>
      <c r="H696" s="6" t="s">
        <v>65</v>
      </c>
      <c r="I696" s="6" t="str">
        <f aca="false">IF(A696&lt;Outliers!$E$6,"Low",IF(A696&gt;Outliers!$F$6,"High",""))</f>
        <v/>
      </c>
      <c r="J696" s="6" t="str">
        <f aca="false">IF(B696&lt;Outliers!$E$7,"Low",IF(B696&gt;Outliers!$F$7,"High",""))</f>
        <v/>
      </c>
      <c r="K696" s="6" t="str">
        <f aca="false">IF(C696&lt;Outliers!$E$8,"Low",IF(C696&gt;Outliers!$F$8,"High",""))</f>
        <v/>
      </c>
      <c r="L696" s="6" t="str">
        <f aca="false">A696&amp;";"&amp;B696&amp;";"&amp;C696</f>
        <v>28.79728147;44.30070517;11.9249270512817</v>
      </c>
      <c r="M696" s="6" t="n">
        <f aca="false">IF(COUNTIF($L$2:$L$2201,L696)&gt;1,1,0)</f>
        <v>0</v>
      </c>
      <c r="N696" s="6" t="str">
        <f aca="false">IF(AND(C696&lt;Assumptions!$B$9,B696&lt;Assumptions!$B$10),"Irrigate Now",IF(AND(C696&gt;=Assumptions!$B$11,B696&gt;=Assumptions!$B$12),"No Irrigation Needed","Monitor"))</f>
        <v>Irrigate Now</v>
      </c>
      <c r="O696" s="6" t="n">
        <f aca="false">IF(N696=G696,1,0)</f>
        <v>1</v>
      </c>
    </row>
    <row r="697" customFormat="false" ht="15" hidden="false" customHeight="false" outlineLevel="0" collapsed="false">
      <c r="A697" s="16" t="n">
        <v>28.7275267</v>
      </c>
      <c r="B697" s="16" t="n">
        <v>58.52974279</v>
      </c>
      <c r="C697" s="16" t="n">
        <v>17.8493063363542</v>
      </c>
      <c r="D697" s="6" t="s">
        <v>57</v>
      </c>
      <c r="E697" s="6" t="s">
        <v>57</v>
      </c>
      <c r="F697" s="6" t="s">
        <v>24</v>
      </c>
      <c r="G697" s="6" t="s">
        <v>64</v>
      </c>
      <c r="H697" s="6" t="s">
        <v>65</v>
      </c>
      <c r="I697" s="6" t="str">
        <f aca="false">IF(A697&lt;Outliers!$E$6,"Low",IF(A697&gt;Outliers!$F$6,"High",""))</f>
        <v/>
      </c>
      <c r="J697" s="6" t="str">
        <f aca="false">IF(B697&lt;Outliers!$E$7,"Low",IF(B697&gt;Outliers!$F$7,"High",""))</f>
        <v/>
      </c>
      <c r="K697" s="6" t="str">
        <f aca="false">IF(C697&lt;Outliers!$E$8,"Low",IF(C697&gt;Outliers!$F$8,"High",""))</f>
        <v/>
      </c>
      <c r="L697" s="6" t="str">
        <f aca="false">A697&amp;";"&amp;B697&amp;";"&amp;C697</f>
        <v>28.7275267;58.52974279;17.8493063363542</v>
      </c>
      <c r="M697" s="6" t="n">
        <f aca="false">IF(COUNTIF($L$2:$L$2201,L697)&gt;1,1,0)</f>
        <v>0</v>
      </c>
      <c r="N697" s="6" t="str">
        <f aca="false">IF(AND(C697&lt;Assumptions!$B$9,B697&lt;Assumptions!$B$10),"Irrigate Now",IF(AND(C697&gt;=Assumptions!$B$11,B697&gt;=Assumptions!$B$12),"No Irrigation Needed","Monitor"))</f>
        <v>Irrigate Now</v>
      </c>
      <c r="O697" s="6" t="n">
        <f aca="false">IF(N697=G697,1,0)</f>
        <v>1</v>
      </c>
    </row>
    <row r="698" customFormat="false" ht="15" hidden="false" customHeight="false" outlineLevel="0" collapsed="false">
      <c r="A698" s="16" t="n">
        <v>27.95639663</v>
      </c>
      <c r="B698" s="16" t="n">
        <v>43.25726752</v>
      </c>
      <c r="C698" s="16" t="n">
        <v>28.6979758711939</v>
      </c>
      <c r="D698" s="6" t="s">
        <v>57</v>
      </c>
      <c r="E698" s="6" t="s">
        <v>23</v>
      </c>
      <c r="F698" s="6" t="s">
        <v>23</v>
      </c>
      <c r="G698" s="6" t="s">
        <v>61</v>
      </c>
      <c r="H698" s="6" t="s">
        <v>63</v>
      </c>
      <c r="I698" s="6" t="str">
        <f aca="false">IF(A698&lt;Outliers!$E$6,"Low",IF(A698&gt;Outliers!$F$6,"High",""))</f>
        <v/>
      </c>
      <c r="J698" s="6" t="str">
        <f aca="false">IF(B698&lt;Outliers!$E$7,"Low",IF(B698&gt;Outliers!$F$7,"High",""))</f>
        <v/>
      </c>
      <c r="K698" s="6" t="str">
        <f aca="false">IF(C698&lt;Outliers!$E$8,"Low",IF(C698&gt;Outliers!$F$8,"High",""))</f>
        <v/>
      </c>
      <c r="L698" s="6" t="str">
        <f aca="false">A698&amp;";"&amp;B698&amp;";"&amp;C698</f>
        <v>27.95639663;43.25726752;28.6979758711939</v>
      </c>
      <c r="M698" s="6" t="n">
        <f aca="false">IF(COUNTIF($L$2:$L$2201,L698)&gt;1,1,0)</f>
        <v>0</v>
      </c>
      <c r="N698" s="6" t="str">
        <f aca="false">IF(AND(C698&lt;Assumptions!$B$9,B698&lt;Assumptions!$B$10),"Irrigate Now",IF(AND(C698&gt;=Assumptions!$B$11,B698&gt;=Assumptions!$B$12),"No Irrigation Needed","Monitor"))</f>
        <v>Monitor</v>
      </c>
      <c r="O698" s="6" t="n">
        <f aca="false">IF(N698=G698,1,0)</f>
        <v>1</v>
      </c>
    </row>
    <row r="699" customFormat="false" ht="15" hidden="false" customHeight="false" outlineLevel="0" collapsed="false">
      <c r="A699" s="16" t="n">
        <v>28.17458662</v>
      </c>
      <c r="B699" s="16" t="n">
        <v>37.2464655</v>
      </c>
      <c r="C699" s="16" t="n">
        <v>12.3646840357347</v>
      </c>
      <c r="D699" s="6" t="s">
        <v>57</v>
      </c>
      <c r="E699" s="6" t="s">
        <v>23</v>
      </c>
      <c r="F699" s="6" t="s">
        <v>24</v>
      </c>
      <c r="G699" s="6" t="s">
        <v>64</v>
      </c>
      <c r="H699" s="6" t="s">
        <v>65</v>
      </c>
      <c r="I699" s="6" t="str">
        <f aca="false">IF(A699&lt;Outliers!$E$6,"Low",IF(A699&gt;Outliers!$F$6,"High",""))</f>
        <v/>
      </c>
      <c r="J699" s="6" t="str">
        <f aca="false">IF(B699&lt;Outliers!$E$7,"Low",IF(B699&gt;Outliers!$F$7,"High",""))</f>
        <v/>
      </c>
      <c r="K699" s="6" t="str">
        <f aca="false">IF(C699&lt;Outliers!$E$8,"Low",IF(C699&gt;Outliers!$F$8,"High",""))</f>
        <v/>
      </c>
      <c r="L699" s="6" t="str">
        <f aca="false">A699&amp;";"&amp;B699&amp;";"&amp;C699</f>
        <v>28.17458662;37.2464655;12.3646840357347</v>
      </c>
      <c r="M699" s="6" t="n">
        <f aca="false">IF(COUNTIF($L$2:$L$2201,L699)&gt;1,1,0)</f>
        <v>0</v>
      </c>
      <c r="N699" s="6" t="str">
        <f aca="false">IF(AND(C699&lt;Assumptions!$B$9,B699&lt;Assumptions!$B$10),"Irrigate Now",IF(AND(C699&gt;=Assumptions!$B$11,B699&gt;=Assumptions!$B$12),"No Irrigation Needed","Monitor"))</f>
        <v>Irrigate Now</v>
      </c>
      <c r="O699" s="6" t="n">
        <f aca="false">IF(N699=G699,1,0)</f>
        <v>1</v>
      </c>
    </row>
    <row r="700" customFormat="false" ht="15" hidden="false" customHeight="false" outlineLevel="0" collapsed="false">
      <c r="A700" s="16" t="n">
        <v>28.77653519</v>
      </c>
      <c r="B700" s="16" t="n">
        <v>56.12443206</v>
      </c>
      <c r="C700" s="16" t="n">
        <v>26.9634988472632</v>
      </c>
      <c r="D700" s="6" t="s">
        <v>57</v>
      </c>
      <c r="E700" s="6" t="s">
        <v>57</v>
      </c>
      <c r="F700" s="6" t="s">
        <v>23</v>
      </c>
      <c r="G700" s="6" t="s">
        <v>61</v>
      </c>
      <c r="H700" s="6" t="s">
        <v>63</v>
      </c>
      <c r="I700" s="6" t="str">
        <f aca="false">IF(A700&lt;Outliers!$E$6,"Low",IF(A700&gt;Outliers!$F$6,"High",""))</f>
        <v/>
      </c>
      <c r="J700" s="6" t="str">
        <f aca="false">IF(B700&lt;Outliers!$E$7,"Low",IF(B700&gt;Outliers!$F$7,"High",""))</f>
        <v/>
      </c>
      <c r="K700" s="6" t="str">
        <f aca="false">IF(C700&lt;Outliers!$E$8,"Low",IF(C700&gt;Outliers!$F$8,"High",""))</f>
        <v/>
      </c>
      <c r="L700" s="6" t="str">
        <f aca="false">A700&amp;";"&amp;B700&amp;";"&amp;C700</f>
        <v>28.77653519;56.12443206;26.9634988472632</v>
      </c>
      <c r="M700" s="6" t="n">
        <f aca="false">IF(COUNTIF($L$2:$L$2201,L700)&gt;1,1,0)</f>
        <v>0</v>
      </c>
      <c r="N700" s="6" t="str">
        <f aca="false">IF(AND(C700&lt;Assumptions!$B$9,B700&lt;Assumptions!$B$10),"Irrigate Now",IF(AND(C700&gt;=Assumptions!$B$11,B700&gt;=Assumptions!$B$12),"No Irrigation Needed","Monitor"))</f>
        <v>Monitor</v>
      </c>
      <c r="O700" s="6" t="n">
        <f aca="false">IF(N700=G700,1,0)</f>
        <v>1</v>
      </c>
    </row>
    <row r="701" customFormat="false" ht="15" hidden="false" customHeight="false" outlineLevel="0" collapsed="false">
      <c r="A701" s="16" t="n">
        <v>28.438097</v>
      </c>
      <c r="B701" s="16" t="n">
        <v>52.55469976</v>
      </c>
      <c r="C701" s="16" t="n">
        <v>18.612922244355</v>
      </c>
      <c r="D701" s="6" t="s">
        <v>57</v>
      </c>
      <c r="E701" s="6" t="s">
        <v>57</v>
      </c>
      <c r="F701" s="6" t="s">
        <v>24</v>
      </c>
      <c r="G701" s="6" t="s">
        <v>61</v>
      </c>
      <c r="H701" s="6" t="s">
        <v>63</v>
      </c>
      <c r="I701" s="6" t="str">
        <f aca="false">IF(A701&lt;Outliers!$E$6,"Low",IF(A701&gt;Outliers!$F$6,"High",""))</f>
        <v/>
      </c>
      <c r="J701" s="6" t="str">
        <f aca="false">IF(B701&lt;Outliers!$E$7,"Low",IF(B701&gt;Outliers!$F$7,"High",""))</f>
        <v/>
      </c>
      <c r="K701" s="6" t="str">
        <f aca="false">IF(C701&lt;Outliers!$E$8,"Low",IF(C701&gt;Outliers!$F$8,"High",""))</f>
        <v/>
      </c>
      <c r="L701" s="6" t="str">
        <f aca="false">A701&amp;";"&amp;B701&amp;";"&amp;C701</f>
        <v>28.438097;52.55469976;18.612922244355</v>
      </c>
      <c r="M701" s="6" t="n">
        <f aca="false">IF(COUNTIF($L$2:$L$2201,L701)&gt;1,1,0)</f>
        <v>0</v>
      </c>
      <c r="N701" s="6" t="str">
        <f aca="false">IF(AND(C701&lt;Assumptions!$B$9,B701&lt;Assumptions!$B$10),"Irrigate Now",IF(AND(C701&gt;=Assumptions!$B$11,B701&gt;=Assumptions!$B$12),"No Irrigation Needed","Monitor"))</f>
        <v>Monitor</v>
      </c>
      <c r="O701" s="6" t="n">
        <f aca="false">IF(N701=G701,1,0)</f>
        <v>1</v>
      </c>
    </row>
    <row r="702" customFormat="false" ht="15" hidden="false" customHeight="false" outlineLevel="0" collapsed="false">
      <c r="A702" s="16" t="n">
        <v>29.48439992</v>
      </c>
      <c r="B702" s="16" t="n">
        <v>71.89090748</v>
      </c>
      <c r="C702" s="16" t="n">
        <v>18.9225780288919</v>
      </c>
      <c r="D702" s="6" t="s">
        <v>57</v>
      </c>
      <c r="E702" s="6" t="s">
        <v>57</v>
      </c>
      <c r="F702" s="6" t="s">
        <v>60</v>
      </c>
      <c r="G702" s="6" t="s">
        <v>61</v>
      </c>
      <c r="H702" s="6" t="s">
        <v>63</v>
      </c>
      <c r="I702" s="6" t="str">
        <f aca="false">IF(A702&lt;Outliers!$E$6,"Low",IF(A702&gt;Outliers!$F$6,"High",""))</f>
        <v/>
      </c>
      <c r="J702" s="6" t="str">
        <f aca="false">IF(B702&lt;Outliers!$E$7,"Low",IF(B702&gt;Outliers!$F$7,"High",""))</f>
        <v/>
      </c>
      <c r="K702" s="6" t="str">
        <f aca="false">IF(C702&lt;Outliers!$E$8,"Low",IF(C702&gt;Outliers!$F$8,"High",""))</f>
        <v/>
      </c>
      <c r="L702" s="6" t="str">
        <f aca="false">A702&amp;";"&amp;B702&amp;";"&amp;C702</f>
        <v>29.48439992;71.89090748;18.9225780288919</v>
      </c>
      <c r="M702" s="6" t="n">
        <f aca="false">IF(COUNTIF($L$2:$L$2201,L702)&gt;1,1,0)</f>
        <v>0</v>
      </c>
      <c r="N702" s="6" t="str">
        <f aca="false">IF(AND(C702&lt;Assumptions!$B$9,B702&lt;Assumptions!$B$10),"Irrigate Now",IF(AND(C702&gt;=Assumptions!$B$11,B702&gt;=Assumptions!$B$12),"No Irrigation Needed","Monitor"))</f>
        <v>Monitor</v>
      </c>
      <c r="O702" s="6" t="n">
        <f aca="false">IF(N702=G702,1,0)</f>
        <v>1</v>
      </c>
    </row>
    <row r="703" customFormat="false" ht="15" hidden="false" customHeight="false" outlineLevel="0" collapsed="false">
      <c r="A703" s="16" t="n">
        <v>26.73433965</v>
      </c>
      <c r="B703" s="16" t="n">
        <v>67.15096376</v>
      </c>
      <c r="C703" s="16" t="n">
        <v>26.4672774373755</v>
      </c>
      <c r="D703" s="6" t="s">
        <v>57</v>
      </c>
      <c r="E703" s="6" t="s">
        <v>57</v>
      </c>
      <c r="F703" s="6" t="s">
        <v>23</v>
      </c>
      <c r="G703" s="6" t="s">
        <v>61</v>
      </c>
      <c r="H703" s="6" t="s">
        <v>63</v>
      </c>
      <c r="I703" s="6" t="str">
        <f aca="false">IF(A703&lt;Outliers!$E$6,"Low",IF(A703&gt;Outliers!$F$6,"High",""))</f>
        <v/>
      </c>
      <c r="J703" s="6" t="str">
        <f aca="false">IF(B703&lt;Outliers!$E$7,"Low",IF(B703&gt;Outliers!$F$7,"High",""))</f>
        <v/>
      </c>
      <c r="K703" s="6" t="str">
        <f aca="false">IF(C703&lt;Outliers!$E$8,"Low",IF(C703&gt;Outliers!$F$8,"High",""))</f>
        <v/>
      </c>
      <c r="L703" s="6" t="str">
        <f aca="false">A703&amp;";"&amp;B703&amp;";"&amp;C703</f>
        <v>26.73433965;67.15096376;26.4672774373755</v>
      </c>
      <c r="M703" s="6" t="n">
        <f aca="false">IF(COUNTIF($L$2:$L$2201,L703)&gt;1,1,0)</f>
        <v>0</v>
      </c>
      <c r="N703" s="6" t="str">
        <f aca="false">IF(AND(C703&lt;Assumptions!$B$9,B703&lt;Assumptions!$B$10),"Irrigate Now",IF(AND(C703&gt;=Assumptions!$B$11,B703&gt;=Assumptions!$B$12),"No Irrigation Needed","Monitor"))</f>
        <v>Monitor</v>
      </c>
      <c r="O703" s="6" t="n">
        <f aca="false">IF(N703=G703,1,0)</f>
        <v>1</v>
      </c>
    </row>
    <row r="704" customFormat="false" ht="15" hidden="false" customHeight="false" outlineLevel="0" collapsed="false">
      <c r="A704" s="16" t="n">
        <v>26.27274407</v>
      </c>
      <c r="B704" s="16" t="n">
        <v>70.23207557</v>
      </c>
      <c r="C704" s="16" t="n">
        <v>17.8478751035591</v>
      </c>
      <c r="D704" s="6" t="s">
        <v>57</v>
      </c>
      <c r="E704" s="6" t="s">
        <v>57</v>
      </c>
      <c r="F704" s="6" t="s">
        <v>24</v>
      </c>
      <c r="G704" s="6" t="s">
        <v>64</v>
      </c>
      <c r="H704" s="6" t="s">
        <v>65</v>
      </c>
      <c r="I704" s="6" t="str">
        <f aca="false">IF(A704&lt;Outliers!$E$6,"Low",IF(A704&gt;Outliers!$F$6,"High",""))</f>
        <v/>
      </c>
      <c r="J704" s="6" t="str">
        <f aca="false">IF(B704&lt;Outliers!$E$7,"Low",IF(B704&gt;Outliers!$F$7,"High",""))</f>
        <v/>
      </c>
      <c r="K704" s="6" t="str">
        <f aca="false">IF(C704&lt;Outliers!$E$8,"Low",IF(C704&gt;Outliers!$F$8,"High",""))</f>
        <v/>
      </c>
      <c r="L704" s="6" t="str">
        <f aca="false">A704&amp;";"&amp;B704&amp;";"&amp;C704</f>
        <v>26.27274407;70.23207557;17.8478751035591</v>
      </c>
      <c r="M704" s="6" t="n">
        <f aca="false">IF(COUNTIF($L$2:$L$2201,L704)&gt;1,1,0)</f>
        <v>0</v>
      </c>
      <c r="N704" s="6" t="str">
        <f aca="false">IF(AND(C704&lt;Assumptions!$B$9,B704&lt;Assumptions!$B$10),"Irrigate Now",IF(AND(C704&gt;=Assumptions!$B$11,B704&gt;=Assumptions!$B$12),"No Irrigation Needed","Monitor"))</f>
        <v>Irrigate Now</v>
      </c>
      <c r="O704" s="6" t="n">
        <f aca="false">IF(N704=G704,1,0)</f>
        <v>1</v>
      </c>
    </row>
    <row r="705" customFormat="false" ht="15" hidden="false" customHeight="false" outlineLevel="0" collapsed="false">
      <c r="A705" s="16" t="n">
        <v>34.03679184</v>
      </c>
      <c r="B705" s="16" t="n">
        <v>73.23573601</v>
      </c>
      <c r="C705" s="16" t="n">
        <v>20.5781345707444</v>
      </c>
      <c r="D705" s="6" t="s">
        <v>67</v>
      </c>
      <c r="E705" s="6" t="s">
        <v>57</v>
      </c>
      <c r="F705" s="6" t="s">
        <v>60</v>
      </c>
      <c r="G705" s="6" t="s">
        <v>61</v>
      </c>
      <c r="H705" s="6" t="s">
        <v>68</v>
      </c>
      <c r="I705" s="6" t="str">
        <f aca="false">IF(A705&lt;Outliers!$E$6,"Low",IF(A705&gt;Outliers!$F$6,"High",""))</f>
        <v/>
      </c>
      <c r="J705" s="6" t="str">
        <f aca="false">IF(B705&lt;Outliers!$E$7,"Low",IF(B705&gt;Outliers!$F$7,"High",""))</f>
        <v/>
      </c>
      <c r="K705" s="6" t="str">
        <f aca="false">IF(C705&lt;Outliers!$E$8,"Low",IF(C705&gt;Outliers!$F$8,"High",""))</f>
        <v/>
      </c>
      <c r="L705" s="6" t="str">
        <f aca="false">A705&amp;";"&amp;B705&amp;";"&amp;C705</f>
        <v>34.03679184;73.23573601;20.5781345707444</v>
      </c>
      <c r="M705" s="6" t="n">
        <f aca="false">IF(COUNTIF($L$2:$L$2201,L705)&gt;1,1,0)</f>
        <v>0</v>
      </c>
      <c r="N705" s="6" t="str">
        <f aca="false">IF(AND(C705&lt;Assumptions!$B$9,B705&lt;Assumptions!$B$10),"Irrigate Now",IF(AND(C705&gt;=Assumptions!$B$11,B705&gt;=Assumptions!$B$12),"No Irrigation Needed","Monitor"))</f>
        <v>Monitor</v>
      </c>
      <c r="O705" s="6" t="n">
        <f aca="false">IF(N705=G705,1,0)</f>
        <v>1</v>
      </c>
    </row>
    <row r="706" customFormat="false" ht="15" hidden="false" customHeight="false" outlineLevel="0" collapsed="false">
      <c r="A706" s="16" t="n">
        <v>28.03644051</v>
      </c>
      <c r="B706" s="16" t="n">
        <v>72.49507741</v>
      </c>
      <c r="C706" s="16" t="n">
        <v>26.7793190447773</v>
      </c>
      <c r="D706" s="6" t="s">
        <v>57</v>
      </c>
      <c r="E706" s="6" t="s">
        <v>57</v>
      </c>
      <c r="F706" s="6" t="s">
        <v>23</v>
      </c>
      <c r="G706" s="6" t="s">
        <v>61</v>
      </c>
      <c r="H706" s="6" t="s">
        <v>63</v>
      </c>
      <c r="I706" s="6" t="str">
        <f aca="false">IF(A706&lt;Outliers!$E$6,"Low",IF(A706&gt;Outliers!$F$6,"High",""))</f>
        <v/>
      </c>
      <c r="J706" s="6" t="str">
        <f aca="false">IF(B706&lt;Outliers!$E$7,"Low",IF(B706&gt;Outliers!$F$7,"High",""))</f>
        <v/>
      </c>
      <c r="K706" s="6" t="str">
        <f aca="false">IF(C706&lt;Outliers!$E$8,"Low",IF(C706&gt;Outliers!$F$8,"High",""))</f>
        <v/>
      </c>
      <c r="L706" s="6" t="str">
        <f aca="false">A706&amp;";"&amp;B706&amp;";"&amp;C706</f>
        <v>28.03644051;72.49507741;26.7793190447773</v>
      </c>
      <c r="M706" s="6" t="n">
        <f aca="false">IF(COUNTIF($L$2:$L$2201,L706)&gt;1,1,0)</f>
        <v>0</v>
      </c>
      <c r="N706" s="6" t="str">
        <f aca="false">IF(AND(C706&lt;Assumptions!$B$9,B706&lt;Assumptions!$B$10),"Irrigate Now",IF(AND(C706&gt;=Assumptions!$B$11,B706&gt;=Assumptions!$B$12),"No Irrigation Needed","Monitor"))</f>
        <v>Monitor</v>
      </c>
      <c r="O706" s="6" t="n">
        <f aca="false">IF(N706=G706,1,0)</f>
        <v>1</v>
      </c>
    </row>
    <row r="707" customFormat="false" ht="15" hidden="false" customHeight="false" outlineLevel="0" collapsed="false">
      <c r="A707" s="16" t="n">
        <v>28.81460716</v>
      </c>
      <c r="B707" s="16" t="n">
        <v>62.26242533</v>
      </c>
      <c r="C707" s="16" t="n">
        <v>23.2927229046718</v>
      </c>
      <c r="D707" s="6" t="s">
        <v>57</v>
      </c>
      <c r="E707" s="6" t="s">
        <v>57</v>
      </c>
      <c r="F707" s="6" t="s">
        <v>60</v>
      </c>
      <c r="G707" s="6" t="s">
        <v>61</v>
      </c>
      <c r="H707" s="6" t="s">
        <v>63</v>
      </c>
      <c r="I707" s="6" t="str">
        <f aca="false">IF(A707&lt;Outliers!$E$6,"Low",IF(A707&gt;Outliers!$F$6,"High",""))</f>
        <v/>
      </c>
      <c r="J707" s="6" t="str">
        <f aca="false">IF(B707&lt;Outliers!$E$7,"Low",IF(B707&gt;Outliers!$F$7,"High",""))</f>
        <v/>
      </c>
      <c r="K707" s="6" t="str">
        <f aca="false">IF(C707&lt;Outliers!$E$8,"Low",IF(C707&gt;Outliers!$F$8,"High",""))</f>
        <v/>
      </c>
      <c r="L707" s="6" t="str">
        <f aca="false">A707&amp;";"&amp;B707&amp;";"&amp;C707</f>
        <v>28.81460716;62.26242533;23.2927229046718</v>
      </c>
      <c r="M707" s="6" t="n">
        <f aca="false">IF(COUNTIF($L$2:$L$2201,L707)&gt;1,1,0)</f>
        <v>0</v>
      </c>
      <c r="N707" s="6" t="str">
        <f aca="false">IF(AND(C707&lt;Assumptions!$B$9,B707&lt;Assumptions!$B$10),"Irrigate Now",IF(AND(C707&gt;=Assumptions!$B$11,B707&gt;=Assumptions!$B$12),"No Irrigation Needed","Monitor"))</f>
        <v>Monitor</v>
      </c>
      <c r="O707" s="6" t="n">
        <f aca="false">IF(N707=G707,1,0)</f>
        <v>1</v>
      </c>
    </row>
    <row r="708" customFormat="false" ht="15" hidden="false" customHeight="false" outlineLevel="0" collapsed="false">
      <c r="A708" s="16" t="n">
        <v>34.03619494</v>
      </c>
      <c r="B708" s="16" t="n">
        <v>66.85510868</v>
      </c>
      <c r="C708" s="16" t="n">
        <v>16.5327179455069</v>
      </c>
      <c r="D708" s="6" t="s">
        <v>67</v>
      </c>
      <c r="E708" s="6" t="s">
        <v>57</v>
      </c>
      <c r="F708" s="6" t="s">
        <v>24</v>
      </c>
      <c r="G708" s="6" t="s">
        <v>64</v>
      </c>
      <c r="H708" s="6" t="s">
        <v>65</v>
      </c>
      <c r="I708" s="6" t="str">
        <f aca="false">IF(A708&lt;Outliers!$E$6,"Low",IF(A708&gt;Outliers!$F$6,"High",""))</f>
        <v/>
      </c>
      <c r="J708" s="6" t="str">
        <f aca="false">IF(B708&lt;Outliers!$E$7,"Low",IF(B708&gt;Outliers!$F$7,"High",""))</f>
        <v/>
      </c>
      <c r="K708" s="6" t="str">
        <f aca="false">IF(C708&lt;Outliers!$E$8,"Low",IF(C708&gt;Outliers!$F$8,"High",""))</f>
        <v/>
      </c>
      <c r="L708" s="6" t="str">
        <f aca="false">A708&amp;";"&amp;B708&amp;";"&amp;C708</f>
        <v>34.03619494;66.85510868;16.5327179455069</v>
      </c>
      <c r="M708" s="6" t="n">
        <f aca="false">IF(COUNTIF($L$2:$L$2201,L708)&gt;1,1,0)</f>
        <v>0</v>
      </c>
      <c r="N708" s="6" t="str">
        <f aca="false">IF(AND(C708&lt;Assumptions!$B$9,B708&lt;Assumptions!$B$10),"Irrigate Now",IF(AND(C708&gt;=Assumptions!$B$11,B708&gt;=Assumptions!$B$12),"No Irrigation Needed","Monitor"))</f>
        <v>Irrigate Now</v>
      </c>
      <c r="O708" s="6" t="n">
        <f aca="false">IF(N708=G708,1,0)</f>
        <v>1</v>
      </c>
    </row>
    <row r="709" customFormat="false" ht="15" hidden="false" customHeight="false" outlineLevel="0" collapsed="false">
      <c r="A709" s="16" t="n">
        <v>33.8642935</v>
      </c>
      <c r="B709" s="16" t="n">
        <v>68.02199825</v>
      </c>
      <c r="C709" s="16" t="n">
        <v>15.6490793547726</v>
      </c>
      <c r="D709" s="6" t="s">
        <v>67</v>
      </c>
      <c r="E709" s="6" t="s">
        <v>57</v>
      </c>
      <c r="F709" s="6" t="s">
        <v>24</v>
      </c>
      <c r="G709" s="6" t="s">
        <v>64</v>
      </c>
      <c r="H709" s="6" t="s">
        <v>65</v>
      </c>
      <c r="I709" s="6" t="str">
        <f aca="false">IF(A709&lt;Outliers!$E$6,"Low",IF(A709&gt;Outliers!$F$6,"High",""))</f>
        <v/>
      </c>
      <c r="J709" s="6" t="str">
        <f aca="false">IF(B709&lt;Outliers!$E$7,"Low",IF(B709&gt;Outliers!$F$7,"High",""))</f>
        <v/>
      </c>
      <c r="K709" s="6" t="str">
        <f aca="false">IF(C709&lt;Outliers!$E$8,"Low",IF(C709&gt;Outliers!$F$8,"High",""))</f>
        <v/>
      </c>
      <c r="L709" s="6" t="str">
        <f aca="false">A709&amp;";"&amp;B709&amp;";"&amp;C709</f>
        <v>33.8642935;68.02199825;15.6490793547726</v>
      </c>
      <c r="M709" s="6" t="n">
        <f aca="false">IF(COUNTIF($L$2:$L$2201,L709)&gt;1,1,0)</f>
        <v>0</v>
      </c>
      <c r="N709" s="6" t="str">
        <f aca="false">IF(AND(C709&lt;Assumptions!$B$9,B709&lt;Assumptions!$B$10),"Irrigate Now",IF(AND(C709&gt;=Assumptions!$B$11,B709&gt;=Assumptions!$B$12),"No Irrigation Needed","Monitor"))</f>
        <v>Irrigate Now</v>
      </c>
      <c r="O709" s="6" t="n">
        <f aca="false">IF(N709=G709,1,0)</f>
        <v>1</v>
      </c>
    </row>
    <row r="710" customFormat="false" ht="15" hidden="false" customHeight="false" outlineLevel="0" collapsed="false">
      <c r="A710" s="16" t="n">
        <v>32.84213012</v>
      </c>
      <c r="B710" s="16" t="n">
        <v>73.67166182</v>
      </c>
      <c r="C710" s="16" t="n">
        <v>11.1071173222474</v>
      </c>
      <c r="D710" s="6" t="s">
        <v>67</v>
      </c>
      <c r="E710" s="6" t="s">
        <v>57</v>
      </c>
      <c r="F710" s="6" t="s">
        <v>24</v>
      </c>
      <c r="G710" s="6" t="s">
        <v>64</v>
      </c>
      <c r="H710" s="6" t="s">
        <v>65</v>
      </c>
      <c r="I710" s="6" t="str">
        <f aca="false">IF(A710&lt;Outliers!$E$6,"Low",IF(A710&gt;Outliers!$F$6,"High",""))</f>
        <v/>
      </c>
      <c r="J710" s="6" t="str">
        <f aca="false">IF(B710&lt;Outliers!$E$7,"Low",IF(B710&gt;Outliers!$F$7,"High",""))</f>
        <v/>
      </c>
      <c r="K710" s="6" t="str">
        <f aca="false">IF(C710&lt;Outliers!$E$8,"Low",IF(C710&gt;Outliers!$F$8,"High",""))</f>
        <v/>
      </c>
      <c r="L710" s="6" t="str">
        <f aca="false">A710&amp;";"&amp;B710&amp;";"&amp;C710</f>
        <v>32.84213012;73.67166182;11.1071173222474</v>
      </c>
      <c r="M710" s="6" t="n">
        <f aca="false">IF(COUNTIF($L$2:$L$2201,L710)&gt;1,1,0)</f>
        <v>0</v>
      </c>
      <c r="N710" s="6" t="str">
        <f aca="false">IF(AND(C710&lt;Assumptions!$B$9,B710&lt;Assumptions!$B$10),"Irrigate Now",IF(AND(C710&gt;=Assumptions!$B$11,B710&gt;=Assumptions!$B$12),"No Irrigation Needed","Monitor"))</f>
        <v>Irrigate Now</v>
      </c>
      <c r="O710" s="6" t="n">
        <f aca="false">IF(N710=G710,1,0)</f>
        <v>1</v>
      </c>
    </row>
    <row r="711" customFormat="false" ht="15" hidden="false" customHeight="false" outlineLevel="0" collapsed="false">
      <c r="A711" s="16" t="n">
        <v>27.10053268</v>
      </c>
      <c r="B711" s="16" t="n">
        <v>73.84949872</v>
      </c>
      <c r="C711" s="16" t="n">
        <v>15.3690511030411</v>
      </c>
      <c r="D711" s="6" t="s">
        <v>57</v>
      </c>
      <c r="E711" s="6" t="s">
        <v>57</v>
      </c>
      <c r="F711" s="6" t="s">
        <v>24</v>
      </c>
      <c r="G711" s="6" t="s">
        <v>64</v>
      </c>
      <c r="H711" s="6" t="s">
        <v>65</v>
      </c>
      <c r="I711" s="6" t="str">
        <f aca="false">IF(A711&lt;Outliers!$E$6,"Low",IF(A711&gt;Outliers!$F$6,"High",""))</f>
        <v/>
      </c>
      <c r="J711" s="6" t="str">
        <f aca="false">IF(B711&lt;Outliers!$E$7,"Low",IF(B711&gt;Outliers!$F$7,"High",""))</f>
        <v/>
      </c>
      <c r="K711" s="6" t="str">
        <f aca="false">IF(C711&lt;Outliers!$E$8,"Low",IF(C711&gt;Outliers!$F$8,"High",""))</f>
        <v/>
      </c>
      <c r="L711" s="6" t="str">
        <f aca="false">A711&amp;";"&amp;B711&amp;";"&amp;C711</f>
        <v>27.10053268;73.84949872;15.3690511030411</v>
      </c>
      <c r="M711" s="6" t="n">
        <f aca="false">IF(COUNTIF($L$2:$L$2201,L711)&gt;1,1,0)</f>
        <v>0</v>
      </c>
      <c r="N711" s="6" t="str">
        <f aca="false">IF(AND(C711&lt;Assumptions!$B$9,B711&lt;Assumptions!$B$10),"Irrigate Now",IF(AND(C711&gt;=Assumptions!$B$11,B711&gt;=Assumptions!$B$12),"No Irrigation Needed","Monitor"))</f>
        <v>Irrigate Now</v>
      </c>
      <c r="O711" s="6" t="n">
        <f aca="false">IF(N711=G711,1,0)</f>
        <v>1</v>
      </c>
    </row>
    <row r="712" customFormat="false" ht="15" hidden="false" customHeight="false" outlineLevel="0" collapsed="false">
      <c r="A712" s="16" t="n">
        <v>25.65842532</v>
      </c>
      <c r="B712" s="16" t="n">
        <v>69.28607828</v>
      </c>
      <c r="C712" s="16" t="n">
        <v>27.244386378816</v>
      </c>
      <c r="D712" s="6" t="s">
        <v>57</v>
      </c>
      <c r="E712" s="6" t="s">
        <v>57</v>
      </c>
      <c r="F712" s="6" t="s">
        <v>23</v>
      </c>
      <c r="G712" s="6" t="s">
        <v>61</v>
      </c>
      <c r="H712" s="6" t="s">
        <v>63</v>
      </c>
      <c r="I712" s="6" t="str">
        <f aca="false">IF(A712&lt;Outliers!$E$6,"Low",IF(A712&gt;Outliers!$F$6,"High",""))</f>
        <v/>
      </c>
      <c r="J712" s="6" t="str">
        <f aca="false">IF(B712&lt;Outliers!$E$7,"Low",IF(B712&gt;Outliers!$F$7,"High",""))</f>
        <v/>
      </c>
      <c r="K712" s="6" t="str">
        <f aca="false">IF(C712&lt;Outliers!$E$8,"Low",IF(C712&gt;Outliers!$F$8,"High",""))</f>
        <v/>
      </c>
      <c r="L712" s="6" t="str">
        <f aca="false">A712&amp;";"&amp;B712&amp;";"&amp;C712</f>
        <v>25.65842532;69.28607828;27.244386378816</v>
      </c>
      <c r="M712" s="6" t="n">
        <f aca="false">IF(COUNTIF($L$2:$L$2201,L712)&gt;1,1,0)</f>
        <v>0</v>
      </c>
      <c r="N712" s="6" t="str">
        <f aca="false">IF(AND(C712&lt;Assumptions!$B$9,B712&lt;Assumptions!$B$10),"Irrigate Now",IF(AND(C712&gt;=Assumptions!$B$11,B712&gt;=Assumptions!$B$12),"No Irrigation Needed","Monitor"))</f>
        <v>Monitor</v>
      </c>
      <c r="O712" s="6" t="n">
        <f aca="false">IF(N712=G712,1,0)</f>
        <v>1</v>
      </c>
    </row>
    <row r="713" customFormat="false" ht="15" hidden="false" customHeight="false" outlineLevel="0" collapsed="false">
      <c r="A713" s="16" t="n">
        <v>32.34744009</v>
      </c>
      <c r="B713" s="16" t="n">
        <v>64.55882254</v>
      </c>
      <c r="C713" s="16" t="n">
        <v>24.5588085946517</v>
      </c>
      <c r="D713" s="6" t="s">
        <v>67</v>
      </c>
      <c r="E713" s="6" t="s">
        <v>57</v>
      </c>
      <c r="F713" s="6" t="s">
        <v>60</v>
      </c>
      <c r="G713" s="6" t="s">
        <v>61</v>
      </c>
      <c r="H713" s="6" t="s">
        <v>63</v>
      </c>
      <c r="I713" s="6" t="str">
        <f aca="false">IF(A713&lt;Outliers!$E$6,"Low",IF(A713&gt;Outliers!$F$6,"High",""))</f>
        <v/>
      </c>
      <c r="J713" s="6" t="str">
        <f aca="false">IF(B713&lt;Outliers!$E$7,"Low",IF(B713&gt;Outliers!$F$7,"High",""))</f>
        <v/>
      </c>
      <c r="K713" s="6" t="str">
        <f aca="false">IF(C713&lt;Outliers!$E$8,"Low",IF(C713&gt;Outliers!$F$8,"High",""))</f>
        <v/>
      </c>
      <c r="L713" s="6" t="str">
        <f aca="false">A713&amp;";"&amp;B713&amp;";"&amp;C713</f>
        <v>32.34744009;64.55882254;24.5588085946517</v>
      </c>
      <c r="M713" s="6" t="n">
        <f aca="false">IF(COUNTIF($L$2:$L$2201,L713)&gt;1,1,0)</f>
        <v>0</v>
      </c>
      <c r="N713" s="6" t="str">
        <f aca="false">IF(AND(C713&lt;Assumptions!$B$9,B713&lt;Assumptions!$B$10),"Irrigate Now",IF(AND(C713&gt;=Assumptions!$B$11,B713&gt;=Assumptions!$B$12),"No Irrigation Needed","Monitor"))</f>
        <v>Monitor</v>
      </c>
      <c r="O713" s="6" t="n">
        <f aca="false">IF(N713=G713,1,0)</f>
        <v>1</v>
      </c>
    </row>
    <row r="714" customFormat="false" ht="15" hidden="false" customHeight="false" outlineLevel="0" collapsed="false">
      <c r="A714" s="16" t="n">
        <v>29.58949031</v>
      </c>
      <c r="B714" s="16" t="n">
        <v>67.53021213</v>
      </c>
      <c r="C714" s="16" t="n">
        <v>27.2284046127625</v>
      </c>
      <c r="D714" s="6" t="s">
        <v>57</v>
      </c>
      <c r="E714" s="6" t="s">
        <v>57</v>
      </c>
      <c r="F714" s="6" t="s">
        <v>23</v>
      </c>
      <c r="G714" s="6" t="s">
        <v>61</v>
      </c>
      <c r="H714" s="6" t="s">
        <v>63</v>
      </c>
      <c r="I714" s="6" t="str">
        <f aca="false">IF(A714&lt;Outliers!$E$6,"Low",IF(A714&gt;Outliers!$F$6,"High",""))</f>
        <v/>
      </c>
      <c r="J714" s="6" t="str">
        <f aca="false">IF(B714&lt;Outliers!$E$7,"Low",IF(B714&gt;Outliers!$F$7,"High",""))</f>
        <v/>
      </c>
      <c r="K714" s="6" t="str">
        <f aca="false">IF(C714&lt;Outliers!$E$8,"Low",IF(C714&gt;Outliers!$F$8,"High",""))</f>
        <v/>
      </c>
      <c r="L714" s="6" t="str">
        <f aca="false">A714&amp;";"&amp;B714&amp;";"&amp;C714</f>
        <v>29.58949031;67.53021213;27.2284046127625</v>
      </c>
      <c r="M714" s="6" t="n">
        <f aca="false">IF(COUNTIF($L$2:$L$2201,L714)&gt;1,1,0)</f>
        <v>0</v>
      </c>
      <c r="N714" s="6" t="str">
        <f aca="false">IF(AND(C714&lt;Assumptions!$B$9,B714&lt;Assumptions!$B$10),"Irrigate Now",IF(AND(C714&gt;=Assumptions!$B$11,B714&gt;=Assumptions!$B$12),"No Irrigation Needed","Monitor"))</f>
        <v>Monitor</v>
      </c>
      <c r="O714" s="6" t="n">
        <f aca="false">IF(N714=G714,1,0)</f>
        <v>1</v>
      </c>
    </row>
    <row r="715" customFormat="false" ht="15" hidden="false" customHeight="false" outlineLevel="0" collapsed="false">
      <c r="A715" s="16" t="n">
        <v>30.91219459</v>
      </c>
      <c r="B715" s="16" t="n">
        <v>66.63830637</v>
      </c>
      <c r="C715" s="16" t="n">
        <v>29.8687389988533</v>
      </c>
      <c r="D715" s="6" t="s">
        <v>67</v>
      </c>
      <c r="E715" s="6" t="s">
        <v>57</v>
      </c>
      <c r="F715" s="6" t="s">
        <v>23</v>
      </c>
      <c r="G715" s="6" t="s">
        <v>61</v>
      </c>
      <c r="H715" s="6" t="s">
        <v>63</v>
      </c>
      <c r="I715" s="6" t="str">
        <f aca="false">IF(A715&lt;Outliers!$E$6,"Low",IF(A715&gt;Outliers!$F$6,"High",""))</f>
        <v/>
      </c>
      <c r="J715" s="6" t="str">
        <f aca="false">IF(B715&lt;Outliers!$E$7,"Low",IF(B715&gt;Outliers!$F$7,"High",""))</f>
        <v/>
      </c>
      <c r="K715" s="6" t="str">
        <f aca="false">IF(C715&lt;Outliers!$E$8,"Low",IF(C715&gt;Outliers!$F$8,"High",""))</f>
        <v/>
      </c>
      <c r="L715" s="6" t="str">
        <f aca="false">A715&amp;";"&amp;B715&amp;";"&amp;C715</f>
        <v>30.91219459;66.63830637;29.8687389988533</v>
      </c>
      <c r="M715" s="6" t="n">
        <f aca="false">IF(COUNTIF($L$2:$L$2201,L715)&gt;1,1,0)</f>
        <v>0</v>
      </c>
      <c r="N715" s="6" t="str">
        <f aca="false">IF(AND(C715&lt;Assumptions!$B$9,B715&lt;Assumptions!$B$10),"Irrigate Now",IF(AND(C715&gt;=Assumptions!$B$11,B715&gt;=Assumptions!$B$12),"No Irrigation Needed","Monitor"))</f>
        <v>Monitor</v>
      </c>
      <c r="O715" s="6" t="n">
        <f aca="false">IF(N715=G715,1,0)</f>
        <v>1</v>
      </c>
    </row>
    <row r="716" customFormat="false" ht="15" hidden="false" customHeight="false" outlineLevel="0" collapsed="false">
      <c r="A716" s="16" t="n">
        <v>28.12787838</v>
      </c>
      <c r="B716" s="16" t="n">
        <v>70.86340755</v>
      </c>
      <c r="C716" s="16" t="n">
        <v>14.431461476971</v>
      </c>
      <c r="D716" s="6" t="s">
        <v>57</v>
      </c>
      <c r="E716" s="6" t="s">
        <v>57</v>
      </c>
      <c r="F716" s="6" t="s">
        <v>24</v>
      </c>
      <c r="G716" s="6" t="s">
        <v>64</v>
      </c>
      <c r="H716" s="6" t="s">
        <v>65</v>
      </c>
      <c r="I716" s="6" t="str">
        <f aca="false">IF(A716&lt;Outliers!$E$6,"Low",IF(A716&gt;Outliers!$F$6,"High",""))</f>
        <v/>
      </c>
      <c r="J716" s="6" t="str">
        <f aca="false">IF(B716&lt;Outliers!$E$7,"Low",IF(B716&gt;Outliers!$F$7,"High",""))</f>
        <v/>
      </c>
      <c r="K716" s="6" t="str">
        <f aca="false">IF(C716&lt;Outliers!$E$8,"Low",IF(C716&gt;Outliers!$F$8,"High",""))</f>
        <v/>
      </c>
      <c r="L716" s="6" t="str">
        <f aca="false">A716&amp;";"&amp;B716&amp;";"&amp;C716</f>
        <v>28.12787838;70.86340755;14.431461476971</v>
      </c>
      <c r="M716" s="6" t="n">
        <f aca="false">IF(COUNTIF($L$2:$L$2201,L716)&gt;1,1,0)</f>
        <v>0</v>
      </c>
      <c r="N716" s="6" t="str">
        <f aca="false">IF(AND(C716&lt;Assumptions!$B$9,B716&lt;Assumptions!$B$10),"Irrigate Now",IF(AND(C716&gt;=Assumptions!$B$11,B716&gt;=Assumptions!$B$12),"No Irrigation Needed","Monitor"))</f>
        <v>Irrigate Now</v>
      </c>
      <c r="O716" s="6" t="n">
        <f aca="false">IF(N716=G716,1,0)</f>
        <v>1</v>
      </c>
    </row>
    <row r="717" customFormat="false" ht="15" hidden="false" customHeight="false" outlineLevel="0" collapsed="false">
      <c r="A717" s="16" t="n">
        <v>30.08545364</v>
      </c>
      <c r="B717" s="16" t="n">
        <v>67.1367443</v>
      </c>
      <c r="C717" s="16" t="n">
        <v>19.13805170446</v>
      </c>
      <c r="D717" s="6" t="s">
        <v>67</v>
      </c>
      <c r="E717" s="6" t="s">
        <v>57</v>
      </c>
      <c r="F717" s="6" t="s">
        <v>60</v>
      </c>
      <c r="G717" s="6" t="s">
        <v>61</v>
      </c>
      <c r="H717" s="6" t="s">
        <v>68</v>
      </c>
      <c r="I717" s="6" t="str">
        <f aca="false">IF(A717&lt;Outliers!$E$6,"Low",IF(A717&gt;Outliers!$F$6,"High",""))</f>
        <v/>
      </c>
      <c r="J717" s="6" t="str">
        <f aca="false">IF(B717&lt;Outliers!$E$7,"Low",IF(B717&gt;Outliers!$F$7,"High",""))</f>
        <v/>
      </c>
      <c r="K717" s="6" t="str">
        <f aca="false">IF(C717&lt;Outliers!$E$8,"Low",IF(C717&gt;Outliers!$F$8,"High",""))</f>
        <v/>
      </c>
      <c r="L717" s="6" t="str">
        <f aca="false">A717&amp;";"&amp;B717&amp;";"&amp;C717</f>
        <v>30.08545364;67.1367443;19.13805170446</v>
      </c>
      <c r="M717" s="6" t="n">
        <f aca="false">IF(COUNTIF($L$2:$L$2201,L717)&gt;1,1,0)</f>
        <v>0</v>
      </c>
      <c r="N717" s="6" t="str">
        <f aca="false">IF(AND(C717&lt;Assumptions!$B$9,B717&lt;Assumptions!$B$10),"Irrigate Now",IF(AND(C717&gt;=Assumptions!$B$11,B717&gt;=Assumptions!$B$12),"No Irrigation Needed","Monitor"))</f>
        <v>Monitor</v>
      </c>
      <c r="O717" s="6" t="n">
        <f aca="false">IF(N717=G717,1,0)</f>
        <v>1</v>
      </c>
    </row>
    <row r="718" customFormat="false" ht="15" hidden="false" customHeight="false" outlineLevel="0" collapsed="false">
      <c r="A718" s="16" t="n">
        <v>31.74379487</v>
      </c>
      <c r="B718" s="16" t="n">
        <v>68.97097538</v>
      </c>
      <c r="C718" s="16" t="n">
        <v>18.4368541000844</v>
      </c>
      <c r="D718" s="6" t="s">
        <v>67</v>
      </c>
      <c r="E718" s="6" t="s">
        <v>57</v>
      </c>
      <c r="F718" s="6" t="s">
        <v>60</v>
      </c>
      <c r="G718" s="6" t="s">
        <v>61</v>
      </c>
      <c r="H718" s="6" t="s">
        <v>68</v>
      </c>
      <c r="I718" s="6" t="str">
        <f aca="false">IF(A718&lt;Outliers!$E$6,"Low",IF(A718&gt;Outliers!$F$6,"High",""))</f>
        <v/>
      </c>
      <c r="J718" s="6" t="str">
        <f aca="false">IF(B718&lt;Outliers!$E$7,"Low",IF(B718&gt;Outliers!$F$7,"High",""))</f>
        <v/>
      </c>
      <c r="K718" s="6" t="str">
        <f aca="false">IF(C718&lt;Outliers!$E$8,"Low",IF(C718&gt;Outliers!$F$8,"High",""))</f>
        <v/>
      </c>
      <c r="L718" s="6" t="str">
        <f aca="false">A718&amp;";"&amp;B718&amp;";"&amp;C718</f>
        <v>31.74379487;68.97097538;18.4368541000844</v>
      </c>
      <c r="M718" s="6" t="n">
        <f aca="false">IF(COUNTIF($L$2:$L$2201,L718)&gt;1,1,0)</f>
        <v>0</v>
      </c>
      <c r="N718" s="6" t="str">
        <f aca="false">IF(AND(C718&lt;Assumptions!$B$9,B718&lt;Assumptions!$B$10),"Irrigate Now",IF(AND(C718&gt;=Assumptions!$B$11,B718&gt;=Assumptions!$B$12),"No Irrigation Needed","Monitor"))</f>
        <v>Monitor</v>
      </c>
      <c r="O718" s="6" t="n">
        <f aca="false">IF(N718=G718,1,0)</f>
        <v>1</v>
      </c>
    </row>
    <row r="719" customFormat="false" ht="15" hidden="false" customHeight="false" outlineLevel="0" collapsed="false">
      <c r="A719" s="16" t="n">
        <v>27.81326852</v>
      </c>
      <c r="B719" s="16" t="n">
        <v>69.75555541</v>
      </c>
      <c r="C719" s="16" t="n">
        <v>25.6028867532432</v>
      </c>
      <c r="D719" s="6" t="s">
        <v>57</v>
      </c>
      <c r="E719" s="6" t="s">
        <v>57</v>
      </c>
      <c r="F719" s="6" t="s">
        <v>23</v>
      </c>
      <c r="G719" s="6" t="s">
        <v>61</v>
      </c>
      <c r="H719" s="6" t="s">
        <v>63</v>
      </c>
      <c r="I719" s="6" t="str">
        <f aca="false">IF(A719&lt;Outliers!$E$6,"Low",IF(A719&gt;Outliers!$F$6,"High",""))</f>
        <v/>
      </c>
      <c r="J719" s="6" t="str">
        <f aca="false">IF(B719&lt;Outliers!$E$7,"Low",IF(B719&gt;Outliers!$F$7,"High",""))</f>
        <v/>
      </c>
      <c r="K719" s="6" t="str">
        <f aca="false">IF(C719&lt;Outliers!$E$8,"Low",IF(C719&gt;Outliers!$F$8,"High",""))</f>
        <v/>
      </c>
      <c r="L719" s="6" t="str">
        <f aca="false">A719&amp;";"&amp;B719&amp;";"&amp;C719</f>
        <v>27.81326852;69.75555541;25.6028867532432</v>
      </c>
      <c r="M719" s="6" t="n">
        <f aca="false">IF(COUNTIF($L$2:$L$2201,L719)&gt;1,1,0)</f>
        <v>0</v>
      </c>
      <c r="N719" s="6" t="str">
        <f aca="false">IF(AND(C719&lt;Assumptions!$B$9,B719&lt;Assumptions!$B$10),"Irrigate Now",IF(AND(C719&gt;=Assumptions!$B$11,B719&gt;=Assumptions!$B$12),"No Irrigation Needed","Monitor"))</f>
        <v>Monitor</v>
      </c>
      <c r="O719" s="6" t="n">
        <f aca="false">IF(N719=G719,1,0)</f>
        <v>1</v>
      </c>
    </row>
    <row r="720" customFormat="false" ht="15" hidden="false" customHeight="false" outlineLevel="0" collapsed="false">
      <c r="A720" s="16" t="n">
        <v>32.88733849</v>
      </c>
      <c r="B720" s="16" t="n">
        <v>71.50569456</v>
      </c>
      <c r="C720" s="16" t="n">
        <v>10.0829206182682</v>
      </c>
      <c r="D720" s="6" t="s">
        <v>67</v>
      </c>
      <c r="E720" s="6" t="s">
        <v>57</v>
      </c>
      <c r="F720" s="6" t="s">
        <v>24</v>
      </c>
      <c r="G720" s="6" t="s">
        <v>64</v>
      </c>
      <c r="H720" s="6" t="s">
        <v>65</v>
      </c>
      <c r="I720" s="6" t="str">
        <f aca="false">IF(A720&lt;Outliers!$E$6,"Low",IF(A720&gt;Outliers!$F$6,"High",""))</f>
        <v/>
      </c>
      <c r="J720" s="6" t="str">
        <f aca="false">IF(B720&lt;Outliers!$E$7,"Low",IF(B720&gt;Outliers!$F$7,"High",""))</f>
        <v/>
      </c>
      <c r="K720" s="6" t="str">
        <f aca="false">IF(C720&lt;Outliers!$E$8,"Low",IF(C720&gt;Outliers!$F$8,"High",""))</f>
        <v/>
      </c>
      <c r="L720" s="6" t="str">
        <f aca="false">A720&amp;";"&amp;B720&amp;";"&amp;C720</f>
        <v>32.88733849;71.50569456;10.0829206182682</v>
      </c>
      <c r="M720" s="6" t="n">
        <f aca="false">IF(COUNTIF($L$2:$L$2201,L720)&gt;1,1,0)</f>
        <v>0</v>
      </c>
      <c r="N720" s="6" t="str">
        <f aca="false">IF(AND(C720&lt;Assumptions!$B$9,B720&lt;Assumptions!$B$10),"Irrigate Now",IF(AND(C720&gt;=Assumptions!$B$11,B720&gt;=Assumptions!$B$12),"No Irrigation Needed","Monitor"))</f>
        <v>Irrigate Now</v>
      </c>
      <c r="O720" s="6" t="n">
        <f aca="false">IF(N720=G720,1,0)</f>
        <v>1</v>
      </c>
    </row>
    <row r="721" customFormat="false" ht="15" hidden="false" customHeight="false" outlineLevel="0" collapsed="false">
      <c r="A721" s="16" t="n">
        <v>29.36358721</v>
      </c>
      <c r="B721" s="16" t="n">
        <v>61.91208707</v>
      </c>
      <c r="C721" s="16" t="n">
        <v>13.6466352961639</v>
      </c>
      <c r="D721" s="6" t="s">
        <v>57</v>
      </c>
      <c r="E721" s="6" t="s">
        <v>57</v>
      </c>
      <c r="F721" s="6" t="s">
        <v>24</v>
      </c>
      <c r="G721" s="6" t="s">
        <v>64</v>
      </c>
      <c r="H721" s="6" t="s">
        <v>65</v>
      </c>
      <c r="I721" s="6" t="str">
        <f aca="false">IF(A721&lt;Outliers!$E$6,"Low",IF(A721&gt;Outliers!$F$6,"High",""))</f>
        <v/>
      </c>
      <c r="J721" s="6" t="str">
        <f aca="false">IF(B721&lt;Outliers!$E$7,"Low",IF(B721&gt;Outliers!$F$7,"High",""))</f>
        <v/>
      </c>
      <c r="K721" s="6" t="str">
        <f aca="false">IF(C721&lt;Outliers!$E$8,"Low",IF(C721&gt;Outliers!$F$8,"High",""))</f>
        <v/>
      </c>
      <c r="L721" s="6" t="str">
        <f aca="false">A721&amp;";"&amp;B721&amp;";"&amp;C721</f>
        <v>29.36358721;61.91208707;13.6466352961639</v>
      </c>
      <c r="M721" s="6" t="n">
        <f aca="false">IF(COUNTIF($L$2:$L$2201,L721)&gt;1,1,0)</f>
        <v>0</v>
      </c>
      <c r="N721" s="6" t="str">
        <f aca="false">IF(AND(C721&lt;Assumptions!$B$9,B721&lt;Assumptions!$B$10),"Irrigate Now",IF(AND(C721&gt;=Assumptions!$B$11,B721&gt;=Assumptions!$B$12),"No Irrigation Needed","Monitor"))</f>
        <v>Irrigate Now</v>
      </c>
      <c r="O721" s="6" t="n">
        <f aca="false">IF(N721=G721,1,0)</f>
        <v>1</v>
      </c>
    </row>
    <row r="722" customFormat="false" ht="15" hidden="false" customHeight="false" outlineLevel="0" collapsed="false">
      <c r="A722" s="16" t="n">
        <v>27.82592799</v>
      </c>
      <c r="B722" s="16" t="n">
        <v>74.01229707</v>
      </c>
      <c r="C722" s="16" t="n">
        <v>16.5125034283085</v>
      </c>
      <c r="D722" s="6" t="s">
        <v>57</v>
      </c>
      <c r="E722" s="6" t="s">
        <v>57</v>
      </c>
      <c r="F722" s="6" t="s">
        <v>24</v>
      </c>
      <c r="G722" s="6" t="s">
        <v>64</v>
      </c>
      <c r="H722" s="6" t="s">
        <v>65</v>
      </c>
      <c r="I722" s="6" t="str">
        <f aca="false">IF(A722&lt;Outliers!$E$6,"Low",IF(A722&gt;Outliers!$F$6,"High",""))</f>
        <v/>
      </c>
      <c r="J722" s="6" t="str">
        <f aca="false">IF(B722&lt;Outliers!$E$7,"Low",IF(B722&gt;Outliers!$F$7,"High",""))</f>
        <v/>
      </c>
      <c r="K722" s="6" t="str">
        <f aca="false">IF(C722&lt;Outliers!$E$8,"Low",IF(C722&gt;Outliers!$F$8,"High",""))</f>
        <v/>
      </c>
      <c r="L722" s="6" t="str">
        <f aca="false">A722&amp;";"&amp;B722&amp;";"&amp;C722</f>
        <v>27.82592799;74.01229707;16.5125034283085</v>
      </c>
      <c r="M722" s="6" t="n">
        <f aca="false">IF(COUNTIF($L$2:$L$2201,L722)&gt;1,1,0)</f>
        <v>0</v>
      </c>
      <c r="N722" s="6" t="str">
        <f aca="false">IF(AND(C722&lt;Assumptions!$B$9,B722&lt;Assumptions!$B$10),"Irrigate Now",IF(AND(C722&gt;=Assumptions!$B$11,B722&gt;=Assumptions!$B$12),"No Irrigation Needed","Monitor"))</f>
        <v>Irrigate Now</v>
      </c>
      <c r="O722" s="6" t="n">
        <f aca="false">IF(N722=G722,1,0)</f>
        <v>1</v>
      </c>
    </row>
    <row r="723" customFormat="false" ht="15" hidden="false" customHeight="false" outlineLevel="0" collapsed="false">
      <c r="A723" s="16" t="n">
        <v>28.49538735</v>
      </c>
      <c r="B723" s="16" t="n">
        <v>74.91559514</v>
      </c>
      <c r="C723" s="16" t="n">
        <v>13.6108945185143</v>
      </c>
      <c r="D723" s="6" t="s">
        <v>57</v>
      </c>
      <c r="E723" s="6" t="s">
        <v>57</v>
      </c>
      <c r="F723" s="6" t="s">
        <v>24</v>
      </c>
      <c r="G723" s="6" t="s">
        <v>64</v>
      </c>
      <c r="H723" s="6" t="s">
        <v>65</v>
      </c>
      <c r="I723" s="6" t="str">
        <f aca="false">IF(A723&lt;Outliers!$E$6,"Low",IF(A723&gt;Outliers!$F$6,"High",""))</f>
        <v/>
      </c>
      <c r="J723" s="6" t="str">
        <f aca="false">IF(B723&lt;Outliers!$E$7,"Low",IF(B723&gt;Outliers!$F$7,"High",""))</f>
        <v/>
      </c>
      <c r="K723" s="6" t="str">
        <f aca="false">IF(C723&lt;Outliers!$E$8,"Low",IF(C723&gt;Outliers!$F$8,"High",""))</f>
        <v/>
      </c>
      <c r="L723" s="6" t="str">
        <f aca="false">A723&amp;";"&amp;B723&amp;";"&amp;C723</f>
        <v>28.49538735;74.91559514;13.6108945185143</v>
      </c>
      <c r="M723" s="6" t="n">
        <f aca="false">IF(COUNTIF($L$2:$L$2201,L723)&gt;1,1,0)</f>
        <v>0</v>
      </c>
      <c r="N723" s="6" t="str">
        <f aca="false">IF(AND(C723&lt;Assumptions!$B$9,B723&lt;Assumptions!$B$10),"Irrigate Now",IF(AND(C723&gt;=Assumptions!$B$11,B723&gt;=Assumptions!$B$12),"No Irrigation Needed","Monitor"))</f>
        <v>Irrigate Now</v>
      </c>
      <c r="O723" s="6" t="n">
        <f aca="false">IF(N723=G723,1,0)</f>
        <v>1</v>
      </c>
    </row>
    <row r="724" customFormat="false" ht="15" hidden="false" customHeight="false" outlineLevel="0" collapsed="false">
      <c r="A724" s="16" t="n">
        <v>27.74274761</v>
      </c>
      <c r="B724" s="16" t="n">
        <v>71.78615328</v>
      </c>
      <c r="C724" s="16" t="n">
        <v>18.318808429374</v>
      </c>
      <c r="D724" s="6" t="s">
        <v>57</v>
      </c>
      <c r="E724" s="6" t="s">
        <v>57</v>
      </c>
      <c r="F724" s="6" t="s">
        <v>60</v>
      </c>
      <c r="G724" s="6" t="s">
        <v>61</v>
      </c>
      <c r="H724" s="6" t="s">
        <v>63</v>
      </c>
      <c r="I724" s="6" t="str">
        <f aca="false">IF(A724&lt;Outliers!$E$6,"Low",IF(A724&gt;Outliers!$F$6,"High",""))</f>
        <v/>
      </c>
      <c r="J724" s="6" t="str">
        <f aca="false">IF(B724&lt;Outliers!$E$7,"Low",IF(B724&gt;Outliers!$F$7,"High",""))</f>
        <v/>
      </c>
      <c r="K724" s="6" t="str">
        <f aca="false">IF(C724&lt;Outliers!$E$8,"Low",IF(C724&gt;Outliers!$F$8,"High",""))</f>
        <v/>
      </c>
      <c r="L724" s="6" t="str">
        <f aca="false">A724&amp;";"&amp;B724&amp;";"&amp;C724</f>
        <v>27.74274761;71.78615328;18.318808429374</v>
      </c>
      <c r="M724" s="6" t="n">
        <f aca="false">IF(COUNTIF($L$2:$L$2201,L724)&gt;1,1,0)</f>
        <v>0</v>
      </c>
      <c r="N724" s="6" t="str">
        <f aca="false">IF(AND(C724&lt;Assumptions!$B$9,B724&lt;Assumptions!$B$10),"Irrigate Now",IF(AND(C724&gt;=Assumptions!$B$11,B724&gt;=Assumptions!$B$12),"No Irrigation Needed","Monitor"))</f>
        <v>Monitor</v>
      </c>
      <c r="O724" s="6" t="n">
        <f aca="false">IF(N724=G724,1,0)</f>
        <v>1</v>
      </c>
    </row>
    <row r="725" customFormat="false" ht="15" hidden="false" customHeight="false" outlineLevel="0" collapsed="false">
      <c r="A725" s="16" t="n">
        <v>30.41588462</v>
      </c>
      <c r="B725" s="16" t="n">
        <v>63.02473185</v>
      </c>
      <c r="C725" s="16" t="n">
        <v>17.6121136501235</v>
      </c>
      <c r="D725" s="6" t="s">
        <v>67</v>
      </c>
      <c r="E725" s="6" t="s">
        <v>57</v>
      </c>
      <c r="F725" s="6" t="s">
        <v>24</v>
      </c>
      <c r="G725" s="6" t="s">
        <v>64</v>
      </c>
      <c r="H725" s="6" t="s">
        <v>65</v>
      </c>
      <c r="I725" s="6" t="str">
        <f aca="false">IF(A725&lt;Outliers!$E$6,"Low",IF(A725&gt;Outliers!$F$6,"High",""))</f>
        <v/>
      </c>
      <c r="J725" s="6" t="str">
        <f aca="false">IF(B725&lt;Outliers!$E$7,"Low",IF(B725&gt;Outliers!$F$7,"High",""))</f>
        <v/>
      </c>
      <c r="K725" s="6" t="str">
        <f aca="false">IF(C725&lt;Outliers!$E$8,"Low",IF(C725&gt;Outliers!$F$8,"High",""))</f>
        <v/>
      </c>
      <c r="L725" s="6" t="str">
        <f aca="false">A725&amp;";"&amp;B725&amp;";"&amp;C725</f>
        <v>30.41588462;63.02473185;17.6121136501235</v>
      </c>
      <c r="M725" s="6" t="n">
        <f aca="false">IF(COUNTIF($L$2:$L$2201,L725)&gt;1,1,0)</f>
        <v>0</v>
      </c>
      <c r="N725" s="6" t="str">
        <f aca="false">IF(AND(C725&lt;Assumptions!$B$9,B725&lt;Assumptions!$B$10),"Irrigate Now",IF(AND(C725&gt;=Assumptions!$B$11,B725&gt;=Assumptions!$B$12),"No Irrigation Needed","Monitor"))</f>
        <v>Irrigate Now</v>
      </c>
      <c r="O725" s="6" t="n">
        <f aca="false">IF(N725=G725,1,0)</f>
        <v>1</v>
      </c>
    </row>
    <row r="726" customFormat="false" ht="15" hidden="false" customHeight="false" outlineLevel="0" collapsed="false">
      <c r="A726" s="16" t="n">
        <v>27.3254209</v>
      </c>
      <c r="B726" s="16" t="n">
        <v>61.19250859</v>
      </c>
      <c r="C726" s="16" t="n">
        <v>18.2716906272912</v>
      </c>
      <c r="D726" s="6" t="s">
        <v>57</v>
      </c>
      <c r="E726" s="6" t="s">
        <v>57</v>
      </c>
      <c r="F726" s="6" t="s">
        <v>24</v>
      </c>
      <c r="G726" s="6" t="s">
        <v>61</v>
      </c>
      <c r="H726" s="6" t="s">
        <v>63</v>
      </c>
      <c r="I726" s="6" t="str">
        <f aca="false">IF(A726&lt;Outliers!$E$6,"Low",IF(A726&gt;Outliers!$F$6,"High",""))</f>
        <v/>
      </c>
      <c r="J726" s="6" t="str">
        <f aca="false">IF(B726&lt;Outliers!$E$7,"Low",IF(B726&gt;Outliers!$F$7,"High",""))</f>
        <v/>
      </c>
      <c r="K726" s="6" t="str">
        <f aca="false">IF(C726&lt;Outliers!$E$8,"Low",IF(C726&gt;Outliers!$F$8,"High",""))</f>
        <v/>
      </c>
      <c r="L726" s="6" t="str">
        <f aca="false">A726&amp;";"&amp;B726&amp;";"&amp;C726</f>
        <v>27.3254209;61.19250859;18.2716906272912</v>
      </c>
      <c r="M726" s="6" t="n">
        <f aca="false">IF(COUNTIF($L$2:$L$2201,L726)&gt;1,1,0)</f>
        <v>0</v>
      </c>
      <c r="N726" s="6" t="str">
        <f aca="false">IF(AND(C726&lt;Assumptions!$B$9,B726&lt;Assumptions!$B$10),"Irrigate Now",IF(AND(C726&gt;=Assumptions!$B$11,B726&gt;=Assumptions!$B$12),"No Irrigation Needed","Monitor"))</f>
        <v>Monitor</v>
      </c>
      <c r="O726" s="6" t="n">
        <f aca="false">IF(N726=G726,1,0)</f>
        <v>1</v>
      </c>
    </row>
    <row r="727" customFormat="false" ht="15" hidden="false" customHeight="false" outlineLevel="0" collapsed="false">
      <c r="A727" s="16" t="n">
        <v>30.28496619</v>
      </c>
      <c r="B727" s="16" t="n">
        <v>65.62859526</v>
      </c>
      <c r="C727" s="16" t="n">
        <v>16.0439654062937</v>
      </c>
      <c r="D727" s="6" t="s">
        <v>67</v>
      </c>
      <c r="E727" s="6" t="s">
        <v>57</v>
      </c>
      <c r="F727" s="6" t="s">
        <v>24</v>
      </c>
      <c r="G727" s="6" t="s">
        <v>64</v>
      </c>
      <c r="H727" s="6" t="s">
        <v>65</v>
      </c>
      <c r="I727" s="6" t="str">
        <f aca="false">IF(A727&lt;Outliers!$E$6,"Low",IF(A727&gt;Outliers!$F$6,"High",""))</f>
        <v/>
      </c>
      <c r="J727" s="6" t="str">
        <f aca="false">IF(B727&lt;Outliers!$E$7,"Low",IF(B727&gt;Outliers!$F$7,"High",""))</f>
        <v/>
      </c>
      <c r="K727" s="6" t="str">
        <f aca="false">IF(C727&lt;Outliers!$E$8,"Low",IF(C727&gt;Outliers!$F$8,"High",""))</f>
        <v/>
      </c>
      <c r="L727" s="6" t="str">
        <f aca="false">A727&amp;";"&amp;B727&amp;";"&amp;C727</f>
        <v>30.28496619;65.62859526;16.0439654062937</v>
      </c>
      <c r="M727" s="6" t="n">
        <f aca="false">IF(COUNTIF($L$2:$L$2201,L727)&gt;1,1,0)</f>
        <v>0</v>
      </c>
      <c r="N727" s="6" t="str">
        <f aca="false">IF(AND(C727&lt;Assumptions!$B$9,B727&lt;Assumptions!$B$10),"Irrigate Now",IF(AND(C727&gt;=Assumptions!$B$11,B727&gt;=Assumptions!$B$12),"No Irrigation Needed","Monitor"))</f>
        <v>Irrigate Now</v>
      </c>
      <c r="O727" s="6" t="n">
        <f aca="false">IF(N727=G727,1,0)</f>
        <v>1</v>
      </c>
    </row>
    <row r="728" customFormat="false" ht="15" hidden="false" customHeight="false" outlineLevel="0" collapsed="false">
      <c r="A728" s="16" t="n">
        <v>28.56840626</v>
      </c>
      <c r="B728" s="16" t="n">
        <v>63.49726331</v>
      </c>
      <c r="C728" s="16" t="n">
        <v>25.9998997657481</v>
      </c>
      <c r="D728" s="6" t="s">
        <v>57</v>
      </c>
      <c r="E728" s="6" t="s">
        <v>57</v>
      </c>
      <c r="F728" s="6" t="s">
        <v>23</v>
      </c>
      <c r="G728" s="6" t="s">
        <v>61</v>
      </c>
      <c r="H728" s="6" t="s">
        <v>63</v>
      </c>
      <c r="I728" s="6" t="str">
        <f aca="false">IF(A728&lt;Outliers!$E$6,"Low",IF(A728&gt;Outliers!$F$6,"High",""))</f>
        <v/>
      </c>
      <c r="J728" s="6" t="str">
        <f aca="false">IF(B728&lt;Outliers!$E$7,"Low",IF(B728&gt;Outliers!$F$7,"High",""))</f>
        <v/>
      </c>
      <c r="K728" s="6" t="str">
        <f aca="false">IF(C728&lt;Outliers!$E$8,"Low",IF(C728&gt;Outliers!$F$8,"High",""))</f>
        <v/>
      </c>
      <c r="L728" s="6" t="str">
        <f aca="false">A728&amp;";"&amp;B728&amp;";"&amp;C728</f>
        <v>28.56840626;63.49726331;25.9998997657481</v>
      </c>
      <c r="M728" s="6" t="n">
        <f aca="false">IF(COUNTIF($L$2:$L$2201,L728)&gt;1,1,0)</f>
        <v>0</v>
      </c>
      <c r="N728" s="6" t="str">
        <f aca="false">IF(AND(C728&lt;Assumptions!$B$9,B728&lt;Assumptions!$B$10),"Irrigate Now",IF(AND(C728&gt;=Assumptions!$B$11,B728&gt;=Assumptions!$B$12),"No Irrigation Needed","Monitor"))</f>
        <v>Monitor</v>
      </c>
      <c r="O728" s="6" t="n">
        <f aca="false">IF(N728=G728,1,0)</f>
        <v>1</v>
      </c>
    </row>
    <row r="729" customFormat="false" ht="15" hidden="false" customHeight="false" outlineLevel="0" collapsed="false">
      <c r="A729" s="16" t="n">
        <v>25.36586097</v>
      </c>
      <c r="B729" s="16" t="n">
        <v>65.81655892</v>
      </c>
      <c r="C729" s="16" t="n">
        <v>26.8350188389453</v>
      </c>
      <c r="D729" s="6" t="s">
        <v>57</v>
      </c>
      <c r="E729" s="6" t="s">
        <v>57</v>
      </c>
      <c r="F729" s="6" t="s">
        <v>23</v>
      </c>
      <c r="G729" s="6" t="s">
        <v>61</v>
      </c>
      <c r="H729" s="6" t="s">
        <v>63</v>
      </c>
      <c r="I729" s="6" t="str">
        <f aca="false">IF(A729&lt;Outliers!$E$6,"Low",IF(A729&gt;Outliers!$F$6,"High",""))</f>
        <v/>
      </c>
      <c r="J729" s="6" t="str">
        <f aca="false">IF(B729&lt;Outliers!$E$7,"Low",IF(B729&gt;Outliers!$F$7,"High",""))</f>
        <v/>
      </c>
      <c r="K729" s="6" t="str">
        <f aca="false">IF(C729&lt;Outliers!$E$8,"Low",IF(C729&gt;Outliers!$F$8,"High",""))</f>
        <v/>
      </c>
      <c r="L729" s="6" t="str">
        <f aca="false">A729&amp;";"&amp;B729&amp;";"&amp;C729</f>
        <v>25.36586097;65.81655892;26.8350188389453</v>
      </c>
      <c r="M729" s="6" t="n">
        <f aca="false">IF(COUNTIF($L$2:$L$2201,L729)&gt;1,1,0)</f>
        <v>0</v>
      </c>
      <c r="N729" s="6" t="str">
        <f aca="false">IF(AND(C729&lt;Assumptions!$B$9,B729&lt;Assumptions!$B$10),"Irrigate Now",IF(AND(C729&gt;=Assumptions!$B$11,B729&gt;=Assumptions!$B$12),"No Irrigation Needed","Monitor"))</f>
        <v>Monitor</v>
      </c>
      <c r="O729" s="6" t="n">
        <f aca="false">IF(N729=G729,1,0)</f>
        <v>1</v>
      </c>
    </row>
    <row r="730" customFormat="false" ht="15" hidden="false" customHeight="false" outlineLevel="0" collapsed="false">
      <c r="A730" s="16" t="n">
        <v>34.9466155</v>
      </c>
      <c r="B730" s="16" t="n">
        <v>70.1415139</v>
      </c>
      <c r="C730" s="16" t="n">
        <v>22.1060126855512</v>
      </c>
      <c r="D730" s="6" t="s">
        <v>67</v>
      </c>
      <c r="E730" s="6" t="s">
        <v>57</v>
      </c>
      <c r="F730" s="6" t="s">
        <v>60</v>
      </c>
      <c r="G730" s="6" t="s">
        <v>61</v>
      </c>
      <c r="H730" s="6" t="s">
        <v>63</v>
      </c>
      <c r="I730" s="6" t="str">
        <f aca="false">IF(A730&lt;Outliers!$E$6,"Low",IF(A730&gt;Outliers!$F$6,"High",""))</f>
        <v/>
      </c>
      <c r="J730" s="6" t="str">
        <f aca="false">IF(B730&lt;Outliers!$E$7,"Low",IF(B730&gt;Outliers!$F$7,"High",""))</f>
        <v/>
      </c>
      <c r="K730" s="6" t="str">
        <f aca="false">IF(C730&lt;Outliers!$E$8,"Low",IF(C730&gt;Outliers!$F$8,"High",""))</f>
        <v/>
      </c>
      <c r="L730" s="6" t="str">
        <f aca="false">A730&amp;";"&amp;B730&amp;";"&amp;C730</f>
        <v>34.9466155;70.1415139;22.1060126855512</v>
      </c>
      <c r="M730" s="6" t="n">
        <f aca="false">IF(COUNTIF($L$2:$L$2201,L730)&gt;1,1,0)</f>
        <v>0</v>
      </c>
      <c r="N730" s="6" t="str">
        <f aca="false">IF(AND(C730&lt;Assumptions!$B$9,B730&lt;Assumptions!$B$10),"Irrigate Now",IF(AND(C730&gt;=Assumptions!$B$11,B730&gt;=Assumptions!$B$12),"No Irrigation Needed","Monitor"))</f>
        <v>Monitor</v>
      </c>
      <c r="O730" s="6" t="n">
        <f aca="false">IF(N730=G730,1,0)</f>
        <v>1</v>
      </c>
    </row>
    <row r="731" customFormat="false" ht="15" hidden="false" customHeight="false" outlineLevel="0" collapsed="false">
      <c r="A731" s="16" t="n">
        <v>25.09737391</v>
      </c>
      <c r="B731" s="16" t="n">
        <v>74.61649888</v>
      </c>
      <c r="C731" s="16" t="n">
        <v>28.1387037945329</v>
      </c>
      <c r="D731" s="6" t="s">
        <v>57</v>
      </c>
      <c r="E731" s="6" t="s">
        <v>57</v>
      </c>
      <c r="F731" s="6" t="s">
        <v>23</v>
      </c>
      <c r="G731" s="6" t="s">
        <v>61</v>
      </c>
      <c r="H731" s="6" t="s">
        <v>63</v>
      </c>
      <c r="I731" s="6" t="str">
        <f aca="false">IF(A731&lt;Outliers!$E$6,"Low",IF(A731&gt;Outliers!$F$6,"High",""))</f>
        <v/>
      </c>
      <c r="J731" s="6" t="str">
        <f aca="false">IF(B731&lt;Outliers!$E$7,"Low",IF(B731&gt;Outliers!$F$7,"High",""))</f>
        <v/>
      </c>
      <c r="K731" s="6" t="str">
        <f aca="false">IF(C731&lt;Outliers!$E$8,"Low",IF(C731&gt;Outliers!$F$8,"High",""))</f>
        <v/>
      </c>
      <c r="L731" s="6" t="str">
        <f aca="false">A731&amp;";"&amp;B731&amp;";"&amp;C731</f>
        <v>25.09737391;74.61649888;28.1387037945329</v>
      </c>
      <c r="M731" s="6" t="n">
        <f aca="false">IF(COUNTIF($L$2:$L$2201,L731)&gt;1,1,0)</f>
        <v>0</v>
      </c>
      <c r="N731" s="6" t="str">
        <f aca="false">IF(AND(C731&lt;Assumptions!$B$9,B731&lt;Assumptions!$B$10),"Irrigate Now",IF(AND(C731&gt;=Assumptions!$B$11,B731&gt;=Assumptions!$B$12),"No Irrigation Needed","Monitor"))</f>
        <v>Monitor</v>
      </c>
      <c r="O731" s="6" t="n">
        <f aca="false">IF(N731=G731,1,0)</f>
        <v>1</v>
      </c>
    </row>
    <row r="732" customFormat="false" ht="15" hidden="false" customHeight="false" outlineLevel="0" collapsed="false">
      <c r="A732" s="16" t="n">
        <v>32.47648301</v>
      </c>
      <c r="B732" s="16" t="n">
        <v>65.820457</v>
      </c>
      <c r="C732" s="16" t="n">
        <v>27.0190001997081</v>
      </c>
      <c r="D732" s="6" t="s">
        <v>67</v>
      </c>
      <c r="E732" s="6" t="s">
        <v>57</v>
      </c>
      <c r="F732" s="6" t="s">
        <v>23</v>
      </c>
      <c r="G732" s="6" t="s">
        <v>61</v>
      </c>
      <c r="H732" s="6" t="s">
        <v>63</v>
      </c>
      <c r="I732" s="6" t="str">
        <f aca="false">IF(A732&lt;Outliers!$E$6,"Low",IF(A732&gt;Outliers!$F$6,"High",""))</f>
        <v/>
      </c>
      <c r="J732" s="6" t="str">
        <f aca="false">IF(B732&lt;Outliers!$E$7,"Low",IF(B732&gt;Outliers!$F$7,"High",""))</f>
        <v/>
      </c>
      <c r="K732" s="6" t="str">
        <f aca="false">IF(C732&lt;Outliers!$E$8,"Low",IF(C732&gt;Outliers!$F$8,"High",""))</f>
        <v/>
      </c>
      <c r="L732" s="6" t="str">
        <f aca="false">A732&amp;";"&amp;B732&amp;";"&amp;C732</f>
        <v>32.47648301;65.820457;27.0190001997081</v>
      </c>
      <c r="M732" s="6" t="n">
        <f aca="false">IF(COUNTIF($L$2:$L$2201,L732)&gt;1,1,0)</f>
        <v>0</v>
      </c>
      <c r="N732" s="6" t="str">
        <f aca="false">IF(AND(C732&lt;Assumptions!$B$9,B732&lt;Assumptions!$B$10),"Irrigate Now",IF(AND(C732&gt;=Assumptions!$B$11,B732&gt;=Assumptions!$B$12),"No Irrigation Needed","Monitor"))</f>
        <v>Monitor</v>
      </c>
      <c r="O732" s="6" t="n">
        <f aca="false">IF(N732=G732,1,0)</f>
        <v>1</v>
      </c>
    </row>
    <row r="733" customFormat="false" ht="15" hidden="false" customHeight="false" outlineLevel="0" collapsed="false">
      <c r="A733" s="16" t="n">
        <v>33.86351172</v>
      </c>
      <c r="B733" s="16" t="n">
        <v>69.24464096</v>
      </c>
      <c r="C733" s="16" t="n">
        <v>27.008480986</v>
      </c>
      <c r="D733" s="6" t="s">
        <v>67</v>
      </c>
      <c r="E733" s="6" t="s">
        <v>57</v>
      </c>
      <c r="F733" s="6" t="s">
        <v>23</v>
      </c>
      <c r="G733" s="6" t="s">
        <v>61</v>
      </c>
      <c r="H733" s="6" t="s">
        <v>63</v>
      </c>
      <c r="I733" s="6" t="str">
        <f aca="false">IF(A733&lt;Outliers!$E$6,"Low",IF(A733&gt;Outliers!$F$6,"High",""))</f>
        <v/>
      </c>
      <c r="J733" s="6" t="str">
        <f aca="false">IF(B733&lt;Outliers!$E$7,"Low",IF(B733&gt;Outliers!$F$7,"High",""))</f>
        <v/>
      </c>
      <c r="K733" s="6" t="str">
        <f aca="false">IF(C733&lt;Outliers!$E$8,"Low",IF(C733&gt;Outliers!$F$8,"High",""))</f>
        <v/>
      </c>
      <c r="L733" s="6" t="str">
        <f aca="false">A733&amp;";"&amp;B733&amp;";"&amp;C733</f>
        <v>33.86351172;69.24464096;27.008480986</v>
      </c>
      <c r="M733" s="6" t="n">
        <f aca="false">IF(COUNTIF($L$2:$L$2201,L733)&gt;1,1,0)</f>
        <v>0</v>
      </c>
      <c r="N733" s="6" t="str">
        <f aca="false">IF(AND(C733&lt;Assumptions!$B$9,B733&lt;Assumptions!$B$10),"Irrigate Now",IF(AND(C733&gt;=Assumptions!$B$11,B733&gt;=Assumptions!$B$12),"No Irrigation Needed","Monitor"))</f>
        <v>Monitor</v>
      </c>
      <c r="O733" s="6" t="n">
        <f aca="false">IF(N733=G733,1,0)</f>
        <v>1</v>
      </c>
    </row>
    <row r="734" customFormat="false" ht="15" hidden="false" customHeight="false" outlineLevel="0" collapsed="false">
      <c r="A734" s="16" t="n">
        <v>25.19857725</v>
      </c>
      <c r="B734" s="16" t="n">
        <v>70.88787207</v>
      </c>
      <c r="C734" s="16" t="n">
        <v>21.5232162555593</v>
      </c>
      <c r="D734" s="6" t="s">
        <v>57</v>
      </c>
      <c r="E734" s="6" t="s">
        <v>57</v>
      </c>
      <c r="F734" s="6" t="s">
        <v>60</v>
      </c>
      <c r="G734" s="6" t="s">
        <v>61</v>
      </c>
      <c r="H734" s="6" t="s">
        <v>63</v>
      </c>
      <c r="I734" s="6" t="str">
        <f aca="false">IF(A734&lt;Outliers!$E$6,"Low",IF(A734&gt;Outliers!$F$6,"High",""))</f>
        <v/>
      </c>
      <c r="J734" s="6" t="str">
        <f aca="false">IF(B734&lt;Outliers!$E$7,"Low",IF(B734&gt;Outliers!$F$7,"High",""))</f>
        <v/>
      </c>
      <c r="K734" s="6" t="str">
        <f aca="false">IF(C734&lt;Outliers!$E$8,"Low",IF(C734&gt;Outliers!$F$8,"High",""))</f>
        <v/>
      </c>
      <c r="L734" s="6" t="str">
        <f aca="false">A734&amp;";"&amp;B734&amp;";"&amp;C734</f>
        <v>25.19857725;70.88787207;21.5232162555593</v>
      </c>
      <c r="M734" s="6" t="n">
        <f aca="false">IF(COUNTIF($L$2:$L$2201,L734)&gt;1,1,0)</f>
        <v>0</v>
      </c>
      <c r="N734" s="6" t="str">
        <f aca="false">IF(AND(C734&lt;Assumptions!$B$9,B734&lt;Assumptions!$B$10),"Irrigate Now",IF(AND(C734&gt;=Assumptions!$B$11,B734&gt;=Assumptions!$B$12),"No Irrigation Needed","Monitor"))</f>
        <v>Monitor</v>
      </c>
      <c r="O734" s="6" t="n">
        <f aca="false">IF(N734=G734,1,0)</f>
        <v>1</v>
      </c>
    </row>
    <row r="735" customFormat="false" ht="15" hidden="false" customHeight="false" outlineLevel="0" collapsed="false">
      <c r="A735" s="16" t="n">
        <v>31.77681682</v>
      </c>
      <c r="B735" s="16" t="n">
        <v>61.46892873</v>
      </c>
      <c r="C735" s="16" t="n">
        <v>29.8742887811086</v>
      </c>
      <c r="D735" s="6" t="s">
        <v>67</v>
      </c>
      <c r="E735" s="6" t="s">
        <v>57</v>
      </c>
      <c r="F735" s="6" t="s">
        <v>23</v>
      </c>
      <c r="G735" s="6" t="s">
        <v>61</v>
      </c>
      <c r="H735" s="6" t="s">
        <v>63</v>
      </c>
      <c r="I735" s="6" t="str">
        <f aca="false">IF(A735&lt;Outliers!$E$6,"Low",IF(A735&gt;Outliers!$F$6,"High",""))</f>
        <v/>
      </c>
      <c r="J735" s="6" t="str">
        <f aca="false">IF(B735&lt;Outliers!$E$7,"Low",IF(B735&gt;Outliers!$F$7,"High",""))</f>
        <v/>
      </c>
      <c r="K735" s="6" t="str">
        <f aca="false">IF(C735&lt;Outliers!$E$8,"Low",IF(C735&gt;Outliers!$F$8,"High",""))</f>
        <v/>
      </c>
      <c r="L735" s="6" t="str">
        <f aca="false">A735&amp;";"&amp;B735&amp;";"&amp;C735</f>
        <v>31.77681682;61.46892873;29.8742887811086</v>
      </c>
      <c r="M735" s="6" t="n">
        <f aca="false">IF(COUNTIF($L$2:$L$2201,L735)&gt;1,1,0)</f>
        <v>0</v>
      </c>
      <c r="N735" s="6" t="str">
        <f aca="false">IF(AND(C735&lt;Assumptions!$B$9,B735&lt;Assumptions!$B$10),"Irrigate Now",IF(AND(C735&gt;=Assumptions!$B$11,B735&gt;=Assumptions!$B$12),"No Irrigation Needed","Monitor"))</f>
        <v>Monitor</v>
      </c>
      <c r="O735" s="6" t="n">
        <f aca="false">IF(N735=G735,1,0)</f>
        <v>1</v>
      </c>
    </row>
    <row r="736" customFormat="false" ht="15" hidden="false" customHeight="false" outlineLevel="0" collapsed="false">
      <c r="A736" s="16" t="n">
        <v>34.89814946</v>
      </c>
      <c r="B736" s="16" t="n">
        <v>64.72797143</v>
      </c>
      <c r="C736" s="16" t="n">
        <v>28.8922644859246</v>
      </c>
      <c r="D736" s="6" t="s">
        <v>67</v>
      </c>
      <c r="E736" s="6" t="s">
        <v>57</v>
      </c>
      <c r="F736" s="6" t="s">
        <v>23</v>
      </c>
      <c r="G736" s="6" t="s">
        <v>61</v>
      </c>
      <c r="H736" s="6" t="s">
        <v>63</v>
      </c>
      <c r="I736" s="6" t="str">
        <f aca="false">IF(A736&lt;Outliers!$E$6,"Low",IF(A736&gt;Outliers!$F$6,"High",""))</f>
        <v/>
      </c>
      <c r="J736" s="6" t="str">
        <f aca="false">IF(B736&lt;Outliers!$E$7,"Low",IF(B736&gt;Outliers!$F$7,"High",""))</f>
        <v/>
      </c>
      <c r="K736" s="6" t="str">
        <f aca="false">IF(C736&lt;Outliers!$E$8,"Low",IF(C736&gt;Outliers!$F$8,"High",""))</f>
        <v/>
      </c>
      <c r="L736" s="6" t="str">
        <f aca="false">A736&amp;";"&amp;B736&amp;";"&amp;C736</f>
        <v>34.89814946;64.72797143;28.8922644859246</v>
      </c>
      <c r="M736" s="6" t="n">
        <f aca="false">IF(COUNTIF($L$2:$L$2201,L736)&gt;1,1,0)</f>
        <v>0</v>
      </c>
      <c r="N736" s="6" t="str">
        <f aca="false">IF(AND(C736&lt;Assumptions!$B$9,B736&lt;Assumptions!$B$10),"Irrigate Now",IF(AND(C736&gt;=Assumptions!$B$11,B736&gt;=Assumptions!$B$12),"No Irrigation Needed","Monitor"))</f>
        <v>Monitor</v>
      </c>
      <c r="O736" s="6" t="n">
        <f aca="false">IF(N736=G736,1,0)</f>
        <v>1</v>
      </c>
    </row>
    <row r="737" customFormat="false" ht="15" hidden="false" customHeight="false" outlineLevel="0" collapsed="false">
      <c r="A737" s="16" t="n">
        <v>31.74105409</v>
      </c>
      <c r="B737" s="16" t="n">
        <v>62.3061735</v>
      </c>
      <c r="C737" s="16" t="n">
        <v>20.2560720789724</v>
      </c>
      <c r="D737" s="6" t="s">
        <v>67</v>
      </c>
      <c r="E737" s="6" t="s">
        <v>57</v>
      </c>
      <c r="F737" s="6" t="s">
        <v>60</v>
      </c>
      <c r="G737" s="6" t="s">
        <v>61</v>
      </c>
      <c r="H737" s="6" t="s">
        <v>68</v>
      </c>
      <c r="I737" s="6" t="str">
        <f aca="false">IF(A737&lt;Outliers!$E$6,"Low",IF(A737&gt;Outliers!$F$6,"High",""))</f>
        <v/>
      </c>
      <c r="J737" s="6" t="str">
        <f aca="false">IF(B737&lt;Outliers!$E$7,"Low",IF(B737&gt;Outliers!$F$7,"High",""))</f>
        <v/>
      </c>
      <c r="K737" s="6" t="str">
        <f aca="false">IF(C737&lt;Outliers!$E$8,"Low",IF(C737&gt;Outliers!$F$8,"High",""))</f>
        <v/>
      </c>
      <c r="L737" s="6" t="str">
        <f aca="false">A737&amp;";"&amp;B737&amp;";"&amp;C737</f>
        <v>31.74105409;62.3061735;20.2560720789724</v>
      </c>
      <c r="M737" s="6" t="n">
        <f aca="false">IF(COUNTIF($L$2:$L$2201,L737)&gt;1,1,0)</f>
        <v>0</v>
      </c>
      <c r="N737" s="6" t="str">
        <f aca="false">IF(AND(C737&lt;Assumptions!$B$9,B737&lt;Assumptions!$B$10),"Irrigate Now",IF(AND(C737&gt;=Assumptions!$B$11,B737&gt;=Assumptions!$B$12),"No Irrigation Needed","Monitor"))</f>
        <v>Monitor</v>
      </c>
      <c r="O737" s="6" t="n">
        <f aca="false">IF(N737=G737,1,0)</f>
        <v>1</v>
      </c>
    </row>
    <row r="738" customFormat="false" ht="15" hidden="false" customHeight="false" outlineLevel="0" collapsed="false">
      <c r="A738" s="16" t="n">
        <v>27.16159076</v>
      </c>
      <c r="B738" s="16" t="n">
        <v>69.85112265</v>
      </c>
      <c r="C738" s="16" t="n">
        <v>24.2318815941517</v>
      </c>
      <c r="D738" s="6" t="s">
        <v>57</v>
      </c>
      <c r="E738" s="6" t="s">
        <v>57</v>
      </c>
      <c r="F738" s="6" t="s">
        <v>60</v>
      </c>
      <c r="G738" s="6" t="s">
        <v>61</v>
      </c>
      <c r="H738" s="6" t="s">
        <v>63</v>
      </c>
      <c r="I738" s="6" t="str">
        <f aca="false">IF(A738&lt;Outliers!$E$6,"Low",IF(A738&gt;Outliers!$F$6,"High",""))</f>
        <v/>
      </c>
      <c r="J738" s="6" t="str">
        <f aca="false">IF(B738&lt;Outliers!$E$7,"Low",IF(B738&gt;Outliers!$F$7,"High",""))</f>
        <v/>
      </c>
      <c r="K738" s="6" t="str">
        <f aca="false">IF(C738&lt;Outliers!$E$8,"Low",IF(C738&gt;Outliers!$F$8,"High",""))</f>
        <v/>
      </c>
      <c r="L738" s="6" t="str">
        <f aca="false">A738&amp;";"&amp;B738&amp;";"&amp;C738</f>
        <v>27.16159076;69.85112265;24.2318815941517</v>
      </c>
      <c r="M738" s="6" t="n">
        <f aca="false">IF(COUNTIF($L$2:$L$2201,L738)&gt;1,1,0)</f>
        <v>0</v>
      </c>
      <c r="N738" s="6" t="str">
        <f aca="false">IF(AND(C738&lt;Assumptions!$B$9,B738&lt;Assumptions!$B$10),"Irrigate Now",IF(AND(C738&gt;=Assumptions!$B$11,B738&gt;=Assumptions!$B$12),"No Irrigation Needed","Monitor"))</f>
        <v>Monitor</v>
      </c>
      <c r="O738" s="6" t="n">
        <f aca="false">IF(N738=G738,1,0)</f>
        <v>1</v>
      </c>
    </row>
    <row r="739" customFormat="false" ht="15" hidden="false" customHeight="false" outlineLevel="0" collapsed="false">
      <c r="A739" s="16" t="n">
        <v>26.23773129</v>
      </c>
      <c r="B739" s="16" t="n">
        <v>73.58663968</v>
      </c>
      <c r="C739" s="16" t="n">
        <v>22.3615177138022</v>
      </c>
      <c r="D739" s="6" t="s">
        <v>57</v>
      </c>
      <c r="E739" s="6" t="s">
        <v>57</v>
      </c>
      <c r="F739" s="6" t="s">
        <v>60</v>
      </c>
      <c r="G739" s="6" t="s">
        <v>61</v>
      </c>
      <c r="H739" s="6" t="s">
        <v>63</v>
      </c>
      <c r="I739" s="6" t="str">
        <f aca="false">IF(A739&lt;Outliers!$E$6,"Low",IF(A739&gt;Outliers!$F$6,"High",""))</f>
        <v/>
      </c>
      <c r="J739" s="6" t="str">
        <f aca="false">IF(B739&lt;Outliers!$E$7,"Low",IF(B739&gt;Outliers!$F$7,"High",""))</f>
        <v/>
      </c>
      <c r="K739" s="6" t="str">
        <f aca="false">IF(C739&lt;Outliers!$E$8,"Low",IF(C739&gt;Outliers!$F$8,"High",""))</f>
        <v/>
      </c>
      <c r="L739" s="6" t="str">
        <f aca="false">A739&amp;";"&amp;B739&amp;";"&amp;C739</f>
        <v>26.23773129;73.58663968;22.3615177138022</v>
      </c>
      <c r="M739" s="6" t="n">
        <f aca="false">IF(COUNTIF($L$2:$L$2201,L739)&gt;1,1,0)</f>
        <v>0</v>
      </c>
      <c r="N739" s="6" t="str">
        <f aca="false">IF(AND(C739&lt;Assumptions!$B$9,B739&lt;Assumptions!$B$10),"Irrigate Now",IF(AND(C739&gt;=Assumptions!$B$11,B739&gt;=Assumptions!$B$12),"No Irrigation Needed","Monitor"))</f>
        <v>Monitor</v>
      </c>
      <c r="O739" s="6" t="n">
        <f aca="false">IF(N739=G739,1,0)</f>
        <v>1</v>
      </c>
    </row>
    <row r="740" customFormat="false" ht="15" hidden="false" customHeight="false" outlineLevel="0" collapsed="false">
      <c r="A740" s="16" t="n">
        <v>30.20157245</v>
      </c>
      <c r="B740" s="16" t="n">
        <v>66.37171179</v>
      </c>
      <c r="C740" s="16" t="n">
        <v>26.4517949275844</v>
      </c>
      <c r="D740" s="6" t="s">
        <v>67</v>
      </c>
      <c r="E740" s="6" t="s">
        <v>57</v>
      </c>
      <c r="F740" s="6" t="s">
        <v>23</v>
      </c>
      <c r="G740" s="6" t="s">
        <v>61</v>
      </c>
      <c r="H740" s="6" t="s">
        <v>63</v>
      </c>
      <c r="I740" s="6" t="str">
        <f aca="false">IF(A740&lt;Outliers!$E$6,"Low",IF(A740&gt;Outliers!$F$6,"High",""))</f>
        <v/>
      </c>
      <c r="J740" s="6" t="str">
        <f aca="false">IF(B740&lt;Outliers!$E$7,"Low",IF(B740&gt;Outliers!$F$7,"High",""))</f>
        <v/>
      </c>
      <c r="K740" s="6" t="str">
        <f aca="false">IF(C740&lt;Outliers!$E$8,"Low",IF(C740&gt;Outliers!$F$8,"High",""))</f>
        <v/>
      </c>
      <c r="L740" s="6" t="str">
        <f aca="false">A740&amp;";"&amp;B740&amp;";"&amp;C740</f>
        <v>30.20157245;66.37171179;26.4517949275844</v>
      </c>
      <c r="M740" s="6" t="n">
        <f aca="false">IF(COUNTIF($L$2:$L$2201,L740)&gt;1,1,0)</f>
        <v>0</v>
      </c>
      <c r="N740" s="6" t="str">
        <f aca="false">IF(AND(C740&lt;Assumptions!$B$9,B740&lt;Assumptions!$B$10),"Irrigate Now",IF(AND(C740&gt;=Assumptions!$B$11,B740&gt;=Assumptions!$B$12),"No Irrigation Needed","Monitor"))</f>
        <v>Monitor</v>
      </c>
      <c r="O740" s="6" t="n">
        <f aca="false">IF(N740=G740,1,0)</f>
        <v>1</v>
      </c>
    </row>
    <row r="741" customFormat="false" ht="15" hidden="false" customHeight="false" outlineLevel="0" collapsed="false">
      <c r="A741" s="16" t="n">
        <v>31.55846339</v>
      </c>
      <c r="B741" s="16" t="n">
        <v>74.86960831</v>
      </c>
      <c r="C741" s="16" t="n">
        <v>10.9926590097889</v>
      </c>
      <c r="D741" s="6" t="s">
        <v>67</v>
      </c>
      <c r="E741" s="6" t="s">
        <v>57</v>
      </c>
      <c r="F741" s="6" t="s">
        <v>24</v>
      </c>
      <c r="G741" s="6" t="s">
        <v>64</v>
      </c>
      <c r="H741" s="6" t="s">
        <v>65</v>
      </c>
      <c r="I741" s="6" t="str">
        <f aca="false">IF(A741&lt;Outliers!$E$6,"Low",IF(A741&gt;Outliers!$F$6,"High",""))</f>
        <v/>
      </c>
      <c r="J741" s="6" t="str">
        <f aca="false">IF(B741&lt;Outliers!$E$7,"Low",IF(B741&gt;Outliers!$F$7,"High",""))</f>
        <v/>
      </c>
      <c r="K741" s="6" t="str">
        <f aca="false">IF(C741&lt;Outliers!$E$8,"Low",IF(C741&gt;Outliers!$F$8,"High",""))</f>
        <v/>
      </c>
      <c r="L741" s="6" t="str">
        <f aca="false">A741&amp;";"&amp;B741&amp;";"&amp;C741</f>
        <v>31.55846339;74.86960831;10.9926590097889</v>
      </c>
      <c r="M741" s="6" t="n">
        <f aca="false">IF(COUNTIF($L$2:$L$2201,L741)&gt;1,1,0)</f>
        <v>0</v>
      </c>
      <c r="N741" s="6" t="str">
        <f aca="false">IF(AND(C741&lt;Assumptions!$B$9,B741&lt;Assumptions!$B$10),"Irrigate Now",IF(AND(C741&gt;=Assumptions!$B$11,B741&gt;=Assumptions!$B$12),"No Irrigation Needed","Monitor"))</f>
        <v>Irrigate Now</v>
      </c>
      <c r="O741" s="6" t="n">
        <f aca="false">IF(N741=G741,1,0)</f>
        <v>1</v>
      </c>
    </row>
    <row r="742" customFormat="false" ht="15" hidden="false" customHeight="false" outlineLevel="0" collapsed="false">
      <c r="A742" s="16" t="n">
        <v>29.67892453</v>
      </c>
      <c r="B742" s="16" t="n">
        <v>65.66436565</v>
      </c>
      <c r="C742" s="16" t="n">
        <v>27.821200046958</v>
      </c>
      <c r="D742" s="6" t="s">
        <v>57</v>
      </c>
      <c r="E742" s="6" t="s">
        <v>57</v>
      </c>
      <c r="F742" s="6" t="s">
        <v>23</v>
      </c>
      <c r="G742" s="6" t="s">
        <v>61</v>
      </c>
      <c r="H742" s="6" t="s">
        <v>63</v>
      </c>
      <c r="I742" s="6" t="str">
        <f aca="false">IF(A742&lt;Outliers!$E$6,"Low",IF(A742&gt;Outliers!$F$6,"High",""))</f>
        <v/>
      </c>
      <c r="J742" s="6" t="str">
        <f aca="false">IF(B742&lt;Outliers!$E$7,"Low",IF(B742&gt;Outliers!$F$7,"High",""))</f>
        <v/>
      </c>
      <c r="K742" s="6" t="str">
        <f aca="false">IF(C742&lt;Outliers!$E$8,"Low",IF(C742&gt;Outliers!$F$8,"High",""))</f>
        <v/>
      </c>
      <c r="L742" s="6" t="str">
        <f aca="false">A742&amp;";"&amp;B742&amp;";"&amp;C742</f>
        <v>29.67892453;65.66436565;27.821200046958</v>
      </c>
      <c r="M742" s="6" t="n">
        <f aca="false">IF(COUNTIF($L$2:$L$2201,L742)&gt;1,1,0)</f>
        <v>0</v>
      </c>
      <c r="N742" s="6" t="str">
        <f aca="false">IF(AND(C742&lt;Assumptions!$B$9,B742&lt;Assumptions!$B$10),"Irrigate Now",IF(AND(C742&gt;=Assumptions!$B$11,B742&gt;=Assumptions!$B$12),"No Irrigation Needed","Monitor"))</f>
        <v>Monitor</v>
      </c>
      <c r="O742" s="6" t="n">
        <f aca="false">IF(N742=G742,1,0)</f>
        <v>1</v>
      </c>
    </row>
    <row r="743" customFormat="false" ht="15" hidden="false" customHeight="false" outlineLevel="0" collapsed="false">
      <c r="A743" s="16" t="n">
        <v>27.05365239</v>
      </c>
      <c r="B743" s="16" t="n">
        <v>60.4693835</v>
      </c>
      <c r="C743" s="16" t="n">
        <v>14.8553706043134</v>
      </c>
      <c r="D743" s="6" t="s">
        <v>57</v>
      </c>
      <c r="E743" s="6" t="s">
        <v>57</v>
      </c>
      <c r="F743" s="6" t="s">
        <v>24</v>
      </c>
      <c r="G743" s="6" t="s">
        <v>64</v>
      </c>
      <c r="H743" s="6" t="s">
        <v>65</v>
      </c>
      <c r="I743" s="6" t="str">
        <f aca="false">IF(A743&lt;Outliers!$E$6,"Low",IF(A743&gt;Outliers!$F$6,"High",""))</f>
        <v/>
      </c>
      <c r="J743" s="6" t="str">
        <f aca="false">IF(B743&lt;Outliers!$E$7,"Low",IF(B743&gt;Outliers!$F$7,"High",""))</f>
        <v/>
      </c>
      <c r="K743" s="6" t="str">
        <f aca="false">IF(C743&lt;Outliers!$E$8,"Low",IF(C743&gt;Outliers!$F$8,"High",""))</f>
        <v/>
      </c>
      <c r="L743" s="6" t="str">
        <f aca="false">A743&amp;";"&amp;B743&amp;";"&amp;C743</f>
        <v>27.05365239;60.4693835;14.8553706043134</v>
      </c>
      <c r="M743" s="6" t="n">
        <f aca="false">IF(COUNTIF($L$2:$L$2201,L743)&gt;1,1,0)</f>
        <v>0</v>
      </c>
      <c r="N743" s="6" t="str">
        <f aca="false">IF(AND(C743&lt;Assumptions!$B$9,B743&lt;Assumptions!$B$10),"Irrigate Now",IF(AND(C743&gt;=Assumptions!$B$11,B743&gt;=Assumptions!$B$12),"No Irrigation Needed","Monitor"))</f>
        <v>Irrigate Now</v>
      </c>
      <c r="O743" s="6" t="n">
        <f aca="false">IF(N743=G743,1,0)</f>
        <v>1</v>
      </c>
    </row>
    <row r="744" customFormat="false" ht="15" hidden="false" customHeight="false" outlineLevel="0" collapsed="false">
      <c r="A744" s="16" t="n">
        <v>34.63880966</v>
      </c>
      <c r="B744" s="16" t="n">
        <v>72.43169115</v>
      </c>
      <c r="C744" s="16" t="n">
        <v>24.9099394622734</v>
      </c>
      <c r="D744" s="6" t="s">
        <v>67</v>
      </c>
      <c r="E744" s="6" t="s">
        <v>57</v>
      </c>
      <c r="F744" s="6" t="s">
        <v>60</v>
      </c>
      <c r="G744" s="6" t="s">
        <v>61</v>
      </c>
      <c r="H744" s="6" t="s">
        <v>63</v>
      </c>
      <c r="I744" s="6" t="str">
        <f aca="false">IF(A744&lt;Outliers!$E$6,"Low",IF(A744&gt;Outliers!$F$6,"High",""))</f>
        <v/>
      </c>
      <c r="J744" s="6" t="str">
        <f aca="false">IF(B744&lt;Outliers!$E$7,"Low",IF(B744&gt;Outliers!$F$7,"High",""))</f>
        <v/>
      </c>
      <c r="K744" s="6" t="str">
        <f aca="false">IF(C744&lt;Outliers!$E$8,"Low",IF(C744&gt;Outliers!$F$8,"High",""))</f>
        <v/>
      </c>
      <c r="L744" s="6" t="str">
        <f aca="false">A744&amp;";"&amp;B744&amp;";"&amp;C744</f>
        <v>34.63880966;72.43169115;24.9099394622734</v>
      </c>
      <c r="M744" s="6" t="n">
        <f aca="false">IF(COUNTIF($L$2:$L$2201,L744)&gt;1,1,0)</f>
        <v>0</v>
      </c>
      <c r="N744" s="6" t="str">
        <f aca="false">IF(AND(C744&lt;Assumptions!$B$9,B744&lt;Assumptions!$B$10),"Irrigate Now",IF(AND(C744&gt;=Assumptions!$B$11,B744&gt;=Assumptions!$B$12),"No Irrigation Needed","Monitor"))</f>
        <v>Monitor</v>
      </c>
      <c r="O744" s="6" t="n">
        <f aca="false">IF(N744=G744,1,0)</f>
        <v>1</v>
      </c>
    </row>
    <row r="745" customFormat="false" ht="15" hidden="false" customHeight="false" outlineLevel="0" collapsed="false">
      <c r="A745" s="16" t="n">
        <v>33.39438752</v>
      </c>
      <c r="B745" s="16" t="n">
        <v>63.57445989</v>
      </c>
      <c r="C745" s="16" t="n">
        <v>28.7369618809679</v>
      </c>
      <c r="D745" s="6" t="s">
        <v>67</v>
      </c>
      <c r="E745" s="6" t="s">
        <v>57</v>
      </c>
      <c r="F745" s="6" t="s">
        <v>23</v>
      </c>
      <c r="G745" s="6" t="s">
        <v>61</v>
      </c>
      <c r="H745" s="6" t="s">
        <v>63</v>
      </c>
      <c r="I745" s="6" t="str">
        <f aca="false">IF(A745&lt;Outliers!$E$6,"Low",IF(A745&gt;Outliers!$F$6,"High",""))</f>
        <v/>
      </c>
      <c r="J745" s="6" t="str">
        <f aca="false">IF(B745&lt;Outliers!$E$7,"Low",IF(B745&gt;Outliers!$F$7,"High",""))</f>
        <v/>
      </c>
      <c r="K745" s="6" t="str">
        <f aca="false">IF(C745&lt;Outliers!$E$8,"Low",IF(C745&gt;Outliers!$F$8,"High",""))</f>
        <v/>
      </c>
      <c r="L745" s="6" t="str">
        <f aca="false">A745&amp;";"&amp;B745&amp;";"&amp;C745</f>
        <v>33.39438752;63.57445989;28.7369618809679</v>
      </c>
      <c r="M745" s="6" t="n">
        <f aca="false">IF(COUNTIF($L$2:$L$2201,L745)&gt;1,1,0)</f>
        <v>0</v>
      </c>
      <c r="N745" s="6" t="str">
        <f aca="false">IF(AND(C745&lt;Assumptions!$B$9,B745&lt;Assumptions!$B$10),"Irrigate Now",IF(AND(C745&gt;=Assumptions!$B$11,B745&gt;=Assumptions!$B$12),"No Irrigation Needed","Monitor"))</f>
        <v>Monitor</v>
      </c>
      <c r="O745" s="6" t="n">
        <f aca="false">IF(N745=G745,1,0)</f>
        <v>1</v>
      </c>
    </row>
    <row r="746" customFormat="false" ht="15" hidden="false" customHeight="false" outlineLevel="0" collapsed="false">
      <c r="A746" s="16" t="n">
        <v>28.84079155</v>
      </c>
      <c r="B746" s="16" t="n">
        <v>70.25496749</v>
      </c>
      <c r="C746" s="16" t="n">
        <v>29.8872802400299</v>
      </c>
      <c r="D746" s="6" t="s">
        <v>57</v>
      </c>
      <c r="E746" s="6" t="s">
        <v>57</v>
      </c>
      <c r="F746" s="6" t="s">
        <v>23</v>
      </c>
      <c r="G746" s="6" t="s">
        <v>61</v>
      </c>
      <c r="H746" s="6" t="s">
        <v>63</v>
      </c>
      <c r="I746" s="6" t="str">
        <f aca="false">IF(A746&lt;Outliers!$E$6,"Low",IF(A746&gt;Outliers!$F$6,"High",""))</f>
        <v/>
      </c>
      <c r="J746" s="6" t="str">
        <f aca="false">IF(B746&lt;Outliers!$E$7,"Low",IF(B746&gt;Outliers!$F$7,"High",""))</f>
        <v/>
      </c>
      <c r="K746" s="6" t="str">
        <f aca="false">IF(C746&lt;Outliers!$E$8,"Low",IF(C746&gt;Outliers!$F$8,"High",""))</f>
        <v/>
      </c>
      <c r="L746" s="6" t="str">
        <f aca="false">A746&amp;";"&amp;B746&amp;";"&amp;C746</f>
        <v>28.84079155;70.25496749;29.8872802400299</v>
      </c>
      <c r="M746" s="6" t="n">
        <f aca="false">IF(COUNTIF($L$2:$L$2201,L746)&gt;1,1,0)</f>
        <v>0</v>
      </c>
      <c r="N746" s="6" t="str">
        <f aca="false">IF(AND(C746&lt;Assumptions!$B$9,B746&lt;Assumptions!$B$10),"Irrigate Now",IF(AND(C746&gt;=Assumptions!$B$11,B746&gt;=Assumptions!$B$12),"No Irrigation Needed","Monitor"))</f>
        <v>Monitor</v>
      </c>
      <c r="O746" s="6" t="n">
        <f aca="false">IF(N746=G746,1,0)</f>
        <v>1</v>
      </c>
    </row>
    <row r="747" customFormat="false" ht="15" hidden="false" customHeight="false" outlineLevel="0" collapsed="false">
      <c r="A747" s="16" t="n">
        <v>31.49338309</v>
      </c>
      <c r="B747" s="16" t="n">
        <v>71.48327008</v>
      </c>
      <c r="C747" s="16" t="n">
        <v>27.5332342837824</v>
      </c>
      <c r="D747" s="6" t="s">
        <v>67</v>
      </c>
      <c r="E747" s="6" t="s">
        <v>57</v>
      </c>
      <c r="F747" s="6" t="s">
        <v>23</v>
      </c>
      <c r="G747" s="6" t="s">
        <v>61</v>
      </c>
      <c r="H747" s="6" t="s">
        <v>63</v>
      </c>
      <c r="I747" s="6" t="str">
        <f aca="false">IF(A747&lt;Outliers!$E$6,"Low",IF(A747&gt;Outliers!$F$6,"High",""))</f>
        <v/>
      </c>
      <c r="J747" s="6" t="str">
        <f aca="false">IF(B747&lt;Outliers!$E$7,"Low",IF(B747&gt;Outliers!$F$7,"High",""))</f>
        <v/>
      </c>
      <c r="K747" s="6" t="str">
        <f aca="false">IF(C747&lt;Outliers!$E$8,"Low",IF(C747&gt;Outliers!$F$8,"High",""))</f>
        <v/>
      </c>
      <c r="L747" s="6" t="str">
        <f aca="false">A747&amp;";"&amp;B747&amp;";"&amp;C747</f>
        <v>31.49338309;71.48327008;27.5332342837824</v>
      </c>
      <c r="M747" s="6" t="n">
        <f aca="false">IF(COUNTIF($L$2:$L$2201,L747)&gt;1,1,0)</f>
        <v>0</v>
      </c>
      <c r="N747" s="6" t="str">
        <f aca="false">IF(AND(C747&lt;Assumptions!$B$9,B747&lt;Assumptions!$B$10),"Irrigate Now",IF(AND(C747&gt;=Assumptions!$B$11,B747&gt;=Assumptions!$B$12),"No Irrigation Needed","Monitor"))</f>
        <v>Monitor</v>
      </c>
      <c r="O747" s="6" t="n">
        <f aca="false">IF(N747=G747,1,0)</f>
        <v>1</v>
      </c>
    </row>
    <row r="748" customFormat="false" ht="15" hidden="false" customHeight="false" outlineLevel="0" collapsed="false">
      <c r="A748" s="16" t="n">
        <v>25.54960633</v>
      </c>
      <c r="B748" s="16" t="n">
        <v>63.1830529</v>
      </c>
      <c r="C748" s="16" t="n">
        <v>17.8144256944369</v>
      </c>
      <c r="D748" s="6" t="s">
        <v>57</v>
      </c>
      <c r="E748" s="6" t="s">
        <v>57</v>
      </c>
      <c r="F748" s="6" t="s">
        <v>24</v>
      </c>
      <c r="G748" s="6" t="s">
        <v>64</v>
      </c>
      <c r="H748" s="6" t="s">
        <v>65</v>
      </c>
      <c r="I748" s="6" t="str">
        <f aca="false">IF(A748&lt;Outliers!$E$6,"Low",IF(A748&gt;Outliers!$F$6,"High",""))</f>
        <v/>
      </c>
      <c r="J748" s="6" t="str">
        <f aca="false">IF(B748&lt;Outliers!$E$7,"Low",IF(B748&gt;Outliers!$F$7,"High",""))</f>
        <v/>
      </c>
      <c r="K748" s="6" t="str">
        <f aca="false">IF(C748&lt;Outliers!$E$8,"Low",IF(C748&gt;Outliers!$F$8,"High",""))</f>
        <v/>
      </c>
      <c r="L748" s="6" t="str">
        <f aca="false">A748&amp;";"&amp;B748&amp;";"&amp;C748</f>
        <v>25.54960633;63.1830529;17.8144256944369</v>
      </c>
      <c r="M748" s="6" t="n">
        <f aca="false">IF(COUNTIF($L$2:$L$2201,L748)&gt;1,1,0)</f>
        <v>0</v>
      </c>
      <c r="N748" s="6" t="str">
        <f aca="false">IF(AND(C748&lt;Assumptions!$B$9,B748&lt;Assumptions!$B$10),"Irrigate Now",IF(AND(C748&gt;=Assumptions!$B$11,B748&gt;=Assumptions!$B$12),"No Irrigation Needed","Monitor"))</f>
        <v>Irrigate Now</v>
      </c>
      <c r="O748" s="6" t="n">
        <f aca="false">IF(N748=G748,1,0)</f>
        <v>1</v>
      </c>
    </row>
    <row r="749" customFormat="false" ht="15" hidden="false" customHeight="false" outlineLevel="0" collapsed="false">
      <c r="A749" s="16" t="n">
        <v>34.37329112</v>
      </c>
      <c r="B749" s="16" t="n">
        <v>70.27184748</v>
      </c>
      <c r="C749" s="16" t="n">
        <v>25.0609480751392</v>
      </c>
      <c r="D749" s="6" t="s">
        <v>67</v>
      </c>
      <c r="E749" s="6" t="s">
        <v>57</v>
      </c>
      <c r="F749" s="6" t="s">
        <v>60</v>
      </c>
      <c r="G749" s="6" t="s">
        <v>61</v>
      </c>
      <c r="H749" s="6" t="s">
        <v>63</v>
      </c>
      <c r="I749" s="6" t="str">
        <f aca="false">IF(A749&lt;Outliers!$E$6,"Low",IF(A749&gt;Outliers!$F$6,"High",""))</f>
        <v/>
      </c>
      <c r="J749" s="6" t="str">
        <f aca="false">IF(B749&lt;Outliers!$E$7,"Low",IF(B749&gt;Outliers!$F$7,"High",""))</f>
        <v/>
      </c>
      <c r="K749" s="6" t="str">
        <f aca="false">IF(C749&lt;Outliers!$E$8,"Low",IF(C749&gt;Outliers!$F$8,"High",""))</f>
        <v/>
      </c>
      <c r="L749" s="6" t="str">
        <f aca="false">A749&amp;";"&amp;B749&amp;";"&amp;C749</f>
        <v>34.37329112;70.27184748;25.0609480751392</v>
      </c>
      <c r="M749" s="6" t="n">
        <f aca="false">IF(COUNTIF($L$2:$L$2201,L749)&gt;1,1,0)</f>
        <v>0</v>
      </c>
      <c r="N749" s="6" t="str">
        <f aca="false">IF(AND(C749&lt;Assumptions!$B$9,B749&lt;Assumptions!$B$10),"Irrigate Now",IF(AND(C749&gt;=Assumptions!$B$11,B749&gt;=Assumptions!$B$12),"No Irrigation Needed","Monitor"))</f>
        <v>Monitor</v>
      </c>
      <c r="O749" s="6" t="n">
        <f aca="false">IF(N749=G749,1,0)</f>
        <v>1</v>
      </c>
    </row>
    <row r="750" customFormat="false" ht="15" hidden="false" customHeight="false" outlineLevel="0" collapsed="false">
      <c r="A750" s="16" t="n">
        <v>34.6008247</v>
      </c>
      <c r="B750" s="16" t="n">
        <v>60.41790253</v>
      </c>
      <c r="C750" s="16" t="n">
        <v>29.6208361174101</v>
      </c>
      <c r="D750" s="6" t="s">
        <v>67</v>
      </c>
      <c r="E750" s="6" t="s">
        <v>57</v>
      </c>
      <c r="F750" s="6" t="s">
        <v>23</v>
      </c>
      <c r="G750" s="6" t="s">
        <v>61</v>
      </c>
      <c r="H750" s="6" t="s">
        <v>63</v>
      </c>
      <c r="I750" s="6" t="str">
        <f aca="false">IF(A750&lt;Outliers!$E$6,"Low",IF(A750&gt;Outliers!$F$6,"High",""))</f>
        <v/>
      </c>
      <c r="J750" s="6" t="str">
        <f aca="false">IF(B750&lt;Outliers!$E$7,"Low",IF(B750&gt;Outliers!$F$7,"High",""))</f>
        <v/>
      </c>
      <c r="K750" s="6" t="str">
        <f aca="false">IF(C750&lt;Outliers!$E$8,"Low",IF(C750&gt;Outliers!$F$8,"High",""))</f>
        <v/>
      </c>
      <c r="L750" s="6" t="str">
        <f aca="false">A750&amp;";"&amp;B750&amp;";"&amp;C750</f>
        <v>34.6008247;60.41790253;29.6208361174101</v>
      </c>
      <c r="M750" s="6" t="n">
        <f aca="false">IF(COUNTIF($L$2:$L$2201,L750)&gt;1,1,0)</f>
        <v>0</v>
      </c>
      <c r="N750" s="6" t="str">
        <f aca="false">IF(AND(C750&lt;Assumptions!$B$9,B750&lt;Assumptions!$B$10),"Irrigate Now",IF(AND(C750&gt;=Assumptions!$B$11,B750&gt;=Assumptions!$B$12),"No Irrigation Needed","Monitor"))</f>
        <v>Monitor</v>
      </c>
      <c r="O750" s="6" t="n">
        <f aca="false">IF(N750=G750,1,0)</f>
        <v>1</v>
      </c>
    </row>
    <row r="751" customFormat="false" ht="15" hidden="false" customHeight="false" outlineLevel="0" collapsed="false">
      <c r="A751" s="16" t="n">
        <v>29.43463808</v>
      </c>
      <c r="B751" s="16" t="n">
        <v>72.17818157</v>
      </c>
      <c r="C751" s="16" t="n">
        <v>14.8412287610814</v>
      </c>
      <c r="D751" s="6" t="s">
        <v>57</v>
      </c>
      <c r="E751" s="6" t="s">
        <v>57</v>
      </c>
      <c r="F751" s="6" t="s">
        <v>24</v>
      </c>
      <c r="G751" s="6" t="s">
        <v>64</v>
      </c>
      <c r="H751" s="6" t="s">
        <v>65</v>
      </c>
      <c r="I751" s="6" t="str">
        <f aca="false">IF(A751&lt;Outliers!$E$6,"Low",IF(A751&gt;Outliers!$F$6,"High",""))</f>
        <v/>
      </c>
      <c r="J751" s="6" t="str">
        <f aca="false">IF(B751&lt;Outliers!$E$7,"Low",IF(B751&gt;Outliers!$F$7,"High",""))</f>
        <v/>
      </c>
      <c r="K751" s="6" t="str">
        <f aca="false">IF(C751&lt;Outliers!$E$8,"Low",IF(C751&gt;Outliers!$F$8,"High",""))</f>
        <v/>
      </c>
      <c r="L751" s="6" t="str">
        <f aca="false">A751&amp;";"&amp;B751&amp;";"&amp;C751</f>
        <v>29.43463808;72.17818157;14.8412287610814</v>
      </c>
      <c r="M751" s="6" t="n">
        <f aca="false">IF(COUNTIF($L$2:$L$2201,L751)&gt;1,1,0)</f>
        <v>0</v>
      </c>
      <c r="N751" s="6" t="str">
        <f aca="false">IF(AND(C751&lt;Assumptions!$B$9,B751&lt;Assumptions!$B$10),"Irrigate Now",IF(AND(C751&gt;=Assumptions!$B$11,B751&gt;=Assumptions!$B$12),"No Irrigation Needed","Monitor"))</f>
        <v>Irrigate Now</v>
      </c>
      <c r="O751" s="6" t="n">
        <f aca="false">IF(N751=G751,1,0)</f>
        <v>1</v>
      </c>
    </row>
    <row r="752" customFormat="false" ht="15" hidden="false" customHeight="false" outlineLevel="0" collapsed="false">
      <c r="A752" s="16" t="n">
        <v>29.10713092</v>
      </c>
      <c r="B752" s="16" t="n">
        <v>67.83345933</v>
      </c>
      <c r="C752" s="16" t="n">
        <v>18.1669537872548</v>
      </c>
      <c r="D752" s="6" t="s">
        <v>57</v>
      </c>
      <c r="E752" s="6" t="s">
        <v>57</v>
      </c>
      <c r="F752" s="6" t="s">
        <v>24</v>
      </c>
      <c r="G752" s="6" t="s">
        <v>61</v>
      </c>
      <c r="H752" s="6" t="s">
        <v>63</v>
      </c>
      <c r="I752" s="6" t="str">
        <f aca="false">IF(A752&lt;Outliers!$E$6,"Low",IF(A752&gt;Outliers!$F$6,"High",""))</f>
        <v/>
      </c>
      <c r="J752" s="6" t="str">
        <f aca="false">IF(B752&lt;Outliers!$E$7,"Low",IF(B752&gt;Outliers!$F$7,"High",""))</f>
        <v/>
      </c>
      <c r="K752" s="6" t="str">
        <f aca="false">IF(C752&lt;Outliers!$E$8,"Low",IF(C752&gt;Outliers!$F$8,"High",""))</f>
        <v/>
      </c>
      <c r="L752" s="6" t="str">
        <f aca="false">A752&amp;";"&amp;B752&amp;";"&amp;C752</f>
        <v>29.10713092;67.83345933;18.1669537872548</v>
      </c>
      <c r="M752" s="6" t="n">
        <f aca="false">IF(COUNTIF($L$2:$L$2201,L752)&gt;1,1,0)</f>
        <v>0</v>
      </c>
      <c r="N752" s="6" t="str">
        <f aca="false">IF(AND(C752&lt;Assumptions!$B$9,B752&lt;Assumptions!$B$10),"Irrigate Now",IF(AND(C752&gt;=Assumptions!$B$11,B752&gt;=Assumptions!$B$12),"No Irrigation Needed","Monitor"))</f>
        <v>Monitor</v>
      </c>
      <c r="O752" s="6" t="n">
        <f aca="false">IF(N752=G752,1,0)</f>
        <v>1</v>
      </c>
    </row>
    <row r="753" customFormat="false" ht="15" hidden="false" customHeight="false" outlineLevel="0" collapsed="false">
      <c r="A753" s="16" t="n">
        <v>28.57006111</v>
      </c>
      <c r="B753" s="16" t="n">
        <v>70.0866434</v>
      </c>
      <c r="C753" s="16" t="n">
        <v>12.1086267967959</v>
      </c>
      <c r="D753" s="6" t="s">
        <v>57</v>
      </c>
      <c r="E753" s="6" t="s">
        <v>57</v>
      </c>
      <c r="F753" s="6" t="s">
        <v>24</v>
      </c>
      <c r="G753" s="6" t="s">
        <v>64</v>
      </c>
      <c r="H753" s="6" t="s">
        <v>65</v>
      </c>
      <c r="I753" s="6" t="str">
        <f aca="false">IF(A753&lt;Outliers!$E$6,"Low",IF(A753&gt;Outliers!$F$6,"High",""))</f>
        <v/>
      </c>
      <c r="J753" s="6" t="str">
        <f aca="false">IF(B753&lt;Outliers!$E$7,"Low",IF(B753&gt;Outliers!$F$7,"High",""))</f>
        <v/>
      </c>
      <c r="K753" s="6" t="str">
        <f aca="false">IF(C753&lt;Outliers!$E$8,"Low",IF(C753&gt;Outliers!$F$8,"High",""))</f>
        <v/>
      </c>
      <c r="L753" s="6" t="str">
        <f aca="false">A753&amp;";"&amp;B753&amp;";"&amp;C753</f>
        <v>28.57006111;70.0866434;12.1086267967959</v>
      </c>
      <c r="M753" s="6" t="n">
        <f aca="false">IF(COUNTIF($L$2:$L$2201,L753)&gt;1,1,0)</f>
        <v>0</v>
      </c>
      <c r="N753" s="6" t="str">
        <f aca="false">IF(AND(C753&lt;Assumptions!$B$9,B753&lt;Assumptions!$B$10),"Irrigate Now",IF(AND(C753&gt;=Assumptions!$B$11,B753&gt;=Assumptions!$B$12),"No Irrigation Needed","Monitor"))</f>
        <v>Irrigate Now</v>
      </c>
      <c r="O753" s="6" t="n">
        <f aca="false">IF(N753=G753,1,0)</f>
        <v>1</v>
      </c>
    </row>
    <row r="754" customFormat="false" ht="15" hidden="false" customHeight="false" outlineLevel="0" collapsed="false">
      <c r="A754" s="16" t="n">
        <v>27.54384835</v>
      </c>
      <c r="B754" s="16" t="n">
        <v>69.40878198</v>
      </c>
      <c r="C754" s="16" t="n">
        <v>12.9204003031765</v>
      </c>
      <c r="D754" s="6" t="s">
        <v>57</v>
      </c>
      <c r="E754" s="6" t="s">
        <v>57</v>
      </c>
      <c r="F754" s="6" t="s">
        <v>24</v>
      </c>
      <c r="G754" s="6" t="s">
        <v>64</v>
      </c>
      <c r="H754" s="6" t="s">
        <v>65</v>
      </c>
      <c r="I754" s="6" t="str">
        <f aca="false">IF(A754&lt;Outliers!$E$6,"Low",IF(A754&gt;Outliers!$F$6,"High",""))</f>
        <v/>
      </c>
      <c r="J754" s="6" t="str">
        <f aca="false">IF(B754&lt;Outliers!$E$7,"Low",IF(B754&gt;Outliers!$F$7,"High",""))</f>
        <v/>
      </c>
      <c r="K754" s="6" t="str">
        <f aca="false">IF(C754&lt;Outliers!$E$8,"Low",IF(C754&gt;Outliers!$F$8,"High",""))</f>
        <v/>
      </c>
      <c r="L754" s="6" t="str">
        <f aca="false">A754&amp;";"&amp;B754&amp;";"&amp;C754</f>
        <v>27.54384835;69.40878198;12.9204003031765</v>
      </c>
      <c r="M754" s="6" t="n">
        <f aca="false">IF(COUNTIF($L$2:$L$2201,L754)&gt;1,1,0)</f>
        <v>0</v>
      </c>
      <c r="N754" s="6" t="str">
        <f aca="false">IF(AND(C754&lt;Assumptions!$B$9,B754&lt;Assumptions!$B$10),"Irrigate Now",IF(AND(C754&gt;=Assumptions!$B$11,B754&gt;=Assumptions!$B$12),"No Irrigation Needed","Monitor"))</f>
        <v>Irrigate Now</v>
      </c>
      <c r="O754" s="6" t="n">
        <f aca="false">IF(N754=G754,1,0)</f>
        <v>1</v>
      </c>
    </row>
    <row r="755" customFormat="false" ht="15" hidden="false" customHeight="false" outlineLevel="0" collapsed="false">
      <c r="A755" s="16" t="n">
        <v>33.04687968</v>
      </c>
      <c r="B755" s="16" t="n">
        <v>62.30278274</v>
      </c>
      <c r="C755" s="16" t="n">
        <v>12.6448385901681</v>
      </c>
      <c r="D755" s="6" t="s">
        <v>67</v>
      </c>
      <c r="E755" s="6" t="s">
        <v>57</v>
      </c>
      <c r="F755" s="6" t="s">
        <v>24</v>
      </c>
      <c r="G755" s="6" t="s">
        <v>64</v>
      </c>
      <c r="H755" s="6" t="s">
        <v>65</v>
      </c>
      <c r="I755" s="6" t="str">
        <f aca="false">IF(A755&lt;Outliers!$E$6,"Low",IF(A755&gt;Outliers!$F$6,"High",""))</f>
        <v/>
      </c>
      <c r="J755" s="6" t="str">
        <f aca="false">IF(B755&lt;Outliers!$E$7,"Low",IF(B755&gt;Outliers!$F$7,"High",""))</f>
        <v/>
      </c>
      <c r="K755" s="6" t="str">
        <f aca="false">IF(C755&lt;Outliers!$E$8,"Low",IF(C755&gt;Outliers!$F$8,"High",""))</f>
        <v/>
      </c>
      <c r="L755" s="6" t="str">
        <f aca="false">A755&amp;";"&amp;B755&amp;";"&amp;C755</f>
        <v>33.04687968;62.30278274;12.6448385901681</v>
      </c>
      <c r="M755" s="6" t="n">
        <f aca="false">IF(COUNTIF($L$2:$L$2201,L755)&gt;1,1,0)</f>
        <v>0</v>
      </c>
      <c r="N755" s="6" t="str">
        <f aca="false">IF(AND(C755&lt;Assumptions!$B$9,B755&lt;Assumptions!$B$10),"Irrigate Now",IF(AND(C755&gt;=Assumptions!$B$11,B755&gt;=Assumptions!$B$12),"No Irrigation Needed","Monitor"))</f>
        <v>Irrigate Now</v>
      </c>
      <c r="O755" s="6" t="n">
        <f aca="false">IF(N755=G755,1,0)</f>
        <v>1</v>
      </c>
    </row>
    <row r="756" customFormat="false" ht="15" hidden="false" customHeight="false" outlineLevel="0" collapsed="false">
      <c r="A756" s="16" t="n">
        <v>33.95309131</v>
      </c>
      <c r="B756" s="16" t="n">
        <v>61.16350463</v>
      </c>
      <c r="C756" s="16" t="n">
        <v>10.7962575023395</v>
      </c>
      <c r="D756" s="6" t="s">
        <v>67</v>
      </c>
      <c r="E756" s="6" t="s">
        <v>57</v>
      </c>
      <c r="F756" s="6" t="s">
        <v>24</v>
      </c>
      <c r="G756" s="6" t="s">
        <v>64</v>
      </c>
      <c r="H756" s="6" t="s">
        <v>65</v>
      </c>
      <c r="I756" s="6" t="str">
        <f aca="false">IF(A756&lt;Outliers!$E$6,"Low",IF(A756&gt;Outliers!$F$6,"High",""))</f>
        <v/>
      </c>
      <c r="J756" s="6" t="str">
        <f aca="false">IF(B756&lt;Outliers!$E$7,"Low",IF(B756&gt;Outliers!$F$7,"High",""))</f>
        <v/>
      </c>
      <c r="K756" s="6" t="str">
        <f aca="false">IF(C756&lt;Outliers!$E$8,"Low",IF(C756&gt;Outliers!$F$8,"High",""))</f>
        <v/>
      </c>
      <c r="L756" s="6" t="str">
        <f aca="false">A756&amp;";"&amp;B756&amp;";"&amp;C756</f>
        <v>33.95309131;61.16350463;10.7962575023395</v>
      </c>
      <c r="M756" s="6" t="n">
        <f aca="false">IF(COUNTIF($L$2:$L$2201,L756)&gt;1,1,0)</f>
        <v>0</v>
      </c>
      <c r="N756" s="6" t="str">
        <f aca="false">IF(AND(C756&lt;Assumptions!$B$9,B756&lt;Assumptions!$B$10),"Irrigate Now",IF(AND(C756&gt;=Assumptions!$B$11,B756&gt;=Assumptions!$B$12),"No Irrigation Needed","Monitor"))</f>
        <v>Irrigate Now</v>
      </c>
      <c r="O756" s="6" t="n">
        <f aca="false">IF(N756=G756,1,0)</f>
        <v>1</v>
      </c>
    </row>
    <row r="757" customFormat="false" ht="15" hidden="false" customHeight="false" outlineLevel="0" collapsed="false">
      <c r="A757" s="16" t="n">
        <v>30.11873003</v>
      </c>
      <c r="B757" s="16" t="n">
        <v>71.72980375</v>
      </c>
      <c r="C757" s="16" t="n">
        <v>10.8183196114052</v>
      </c>
      <c r="D757" s="6" t="s">
        <v>67</v>
      </c>
      <c r="E757" s="6" t="s">
        <v>57</v>
      </c>
      <c r="F757" s="6" t="s">
        <v>24</v>
      </c>
      <c r="G757" s="6" t="s">
        <v>64</v>
      </c>
      <c r="H757" s="6" t="s">
        <v>65</v>
      </c>
      <c r="I757" s="6" t="str">
        <f aca="false">IF(A757&lt;Outliers!$E$6,"Low",IF(A757&gt;Outliers!$F$6,"High",""))</f>
        <v/>
      </c>
      <c r="J757" s="6" t="str">
        <f aca="false">IF(B757&lt;Outliers!$E$7,"Low",IF(B757&gt;Outliers!$F$7,"High",""))</f>
        <v/>
      </c>
      <c r="K757" s="6" t="str">
        <f aca="false">IF(C757&lt;Outliers!$E$8,"Low",IF(C757&gt;Outliers!$F$8,"High",""))</f>
        <v/>
      </c>
      <c r="L757" s="6" t="str">
        <f aca="false">A757&amp;";"&amp;B757&amp;";"&amp;C757</f>
        <v>30.11873003;71.72980375;10.8183196114052</v>
      </c>
      <c r="M757" s="6" t="n">
        <f aca="false">IF(COUNTIF($L$2:$L$2201,L757)&gt;1,1,0)</f>
        <v>0</v>
      </c>
      <c r="N757" s="6" t="str">
        <f aca="false">IF(AND(C757&lt;Assumptions!$B$9,B757&lt;Assumptions!$B$10),"Irrigate Now",IF(AND(C757&gt;=Assumptions!$B$11,B757&gt;=Assumptions!$B$12),"No Irrigation Needed","Monitor"))</f>
        <v>Irrigate Now</v>
      </c>
      <c r="O757" s="6" t="n">
        <f aca="false">IF(N757=G757,1,0)</f>
        <v>1</v>
      </c>
    </row>
    <row r="758" customFormat="false" ht="15" hidden="false" customHeight="false" outlineLevel="0" collapsed="false">
      <c r="A758" s="16" t="n">
        <v>29.57812712</v>
      </c>
      <c r="B758" s="16" t="n">
        <v>69.43895491</v>
      </c>
      <c r="C758" s="16" t="n">
        <v>10.0923024792952</v>
      </c>
      <c r="D758" s="6" t="s">
        <v>57</v>
      </c>
      <c r="E758" s="6" t="s">
        <v>57</v>
      </c>
      <c r="F758" s="6" t="s">
        <v>24</v>
      </c>
      <c r="G758" s="6" t="s">
        <v>64</v>
      </c>
      <c r="H758" s="6" t="s">
        <v>65</v>
      </c>
      <c r="I758" s="6" t="str">
        <f aca="false">IF(A758&lt;Outliers!$E$6,"Low",IF(A758&gt;Outliers!$F$6,"High",""))</f>
        <v/>
      </c>
      <c r="J758" s="6" t="str">
        <f aca="false">IF(B758&lt;Outliers!$E$7,"Low",IF(B758&gt;Outliers!$F$7,"High",""))</f>
        <v/>
      </c>
      <c r="K758" s="6" t="str">
        <f aca="false">IF(C758&lt;Outliers!$E$8,"Low",IF(C758&gt;Outliers!$F$8,"High",""))</f>
        <v/>
      </c>
      <c r="L758" s="6" t="str">
        <f aca="false">A758&amp;";"&amp;B758&amp;";"&amp;C758</f>
        <v>29.57812712;69.43895491;10.0923024792952</v>
      </c>
      <c r="M758" s="6" t="n">
        <f aca="false">IF(COUNTIF($L$2:$L$2201,L758)&gt;1,1,0)</f>
        <v>0</v>
      </c>
      <c r="N758" s="6" t="str">
        <f aca="false">IF(AND(C758&lt;Assumptions!$B$9,B758&lt;Assumptions!$B$10),"Irrigate Now",IF(AND(C758&gt;=Assumptions!$B$11,B758&gt;=Assumptions!$B$12),"No Irrigation Needed","Monitor"))</f>
        <v>Irrigate Now</v>
      </c>
      <c r="O758" s="6" t="n">
        <f aca="false">IF(N758=G758,1,0)</f>
        <v>1</v>
      </c>
    </row>
    <row r="759" customFormat="false" ht="15" hidden="false" customHeight="false" outlineLevel="0" collapsed="false">
      <c r="A759" s="16" t="n">
        <v>27.26458947</v>
      </c>
      <c r="B759" s="16" t="n">
        <v>68.91754359</v>
      </c>
      <c r="C759" s="16" t="n">
        <v>17.9774769064765</v>
      </c>
      <c r="D759" s="6" t="s">
        <v>57</v>
      </c>
      <c r="E759" s="6" t="s">
        <v>57</v>
      </c>
      <c r="F759" s="6" t="s">
        <v>24</v>
      </c>
      <c r="G759" s="6" t="s">
        <v>64</v>
      </c>
      <c r="H759" s="6" t="s">
        <v>65</v>
      </c>
      <c r="I759" s="6" t="str">
        <f aca="false">IF(A759&lt;Outliers!$E$6,"Low",IF(A759&gt;Outliers!$F$6,"High",""))</f>
        <v/>
      </c>
      <c r="J759" s="6" t="str">
        <f aca="false">IF(B759&lt;Outliers!$E$7,"Low",IF(B759&gt;Outliers!$F$7,"High",""))</f>
        <v/>
      </c>
      <c r="K759" s="6" t="str">
        <f aca="false">IF(C759&lt;Outliers!$E$8,"Low",IF(C759&gt;Outliers!$F$8,"High",""))</f>
        <v/>
      </c>
      <c r="L759" s="6" t="str">
        <f aca="false">A759&amp;";"&amp;B759&amp;";"&amp;C759</f>
        <v>27.26458947;68.91754359;17.9774769064765</v>
      </c>
      <c r="M759" s="6" t="n">
        <f aca="false">IF(COUNTIF($L$2:$L$2201,L759)&gt;1,1,0)</f>
        <v>0</v>
      </c>
      <c r="N759" s="6" t="str">
        <f aca="false">IF(AND(C759&lt;Assumptions!$B$9,B759&lt;Assumptions!$B$10),"Irrigate Now",IF(AND(C759&gt;=Assumptions!$B$11,B759&gt;=Assumptions!$B$12),"No Irrigation Needed","Monitor"))</f>
        <v>Irrigate Now</v>
      </c>
      <c r="O759" s="6" t="n">
        <f aca="false">IF(N759=G759,1,0)</f>
        <v>1</v>
      </c>
    </row>
    <row r="760" customFormat="false" ht="15" hidden="false" customHeight="false" outlineLevel="0" collapsed="false">
      <c r="A760" s="16" t="n">
        <v>31.35730791</v>
      </c>
      <c r="B760" s="16" t="n">
        <v>63.85668948</v>
      </c>
      <c r="C760" s="16" t="n">
        <v>22.9996416547392</v>
      </c>
      <c r="D760" s="6" t="s">
        <v>67</v>
      </c>
      <c r="E760" s="6" t="s">
        <v>57</v>
      </c>
      <c r="F760" s="6" t="s">
        <v>60</v>
      </c>
      <c r="G760" s="6" t="s">
        <v>61</v>
      </c>
      <c r="H760" s="6" t="s">
        <v>63</v>
      </c>
      <c r="I760" s="6" t="str">
        <f aca="false">IF(A760&lt;Outliers!$E$6,"Low",IF(A760&gt;Outliers!$F$6,"High",""))</f>
        <v/>
      </c>
      <c r="J760" s="6" t="str">
        <f aca="false">IF(B760&lt;Outliers!$E$7,"Low",IF(B760&gt;Outliers!$F$7,"High",""))</f>
        <v/>
      </c>
      <c r="K760" s="6" t="str">
        <f aca="false">IF(C760&lt;Outliers!$E$8,"Low",IF(C760&gt;Outliers!$F$8,"High",""))</f>
        <v/>
      </c>
      <c r="L760" s="6" t="str">
        <f aca="false">A760&amp;";"&amp;B760&amp;";"&amp;C760</f>
        <v>31.35730791;63.85668948;22.9996416547392</v>
      </c>
      <c r="M760" s="6" t="n">
        <f aca="false">IF(COUNTIF($L$2:$L$2201,L760)&gt;1,1,0)</f>
        <v>0</v>
      </c>
      <c r="N760" s="6" t="str">
        <f aca="false">IF(AND(C760&lt;Assumptions!$B$9,B760&lt;Assumptions!$B$10),"Irrigate Now",IF(AND(C760&gt;=Assumptions!$B$11,B760&gt;=Assumptions!$B$12),"No Irrigation Needed","Monitor"))</f>
        <v>Monitor</v>
      </c>
      <c r="O760" s="6" t="n">
        <f aca="false">IF(N760=G760,1,0)</f>
        <v>1</v>
      </c>
    </row>
    <row r="761" customFormat="false" ht="15" hidden="false" customHeight="false" outlineLevel="0" collapsed="false">
      <c r="A761" s="16" t="n">
        <v>31.52104732</v>
      </c>
      <c r="B761" s="16" t="n">
        <v>61.71111448</v>
      </c>
      <c r="C761" s="16" t="n">
        <v>27.7827388314278</v>
      </c>
      <c r="D761" s="6" t="s">
        <v>67</v>
      </c>
      <c r="E761" s="6" t="s">
        <v>57</v>
      </c>
      <c r="F761" s="6" t="s">
        <v>23</v>
      </c>
      <c r="G761" s="6" t="s">
        <v>61</v>
      </c>
      <c r="H761" s="6" t="s">
        <v>63</v>
      </c>
      <c r="I761" s="6" t="str">
        <f aca="false">IF(A761&lt;Outliers!$E$6,"Low",IF(A761&gt;Outliers!$F$6,"High",""))</f>
        <v/>
      </c>
      <c r="J761" s="6" t="str">
        <f aca="false">IF(B761&lt;Outliers!$E$7,"Low",IF(B761&gt;Outliers!$F$7,"High",""))</f>
        <v/>
      </c>
      <c r="K761" s="6" t="str">
        <f aca="false">IF(C761&lt;Outliers!$E$8,"Low",IF(C761&gt;Outliers!$F$8,"High",""))</f>
        <v/>
      </c>
      <c r="L761" s="6" t="str">
        <f aca="false">A761&amp;";"&amp;B761&amp;";"&amp;C761</f>
        <v>31.52104732;61.71111448;27.7827388314278</v>
      </c>
      <c r="M761" s="6" t="n">
        <f aca="false">IF(COUNTIF($L$2:$L$2201,L761)&gt;1,1,0)</f>
        <v>0</v>
      </c>
      <c r="N761" s="6" t="str">
        <f aca="false">IF(AND(C761&lt;Assumptions!$B$9,B761&lt;Assumptions!$B$10),"Irrigate Now",IF(AND(C761&gt;=Assumptions!$B$11,B761&gt;=Assumptions!$B$12),"No Irrigation Needed","Monitor"))</f>
        <v>Monitor</v>
      </c>
      <c r="O761" s="6" t="n">
        <f aca="false">IF(N761=G761,1,0)</f>
        <v>1</v>
      </c>
    </row>
    <row r="762" customFormat="false" ht="15" hidden="false" customHeight="false" outlineLevel="0" collapsed="false">
      <c r="A762" s="16" t="n">
        <v>29.39982732</v>
      </c>
      <c r="B762" s="16" t="n">
        <v>67.47677295</v>
      </c>
      <c r="C762" s="16" t="n">
        <v>18.2607017211082</v>
      </c>
      <c r="D762" s="6" t="s">
        <v>57</v>
      </c>
      <c r="E762" s="6" t="s">
        <v>57</v>
      </c>
      <c r="F762" s="6" t="s">
        <v>24</v>
      </c>
      <c r="G762" s="6" t="s">
        <v>61</v>
      </c>
      <c r="H762" s="6" t="s">
        <v>63</v>
      </c>
      <c r="I762" s="6" t="str">
        <f aca="false">IF(A762&lt;Outliers!$E$6,"Low",IF(A762&gt;Outliers!$F$6,"High",""))</f>
        <v/>
      </c>
      <c r="J762" s="6" t="str">
        <f aca="false">IF(B762&lt;Outliers!$E$7,"Low",IF(B762&gt;Outliers!$F$7,"High",""))</f>
        <v/>
      </c>
      <c r="K762" s="6" t="str">
        <f aca="false">IF(C762&lt;Outliers!$E$8,"Low",IF(C762&gt;Outliers!$F$8,"High",""))</f>
        <v/>
      </c>
      <c r="L762" s="6" t="str">
        <f aca="false">A762&amp;";"&amp;B762&amp;";"&amp;C762</f>
        <v>29.39982732;67.47677295;18.2607017211082</v>
      </c>
      <c r="M762" s="6" t="n">
        <f aca="false">IF(COUNTIF($L$2:$L$2201,L762)&gt;1,1,0)</f>
        <v>0</v>
      </c>
      <c r="N762" s="6" t="str">
        <f aca="false">IF(AND(C762&lt;Assumptions!$B$9,B762&lt;Assumptions!$B$10),"Irrigate Now",IF(AND(C762&gt;=Assumptions!$B$11,B762&gt;=Assumptions!$B$12),"No Irrigation Needed","Monitor"))</f>
        <v>Monitor</v>
      </c>
      <c r="O762" s="6" t="n">
        <f aca="false">IF(N762=G762,1,0)</f>
        <v>1</v>
      </c>
    </row>
    <row r="763" customFormat="false" ht="15" hidden="false" customHeight="false" outlineLevel="0" collapsed="false">
      <c r="A763" s="16" t="n">
        <v>29.38400259</v>
      </c>
      <c r="B763" s="16" t="n">
        <v>65.24194361</v>
      </c>
      <c r="C763" s="16" t="n">
        <v>26.2709344099806</v>
      </c>
      <c r="D763" s="6" t="s">
        <v>57</v>
      </c>
      <c r="E763" s="6" t="s">
        <v>57</v>
      </c>
      <c r="F763" s="6" t="s">
        <v>23</v>
      </c>
      <c r="G763" s="6" t="s">
        <v>61</v>
      </c>
      <c r="H763" s="6" t="s">
        <v>63</v>
      </c>
      <c r="I763" s="6" t="str">
        <f aca="false">IF(A763&lt;Outliers!$E$6,"Low",IF(A763&gt;Outliers!$F$6,"High",""))</f>
        <v/>
      </c>
      <c r="J763" s="6" t="str">
        <f aca="false">IF(B763&lt;Outliers!$E$7,"Low",IF(B763&gt;Outliers!$F$7,"High",""))</f>
        <v/>
      </c>
      <c r="K763" s="6" t="str">
        <f aca="false">IF(C763&lt;Outliers!$E$8,"Low",IF(C763&gt;Outliers!$F$8,"High",""))</f>
        <v/>
      </c>
      <c r="L763" s="6" t="str">
        <f aca="false">A763&amp;";"&amp;B763&amp;";"&amp;C763</f>
        <v>29.38400259;65.24194361;26.2709344099806</v>
      </c>
      <c r="M763" s="6" t="n">
        <f aca="false">IF(COUNTIF($L$2:$L$2201,L763)&gt;1,1,0)</f>
        <v>0</v>
      </c>
      <c r="N763" s="6" t="str">
        <f aca="false">IF(AND(C763&lt;Assumptions!$B$9,B763&lt;Assumptions!$B$10),"Irrigate Now",IF(AND(C763&gt;=Assumptions!$B$11,B763&gt;=Assumptions!$B$12),"No Irrigation Needed","Monitor"))</f>
        <v>Monitor</v>
      </c>
      <c r="O763" s="6" t="n">
        <f aca="false">IF(N763=G763,1,0)</f>
        <v>1</v>
      </c>
    </row>
    <row r="764" customFormat="false" ht="15" hidden="false" customHeight="false" outlineLevel="0" collapsed="false">
      <c r="A764" s="16" t="n">
        <v>28.38686534</v>
      </c>
      <c r="B764" s="16" t="n">
        <v>74.24459122</v>
      </c>
      <c r="C764" s="16" t="n">
        <v>22.9460059649623</v>
      </c>
      <c r="D764" s="6" t="s">
        <v>57</v>
      </c>
      <c r="E764" s="6" t="s">
        <v>57</v>
      </c>
      <c r="F764" s="6" t="s">
        <v>60</v>
      </c>
      <c r="G764" s="6" t="s">
        <v>61</v>
      </c>
      <c r="H764" s="6" t="s">
        <v>63</v>
      </c>
      <c r="I764" s="6" t="str">
        <f aca="false">IF(A764&lt;Outliers!$E$6,"Low",IF(A764&gt;Outliers!$F$6,"High",""))</f>
        <v/>
      </c>
      <c r="J764" s="6" t="str">
        <f aca="false">IF(B764&lt;Outliers!$E$7,"Low",IF(B764&gt;Outliers!$F$7,"High",""))</f>
        <v/>
      </c>
      <c r="K764" s="6" t="str">
        <f aca="false">IF(C764&lt;Outliers!$E$8,"Low",IF(C764&gt;Outliers!$F$8,"High",""))</f>
        <v/>
      </c>
      <c r="L764" s="6" t="str">
        <f aca="false">A764&amp;";"&amp;B764&amp;";"&amp;C764</f>
        <v>28.38686534;74.24459122;22.9460059649623</v>
      </c>
      <c r="M764" s="6" t="n">
        <f aca="false">IF(COUNTIF($L$2:$L$2201,L764)&gt;1,1,0)</f>
        <v>0</v>
      </c>
      <c r="N764" s="6" t="str">
        <f aca="false">IF(AND(C764&lt;Assumptions!$B$9,B764&lt;Assumptions!$B$10),"Irrigate Now",IF(AND(C764&gt;=Assumptions!$B$11,B764&gt;=Assumptions!$B$12),"No Irrigation Needed","Monitor"))</f>
        <v>Monitor</v>
      </c>
      <c r="O764" s="6" t="n">
        <f aca="false">IF(N764=G764,1,0)</f>
        <v>1</v>
      </c>
    </row>
    <row r="765" customFormat="false" ht="15" hidden="false" customHeight="false" outlineLevel="0" collapsed="false">
      <c r="A765" s="16" t="n">
        <v>28.47442276</v>
      </c>
      <c r="B765" s="16" t="n">
        <v>69.5274407</v>
      </c>
      <c r="C765" s="16" t="n">
        <v>20.1132930795396</v>
      </c>
      <c r="D765" s="6" t="s">
        <v>57</v>
      </c>
      <c r="E765" s="6" t="s">
        <v>57</v>
      </c>
      <c r="F765" s="6" t="s">
        <v>60</v>
      </c>
      <c r="G765" s="6" t="s">
        <v>61</v>
      </c>
      <c r="H765" s="6" t="s">
        <v>63</v>
      </c>
      <c r="I765" s="6" t="str">
        <f aca="false">IF(A765&lt;Outliers!$E$6,"Low",IF(A765&gt;Outliers!$F$6,"High",""))</f>
        <v/>
      </c>
      <c r="J765" s="6" t="str">
        <f aca="false">IF(B765&lt;Outliers!$E$7,"Low",IF(B765&gt;Outliers!$F$7,"High",""))</f>
        <v/>
      </c>
      <c r="K765" s="6" t="str">
        <f aca="false">IF(C765&lt;Outliers!$E$8,"Low",IF(C765&gt;Outliers!$F$8,"High",""))</f>
        <v/>
      </c>
      <c r="L765" s="6" t="str">
        <f aca="false">A765&amp;";"&amp;B765&amp;";"&amp;C765</f>
        <v>28.47442276;69.5274407;20.1132930795396</v>
      </c>
      <c r="M765" s="6" t="n">
        <f aca="false">IF(COUNTIF($L$2:$L$2201,L765)&gt;1,1,0)</f>
        <v>0</v>
      </c>
      <c r="N765" s="6" t="str">
        <f aca="false">IF(AND(C765&lt;Assumptions!$B$9,B765&lt;Assumptions!$B$10),"Irrigate Now",IF(AND(C765&gt;=Assumptions!$B$11,B765&gt;=Assumptions!$B$12),"No Irrigation Needed","Monitor"))</f>
        <v>Monitor</v>
      </c>
      <c r="O765" s="6" t="n">
        <f aca="false">IF(N765=G765,1,0)</f>
        <v>1</v>
      </c>
    </row>
    <row r="766" customFormat="false" ht="15" hidden="false" customHeight="false" outlineLevel="0" collapsed="false">
      <c r="A766" s="16" t="n">
        <v>30.64095781</v>
      </c>
      <c r="B766" s="16" t="n">
        <v>71.36947525</v>
      </c>
      <c r="C766" s="16" t="n">
        <v>29.2090715713159</v>
      </c>
      <c r="D766" s="6" t="s">
        <v>67</v>
      </c>
      <c r="E766" s="6" t="s">
        <v>57</v>
      </c>
      <c r="F766" s="6" t="s">
        <v>23</v>
      </c>
      <c r="G766" s="6" t="s">
        <v>61</v>
      </c>
      <c r="H766" s="6" t="s">
        <v>63</v>
      </c>
      <c r="I766" s="6" t="str">
        <f aca="false">IF(A766&lt;Outliers!$E$6,"Low",IF(A766&gt;Outliers!$F$6,"High",""))</f>
        <v/>
      </c>
      <c r="J766" s="6" t="str">
        <f aca="false">IF(B766&lt;Outliers!$E$7,"Low",IF(B766&gt;Outliers!$F$7,"High",""))</f>
        <v/>
      </c>
      <c r="K766" s="6" t="str">
        <f aca="false">IF(C766&lt;Outliers!$E$8,"Low",IF(C766&gt;Outliers!$F$8,"High",""))</f>
        <v/>
      </c>
      <c r="L766" s="6" t="str">
        <f aca="false">A766&amp;";"&amp;B766&amp;";"&amp;C766</f>
        <v>30.64095781;71.36947525;29.2090715713159</v>
      </c>
      <c r="M766" s="6" t="n">
        <f aca="false">IF(COUNTIF($L$2:$L$2201,L766)&gt;1,1,0)</f>
        <v>0</v>
      </c>
      <c r="N766" s="6" t="str">
        <f aca="false">IF(AND(C766&lt;Assumptions!$B$9,B766&lt;Assumptions!$B$10),"Irrigate Now",IF(AND(C766&gt;=Assumptions!$B$11,B766&gt;=Assumptions!$B$12),"No Irrigation Needed","Monitor"))</f>
        <v>Monitor</v>
      </c>
      <c r="O766" s="6" t="n">
        <f aca="false">IF(N766=G766,1,0)</f>
        <v>1</v>
      </c>
    </row>
    <row r="767" customFormat="false" ht="15" hidden="false" customHeight="false" outlineLevel="0" collapsed="false">
      <c r="A767" s="16" t="n">
        <v>25.25596239</v>
      </c>
      <c r="B767" s="16" t="n">
        <v>68.64685069</v>
      </c>
      <c r="C767" s="16" t="n">
        <v>23.6996234101421</v>
      </c>
      <c r="D767" s="6" t="s">
        <v>57</v>
      </c>
      <c r="E767" s="6" t="s">
        <v>57</v>
      </c>
      <c r="F767" s="6" t="s">
        <v>60</v>
      </c>
      <c r="G767" s="6" t="s">
        <v>61</v>
      </c>
      <c r="H767" s="6" t="s">
        <v>63</v>
      </c>
      <c r="I767" s="6" t="str">
        <f aca="false">IF(A767&lt;Outliers!$E$6,"Low",IF(A767&gt;Outliers!$F$6,"High",""))</f>
        <v/>
      </c>
      <c r="J767" s="6" t="str">
        <f aca="false">IF(B767&lt;Outliers!$E$7,"Low",IF(B767&gt;Outliers!$F$7,"High",""))</f>
        <v/>
      </c>
      <c r="K767" s="6" t="str">
        <f aca="false">IF(C767&lt;Outliers!$E$8,"Low",IF(C767&gt;Outliers!$F$8,"High",""))</f>
        <v/>
      </c>
      <c r="L767" s="6" t="str">
        <f aca="false">A767&amp;";"&amp;B767&amp;";"&amp;C767</f>
        <v>25.25596239;68.64685069;23.6996234101421</v>
      </c>
      <c r="M767" s="6" t="n">
        <f aca="false">IF(COUNTIF($L$2:$L$2201,L767)&gt;1,1,0)</f>
        <v>0</v>
      </c>
      <c r="N767" s="6" t="str">
        <f aca="false">IF(AND(C767&lt;Assumptions!$B$9,B767&lt;Assumptions!$B$10),"Irrigate Now",IF(AND(C767&gt;=Assumptions!$B$11,B767&gt;=Assumptions!$B$12),"No Irrigation Needed","Monitor"))</f>
        <v>Monitor</v>
      </c>
      <c r="O767" s="6" t="n">
        <f aca="false">IF(N767=G767,1,0)</f>
        <v>1</v>
      </c>
    </row>
    <row r="768" customFormat="false" ht="15" hidden="false" customHeight="false" outlineLevel="0" collapsed="false">
      <c r="A768" s="16" t="n">
        <v>32.97030511</v>
      </c>
      <c r="B768" s="16" t="n">
        <v>73.44678678</v>
      </c>
      <c r="C768" s="16" t="n">
        <v>29.7845026452397</v>
      </c>
      <c r="D768" s="6" t="s">
        <v>67</v>
      </c>
      <c r="E768" s="6" t="s">
        <v>57</v>
      </c>
      <c r="F768" s="6" t="s">
        <v>23</v>
      </c>
      <c r="G768" s="6" t="s">
        <v>61</v>
      </c>
      <c r="H768" s="6" t="s">
        <v>63</v>
      </c>
      <c r="I768" s="6" t="str">
        <f aca="false">IF(A768&lt;Outliers!$E$6,"Low",IF(A768&gt;Outliers!$F$6,"High",""))</f>
        <v/>
      </c>
      <c r="J768" s="6" t="str">
        <f aca="false">IF(B768&lt;Outliers!$E$7,"Low",IF(B768&gt;Outliers!$F$7,"High",""))</f>
        <v/>
      </c>
      <c r="K768" s="6" t="str">
        <f aca="false">IF(C768&lt;Outliers!$E$8,"Low",IF(C768&gt;Outliers!$F$8,"High",""))</f>
        <v/>
      </c>
      <c r="L768" s="6" t="str">
        <f aca="false">A768&amp;";"&amp;B768&amp;";"&amp;C768</f>
        <v>32.97030511;73.44678678;29.7845026452397</v>
      </c>
      <c r="M768" s="6" t="n">
        <f aca="false">IF(COUNTIF($L$2:$L$2201,L768)&gt;1,1,0)</f>
        <v>0</v>
      </c>
      <c r="N768" s="6" t="str">
        <f aca="false">IF(AND(C768&lt;Assumptions!$B$9,B768&lt;Assumptions!$B$10),"Irrigate Now",IF(AND(C768&gt;=Assumptions!$B$11,B768&gt;=Assumptions!$B$12),"No Irrigation Needed","Monitor"))</f>
        <v>Monitor</v>
      </c>
      <c r="O768" s="6" t="n">
        <f aca="false">IF(N768=G768,1,0)</f>
        <v>1</v>
      </c>
    </row>
    <row r="769" customFormat="false" ht="15" hidden="false" customHeight="false" outlineLevel="0" collapsed="false">
      <c r="A769" s="16" t="n">
        <v>33.66855394</v>
      </c>
      <c r="B769" s="16" t="n">
        <v>67.32520551</v>
      </c>
      <c r="C769" s="16" t="n">
        <v>17.2996933499162</v>
      </c>
      <c r="D769" s="6" t="s">
        <v>67</v>
      </c>
      <c r="E769" s="6" t="s">
        <v>57</v>
      </c>
      <c r="F769" s="6" t="s">
        <v>24</v>
      </c>
      <c r="G769" s="6" t="s">
        <v>64</v>
      </c>
      <c r="H769" s="6" t="s">
        <v>65</v>
      </c>
      <c r="I769" s="6" t="str">
        <f aca="false">IF(A769&lt;Outliers!$E$6,"Low",IF(A769&gt;Outliers!$F$6,"High",""))</f>
        <v/>
      </c>
      <c r="J769" s="6" t="str">
        <f aca="false">IF(B769&lt;Outliers!$E$7,"Low",IF(B769&gt;Outliers!$F$7,"High",""))</f>
        <v/>
      </c>
      <c r="K769" s="6" t="str">
        <f aca="false">IF(C769&lt;Outliers!$E$8,"Low",IF(C769&gt;Outliers!$F$8,"High",""))</f>
        <v/>
      </c>
      <c r="L769" s="6" t="str">
        <f aca="false">A769&amp;";"&amp;B769&amp;";"&amp;C769</f>
        <v>33.66855394;67.32520551;17.2996933499162</v>
      </c>
      <c r="M769" s="6" t="n">
        <f aca="false">IF(COUNTIF($L$2:$L$2201,L769)&gt;1,1,0)</f>
        <v>0</v>
      </c>
      <c r="N769" s="6" t="str">
        <f aca="false">IF(AND(C769&lt;Assumptions!$B$9,B769&lt;Assumptions!$B$10),"Irrigate Now",IF(AND(C769&gt;=Assumptions!$B$11,B769&gt;=Assumptions!$B$12),"No Irrigation Needed","Monitor"))</f>
        <v>Irrigate Now</v>
      </c>
      <c r="O769" s="6" t="n">
        <f aca="false">IF(N769=G769,1,0)</f>
        <v>1</v>
      </c>
    </row>
    <row r="770" customFormat="false" ht="15" hidden="false" customHeight="false" outlineLevel="0" collapsed="false">
      <c r="A770" s="16" t="n">
        <v>32.83963757</v>
      </c>
      <c r="B770" s="16" t="n">
        <v>73.40452716</v>
      </c>
      <c r="C770" s="16" t="n">
        <v>25.1450105583495</v>
      </c>
      <c r="D770" s="6" t="s">
        <v>67</v>
      </c>
      <c r="E770" s="6" t="s">
        <v>57</v>
      </c>
      <c r="F770" s="6" t="s">
        <v>23</v>
      </c>
      <c r="G770" s="6" t="s">
        <v>61</v>
      </c>
      <c r="H770" s="6" t="s">
        <v>63</v>
      </c>
      <c r="I770" s="6" t="str">
        <f aca="false">IF(A770&lt;Outliers!$E$6,"Low",IF(A770&gt;Outliers!$F$6,"High",""))</f>
        <v/>
      </c>
      <c r="J770" s="6" t="str">
        <f aca="false">IF(B770&lt;Outliers!$E$7,"Low",IF(B770&gt;Outliers!$F$7,"High",""))</f>
        <v/>
      </c>
      <c r="K770" s="6" t="str">
        <f aca="false">IF(C770&lt;Outliers!$E$8,"Low",IF(C770&gt;Outliers!$F$8,"High",""))</f>
        <v/>
      </c>
      <c r="L770" s="6" t="str">
        <f aca="false">A770&amp;";"&amp;B770&amp;";"&amp;C770</f>
        <v>32.83963757;73.40452716;25.1450105583495</v>
      </c>
      <c r="M770" s="6" t="n">
        <f aca="false">IF(COUNTIF($L$2:$L$2201,L770)&gt;1,1,0)</f>
        <v>0</v>
      </c>
      <c r="N770" s="6" t="str">
        <f aca="false">IF(AND(C770&lt;Assumptions!$B$9,B770&lt;Assumptions!$B$10),"Irrigate Now",IF(AND(C770&gt;=Assumptions!$B$11,B770&gt;=Assumptions!$B$12),"No Irrigation Needed","Monitor"))</f>
        <v>Monitor</v>
      </c>
      <c r="O770" s="6" t="n">
        <f aca="false">IF(N770=G770,1,0)</f>
        <v>1</v>
      </c>
    </row>
    <row r="771" customFormat="false" ht="15" hidden="false" customHeight="false" outlineLevel="0" collapsed="false">
      <c r="A771" s="16" t="n">
        <v>27.45853567</v>
      </c>
      <c r="B771" s="16" t="n">
        <v>69.46020927</v>
      </c>
      <c r="C771" s="16" t="n">
        <v>11.114582318756</v>
      </c>
      <c r="D771" s="6" t="s">
        <v>57</v>
      </c>
      <c r="E771" s="6" t="s">
        <v>57</v>
      </c>
      <c r="F771" s="6" t="s">
        <v>24</v>
      </c>
      <c r="G771" s="6" t="s">
        <v>64</v>
      </c>
      <c r="H771" s="6" t="s">
        <v>65</v>
      </c>
      <c r="I771" s="6" t="str">
        <f aca="false">IF(A771&lt;Outliers!$E$6,"Low",IF(A771&gt;Outliers!$F$6,"High",""))</f>
        <v/>
      </c>
      <c r="J771" s="6" t="str">
        <f aca="false">IF(B771&lt;Outliers!$E$7,"Low",IF(B771&gt;Outliers!$F$7,"High",""))</f>
        <v/>
      </c>
      <c r="K771" s="6" t="str">
        <f aca="false">IF(C771&lt;Outliers!$E$8,"Low",IF(C771&gt;Outliers!$F$8,"High",""))</f>
        <v/>
      </c>
      <c r="L771" s="6" t="str">
        <f aca="false">A771&amp;";"&amp;B771&amp;";"&amp;C771</f>
        <v>27.45853567;69.46020927;11.114582318756</v>
      </c>
      <c r="M771" s="6" t="n">
        <f aca="false">IF(COUNTIF($L$2:$L$2201,L771)&gt;1,1,0)</f>
        <v>0</v>
      </c>
      <c r="N771" s="6" t="str">
        <f aca="false">IF(AND(C771&lt;Assumptions!$B$9,B771&lt;Assumptions!$B$10),"Irrigate Now",IF(AND(C771&gt;=Assumptions!$B$11,B771&gt;=Assumptions!$B$12),"No Irrigation Needed","Monitor"))</f>
        <v>Irrigate Now</v>
      </c>
      <c r="O771" s="6" t="n">
        <f aca="false">IF(N771=G771,1,0)</f>
        <v>1</v>
      </c>
    </row>
    <row r="772" customFormat="false" ht="15" hidden="false" customHeight="false" outlineLevel="0" collapsed="false">
      <c r="A772" s="16" t="n">
        <v>25.68576704</v>
      </c>
      <c r="B772" s="16" t="n">
        <v>74.62068748</v>
      </c>
      <c r="C772" s="16" t="n">
        <v>20.9510751173012</v>
      </c>
      <c r="D772" s="6" t="s">
        <v>57</v>
      </c>
      <c r="E772" s="6" t="s">
        <v>57</v>
      </c>
      <c r="F772" s="6" t="s">
        <v>60</v>
      </c>
      <c r="G772" s="6" t="s">
        <v>61</v>
      </c>
      <c r="H772" s="6" t="s">
        <v>63</v>
      </c>
      <c r="I772" s="6" t="str">
        <f aca="false">IF(A772&lt;Outliers!$E$6,"Low",IF(A772&gt;Outliers!$F$6,"High",""))</f>
        <v/>
      </c>
      <c r="J772" s="6" t="str">
        <f aca="false">IF(B772&lt;Outliers!$E$7,"Low",IF(B772&gt;Outliers!$F$7,"High",""))</f>
        <v/>
      </c>
      <c r="K772" s="6" t="str">
        <f aca="false">IF(C772&lt;Outliers!$E$8,"Low",IF(C772&gt;Outliers!$F$8,"High",""))</f>
        <v/>
      </c>
      <c r="L772" s="6" t="str">
        <f aca="false">A772&amp;";"&amp;B772&amp;";"&amp;C772</f>
        <v>25.68576704;74.62068748;20.9510751173012</v>
      </c>
      <c r="M772" s="6" t="n">
        <f aca="false">IF(COUNTIF($L$2:$L$2201,L772)&gt;1,1,0)</f>
        <v>0</v>
      </c>
      <c r="N772" s="6" t="str">
        <f aca="false">IF(AND(C772&lt;Assumptions!$B$9,B772&lt;Assumptions!$B$10),"Irrigate Now",IF(AND(C772&gt;=Assumptions!$B$11,B772&gt;=Assumptions!$B$12),"No Irrigation Needed","Monitor"))</f>
        <v>Monitor</v>
      </c>
      <c r="O772" s="6" t="n">
        <f aca="false">IF(N772=G772,1,0)</f>
        <v>1</v>
      </c>
    </row>
    <row r="773" customFormat="false" ht="15" hidden="false" customHeight="false" outlineLevel="0" collapsed="false">
      <c r="A773" s="16" t="n">
        <v>30.0328403</v>
      </c>
      <c r="B773" s="16" t="n">
        <v>71.21006868</v>
      </c>
      <c r="C773" s="16" t="n">
        <v>22.0793812239223</v>
      </c>
      <c r="D773" s="6" t="s">
        <v>67</v>
      </c>
      <c r="E773" s="6" t="s">
        <v>57</v>
      </c>
      <c r="F773" s="6" t="s">
        <v>60</v>
      </c>
      <c r="G773" s="6" t="s">
        <v>61</v>
      </c>
      <c r="H773" s="6" t="s">
        <v>63</v>
      </c>
      <c r="I773" s="6" t="str">
        <f aca="false">IF(A773&lt;Outliers!$E$6,"Low",IF(A773&gt;Outliers!$F$6,"High",""))</f>
        <v/>
      </c>
      <c r="J773" s="6" t="str">
        <f aca="false">IF(B773&lt;Outliers!$E$7,"Low",IF(B773&gt;Outliers!$F$7,"High",""))</f>
        <v/>
      </c>
      <c r="K773" s="6" t="str">
        <f aca="false">IF(C773&lt;Outliers!$E$8,"Low",IF(C773&gt;Outliers!$F$8,"High",""))</f>
        <v/>
      </c>
      <c r="L773" s="6" t="str">
        <f aca="false">A773&amp;";"&amp;B773&amp;";"&amp;C773</f>
        <v>30.0328403;71.21006868;22.0793812239223</v>
      </c>
      <c r="M773" s="6" t="n">
        <f aca="false">IF(COUNTIF($L$2:$L$2201,L773)&gt;1,1,0)</f>
        <v>0</v>
      </c>
      <c r="N773" s="6" t="str">
        <f aca="false">IF(AND(C773&lt;Assumptions!$B$9,B773&lt;Assumptions!$B$10),"Irrigate Now",IF(AND(C773&gt;=Assumptions!$B$11,B773&gt;=Assumptions!$B$12),"No Irrigation Needed","Monitor"))</f>
        <v>Monitor</v>
      </c>
      <c r="O773" s="6" t="n">
        <f aca="false">IF(N773=G773,1,0)</f>
        <v>1</v>
      </c>
    </row>
    <row r="774" customFormat="false" ht="15" hidden="false" customHeight="false" outlineLevel="0" collapsed="false">
      <c r="A774" s="16" t="n">
        <v>28.20667264</v>
      </c>
      <c r="B774" s="16" t="n">
        <v>64.32887142</v>
      </c>
      <c r="C774" s="16" t="n">
        <v>21.49072897463</v>
      </c>
      <c r="D774" s="6" t="s">
        <v>57</v>
      </c>
      <c r="E774" s="6" t="s">
        <v>57</v>
      </c>
      <c r="F774" s="6" t="s">
        <v>60</v>
      </c>
      <c r="G774" s="6" t="s">
        <v>61</v>
      </c>
      <c r="H774" s="6" t="s">
        <v>63</v>
      </c>
      <c r="I774" s="6" t="str">
        <f aca="false">IF(A774&lt;Outliers!$E$6,"Low",IF(A774&gt;Outliers!$F$6,"High",""))</f>
        <v/>
      </c>
      <c r="J774" s="6" t="str">
        <f aca="false">IF(B774&lt;Outliers!$E$7,"Low",IF(B774&gt;Outliers!$F$7,"High",""))</f>
        <v/>
      </c>
      <c r="K774" s="6" t="str">
        <f aca="false">IF(C774&lt;Outliers!$E$8,"Low",IF(C774&gt;Outliers!$F$8,"High",""))</f>
        <v/>
      </c>
      <c r="L774" s="6" t="str">
        <f aca="false">A774&amp;";"&amp;B774&amp;";"&amp;C774</f>
        <v>28.20667264;64.32887142;21.49072897463</v>
      </c>
      <c r="M774" s="6" t="n">
        <f aca="false">IF(COUNTIF($L$2:$L$2201,L774)&gt;1,1,0)</f>
        <v>0</v>
      </c>
      <c r="N774" s="6" t="str">
        <f aca="false">IF(AND(C774&lt;Assumptions!$B$9,B774&lt;Assumptions!$B$10),"Irrigate Now",IF(AND(C774&gt;=Assumptions!$B$11,B774&gt;=Assumptions!$B$12),"No Irrigation Needed","Monitor"))</f>
        <v>Monitor</v>
      </c>
      <c r="O774" s="6" t="n">
        <f aca="false">IF(N774=G774,1,0)</f>
        <v>1</v>
      </c>
    </row>
    <row r="775" customFormat="false" ht="15" hidden="false" customHeight="false" outlineLevel="0" collapsed="false">
      <c r="A775" s="16" t="n">
        <v>28.27265858</v>
      </c>
      <c r="B775" s="16" t="n">
        <v>63.29900785</v>
      </c>
      <c r="C775" s="16" t="n">
        <v>23.6921280940055</v>
      </c>
      <c r="D775" s="6" t="s">
        <v>57</v>
      </c>
      <c r="E775" s="6" t="s">
        <v>57</v>
      </c>
      <c r="F775" s="6" t="s">
        <v>60</v>
      </c>
      <c r="G775" s="6" t="s">
        <v>61</v>
      </c>
      <c r="H775" s="6" t="s">
        <v>63</v>
      </c>
      <c r="I775" s="6" t="str">
        <f aca="false">IF(A775&lt;Outliers!$E$6,"Low",IF(A775&gt;Outliers!$F$6,"High",""))</f>
        <v/>
      </c>
      <c r="J775" s="6" t="str">
        <f aca="false">IF(B775&lt;Outliers!$E$7,"Low",IF(B775&gt;Outliers!$F$7,"High",""))</f>
        <v/>
      </c>
      <c r="K775" s="6" t="str">
        <f aca="false">IF(C775&lt;Outliers!$E$8,"Low",IF(C775&gt;Outliers!$F$8,"High",""))</f>
        <v/>
      </c>
      <c r="L775" s="6" t="str">
        <f aca="false">A775&amp;";"&amp;B775&amp;";"&amp;C775</f>
        <v>28.27265858;63.29900785;23.6921280940055</v>
      </c>
      <c r="M775" s="6" t="n">
        <f aca="false">IF(COUNTIF($L$2:$L$2201,L775)&gt;1,1,0)</f>
        <v>0</v>
      </c>
      <c r="N775" s="6" t="str">
        <f aca="false">IF(AND(C775&lt;Assumptions!$B$9,B775&lt;Assumptions!$B$10),"Irrigate Now",IF(AND(C775&gt;=Assumptions!$B$11,B775&gt;=Assumptions!$B$12),"No Irrigation Needed","Monitor"))</f>
        <v>Monitor</v>
      </c>
      <c r="O775" s="6" t="n">
        <f aca="false">IF(N775=G775,1,0)</f>
        <v>1</v>
      </c>
    </row>
    <row r="776" customFormat="false" ht="15" hidden="false" customHeight="false" outlineLevel="0" collapsed="false">
      <c r="A776" s="16" t="n">
        <v>28.5417236</v>
      </c>
      <c r="B776" s="16" t="n">
        <v>69.68862306</v>
      </c>
      <c r="C776" s="16" t="n">
        <v>15.5097992247382</v>
      </c>
      <c r="D776" s="6" t="s">
        <v>57</v>
      </c>
      <c r="E776" s="6" t="s">
        <v>57</v>
      </c>
      <c r="F776" s="6" t="s">
        <v>24</v>
      </c>
      <c r="G776" s="6" t="s">
        <v>64</v>
      </c>
      <c r="H776" s="6" t="s">
        <v>65</v>
      </c>
      <c r="I776" s="6" t="str">
        <f aca="false">IF(A776&lt;Outliers!$E$6,"Low",IF(A776&gt;Outliers!$F$6,"High",""))</f>
        <v/>
      </c>
      <c r="J776" s="6" t="str">
        <f aca="false">IF(B776&lt;Outliers!$E$7,"Low",IF(B776&gt;Outliers!$F$7,"High",""))</f>
        <v/>
      </c>
      <c r="K776" s="6" t="str">
        <f aca="false">IF(C776&lt;Outliers!$E$8,"Low",IF(C776&gt;Outliers!$F$8,"High",""))</f>
        <v/>
      </c>
      <c r="L776" s="6" t="str">
        <f aca="false">A776&amp;";"&amp;B776&amp;";"&amp;C776</f>
        <v>28.5417236;69.68862306;15.5097992247382</v>
      </c>
      <c r="M776" s="6" t="n">
        <f aca="false">IF(COUNTIF($L$2:$L$2201,L776)&gt;1,1,0)</f>
        <v>0</v>
      </c>
      <c r="N776" s="6" t="str">
        <f aca="false">IF(AND(C776&lt;Assumptions!$B$9,B776&lt;Assumptions!$B$10),"Irrigate Now",IF(AND(C776&gt;=Assumptions!$B$11,B776&gt;=Assumptions!$B$12),"No Irrigation Needed","Monitor"))</f>
        <v>Irrigate Now</v>
      </c>
      <c r="O776" s="6" t="n">
        <f aca="false">IF(N776=G776,1,0)</f>
        <v>1</v>
      </c>
    </row>
    <row r="777" customFormat="false" ht="15" hidden="false" customHeight="false" outlineLevel="0" collapsed="false">
      <c r="A777" s="16" t="n">
        <v>26.87187036</v>
      </c>
      <c r="B777" s="16" t="n">
        <v>63.51822045</v>
      </c>
      <c r="C777" s="16" t="n">
        <v>16.6941209685063</v>
      </c>
      <c r="D777" s="6" t="s">
        <v>57</v>
      </c>
      <c r="E777" s="6" t="s">
        <v>57</v>
      </c>
      <c r="F777" s="6" t="s">
        <v>24</v>
      </c>
      <c r="G777" s="6" t="s">
        <v>64</v>
      </c>
      <c r="H777" s="6" t="s">
        <v>65</v>
      </c>
      <c r="I777" s="6" t="str">
        <f aca="false">IF(A777&lt;Outliers!$E$6,"Low",IF(A777&gt;Outliers!$F$6,"High",""))</f>
        <v/>
      </c>
      <c r="J777" s="6" t="str">
        <f aca="false">IF(B777&lt;Outliers!$E$7,"Low",IF(B777&gt;Outliers!$F$7,"High",""))</f>
        <v/>
      </c>
      <c r="K777" s="6" t="str">
        <f aca="false">IF(C777&lt;Outliers!$E$8,"Low",IF(C777&gt;Outliers!$F$8,"High",""))</f>
        <v/>
      </c>
      <c r="L777" s="6" t="str">
        <f aca="false">A777&amp;";"&amp;B777&amp;";"&amp;C777</f>
        <v>26.87187036;63.51822045;16.6941209685063</v>
      </c>
      <c r="M777" s="6" t="n">
        <f aca="false">IF(COUNTIF($L$2:$L$2201,L777)&gt;1,1,0)</f>
        <v>0</v>
      </c>
      <c r="N777" s="6" t="str">
        <f aca="false">IF(AND(C777&lt;Assumptions!$B$9,B777&lt;Assumptions!$B$10),"Irrigate Now",IF(AND(C777&gt;=Assumptions!$B$11,B777&gt;=Assumptions!$B$12),"No Irrigation Needed","Monitor"))</f>
        <v>Irrigate Now</v>
      </c>
      <c r="O777" s="6" t="n">
        <f aca="false">IF(N777=G777,1,0)</f>
        <v>1</v>
      </c>
    </row>
    <row r="778" customFormat="false" ht="15" hidden="false" customHeight="false" outlineLevel="0" collapsed="false">
      <c r="A778" s="16" t="n">
        <v>32.79766751</v>
      </c>
      <c r="B778" s="16" t="n">
        <v>64.11411069</v>
      </c>
      <c r="C778" s="16" t="n">
        <v>23.3475223884797</v>
      </c>
      <c r="D778" s="6" t="s">
        <v>67</v>
      </c>
      <c r="E778" s="6" t="s">
        <v>57</v>
      </c>
      <c r="F778" s="6" t="s">
        <v>60</v>
      </c>
      <c r="G778" s="6" t="s">
        <v>61</v>
      </c>
      <c r="H778" s="6" t="s">
        <v>63</v>
      </c>
      <c r="I778" s="6" t="str">
        <f aca="false">IF(A778&lt;Outliers!$E$6,"Low",IF(A778&gt;Outliers!$F$6,"High",""))</f>
        <v/>
      </c>
      <c r="J778" s="6" t="str">
        <f aca="false">IF(B778&lt;Outliers!$E$7,"Low",IF(B778&gt;Outliers!$F$7,"High",""))</f>
        <v/>
      </c>
      <c r="K778" s="6" t="str">
        <f aca="false">IF(C778&lt;Outliers!$E$8,"Low",IF(C778&gt;Outliers!$F$8,"High",""))</f>
        <v/>
      </c>
      <c r="L778" s="6" t="str">
        <f aca="false">A778&amp;";"&amp;B778&amp;";"&amp;C778</f>
        <v>32.79766751;64.11411069;23.3475223884797</v>
      </c>
      <c r="M778" s="6" t="n">
        <f aca="false">IF(COUNTIF($L$2:$L$2201,L778)&gt;1,1,0)</f>
        <v>0</v>
      </c>
      <c r="N778" s="6" t="str">
        <f aca="false">IF(AND(C778&lt;Assumptions!$B$9,B778&lt;Assumptions!$B$10),"Irrigate Now",IF(AND(C778&gt;=Assumptions!$B$11,B778&gt;=Assumptions!$B$12),"No Irrigation Needed","Monitor"))</f>
        <v>Monitor</v>
      </c>
      <c r="O778" s="6" t="n">
        <f aca="false">IF(N778=G778,1,0)</f>
        <v>1</v>
      </c>
    </row>
    <row r="779" customFormat="false" ht="15" hidden="false" customHeight="false" outlineLevel="0" collapsed="false">
      <c r="A779" s="16" t="n">
        <v>26.42333018</v>
      </c>
      <c r="B779" s="16" t="n">
        <v>63.46546487</v>
      </c>
      <c r="C779" s="16" t="n">
        <v>26.6896888381128</v>
      </c>
      <c r="D779" s="6" t="s">
        <v>57</v>
      </c>
      <c r="E779" s="6" t="s">
        <v>57</v>
      </c>
      <c r="F779" s="6" t="s">
        <v>23</v>
      </c>
      <c r="G779" s="6" t="s">
        <v>61</v>
      </c>
      <c r="H779" s="6" t="s">
        <v>63</v>
      </c>
      <c r="I779" s="6" t="str">
        <f aca="false">IF(A779&lt;Outliers!$E$6,"Low",IF(A779&gt;Outliers!$F$6,"High",""))</f>
        <v/>
      </c>
      <c r="J779" s="6" t="str">
        <f aca="false">IF(B779&lt;Outliers!$E$7,"Low",IF(B779&gt;Outliers!$F$7,"High",""))</f>
        <v/>
      </c>
      <c r="K779" s="6" t="str">
        <f aca="false">IF(C779&lt;Outliers!$E$8,"Low",IF(C779&gt;Outliers!$F$8,"High",""))</f>
        <v/>
      </c>
      <c r="L779" s="6" t="str">
        <f aca="false">A779&amp;";"&amp;B779&amp;";"&amp;C779</f>
        <v>26.42333018;63.46546487;26.6896888381128</v>
      </c>
      <c r="M779" s="6" t="n">
        <f aca="false">IF(COUNTIF($L$2:$L$2201,L779)&gt;1,1,0)</f>
        <v>0</v>
      </c>
      <c r="N779" s="6" t="str">
        <f aca="false">IF(AND(C779&lt;Assumptions!$B$9,B779&lt;Assumptions!$B$10),"Irrigate Now",IF(AND(C779&gt;=Assumptions!$B$11,B779&gt;=Assumptions!$B$12),"No Irrigation Needed","Monitor"))</f>
        <v>Monitor</v>
      </c>
      <c r="O779" s="6" t="n">
        <f aca="false">IF(N779=G779,1,0)</f>
        <v>1</v>
      </c>
    </row>
    <row r="780" customFormat="false" ht="15" hidden="false" customHeight="false" outlineLevel="0" collapsed="false">
      <c r="A780" s="16" t="n">
        <v>29.79181107</v>
      </c>
      <c r="B780" s="16" t="n">
        <v>63.02169909</v>
      </c>
      <c r="C780" s="16" t="n">
        <v>18.9956016855428</v>
      </c>
      <c r="D780" s="6" t="s">
        <v>57</v>
      </c>
      <c r="E780" s="6" t="s">
        <v>57</v>
      </c>
      <c r="F780" s="6" t="s">
        <v>60</v>
      </c>
      <c r="G780" s="6" t="s">
        <v>61</v>
      </c>
      <c r="H780" s="6" t="s">
        <v>63</v>
      </c>
      <c r="I780" s="6" t="str">
        <f aca="false">IF(A780&lt;Outliers!$E$6,"Low",IF(A780&gt;Outliers!$F$6,"High",""))</f>
        <v/>
      </c>
      <c r="J780" s="6" t="str">
        <f aca="false">IF(B780&lt;Outliers!$E$7,"Low",IF(B780&gt;Outliers!$F$7,"High",""))</f>
        <v/>
      </c>
      <c r="K780" s="6" t="str">
        <f aca="false">IF(C780&lt;Outliers!$E$8,"Low",IF(C780&gt;Outliers!$F$8,"High",""))</f>
        <v/>
      </c>
      <c r="L780" s="6" t="str">
        <f aca="false">A780&amp;";"&amp;B780&amp;";"&amp;C780</f>
        <v>29.79181107;63.02169909;18.9956016855428</v>
      </c>
      <c r="M780" s="6" t="n">
        <f aca="false">IF(COUNTIF($L$2:$L$2201,L780)&gt;1,1,0)</f>
        <v>0</v>
      </c>
      <c r="N780" s="6" t="str">
        <f aca="false">IF(AND(C780&lt;Assumptions!$B$9,B780&lt;Assumptions!$B$10),"Irrigate Now",IF(AND(C780&gt;=Assumptions!$B$11,B780&gt;=Assumptions!$B$12),"No Irrigation Needed","Monitor"))</f>
        <v>Monitor</v>
      </c>
      <c r="O780" s="6" t="n">
        <f aca="false">IF(N780=G780,1,0)</f>
        <v>1</v>
      </c>
    </row>
    <row r="781" customFormat="false" ht="15" hidden="false" customHeight="false" outlineLevel="0" collapsed="false">
      <c r="A781" s="16" t="n">
        <v>27.44003279</v>
      </c>
      <c r="B781" s="16" t="n">
        <v>72.50669768</v>
      </c>
      <c r="C781" s="16" t="n">
        <v>25.808793266961</v>
      </c>
      <c r="D781" s="6" t="s">
        <v>57</v>
      </c>
      <c r="E781" s="6" t="s">
        <v>57</v>
      </c>
      <c r="F781" s="6" t="s">
        <v>23</v>
      </c>
      <c r="G781" s="6" t="s">
        <v>61</v>
      </c>
      <c r="H781" s="6" t="s">
        <v>63</v>
      </c>
      <c r="I781" s="6" t="str">
        <f aca="false">IF(A781&lt;Outliers!$E$6,"Low",IF(A781&gt;Outliers!$F$6,"High",""))</f>
        <v/>
      </c>
      <c r="J781" s="6" t="str">
        <f aca="false">IF(B781&lt;Outliers!$E$7,"Low",IF(B781&gt;Outliers!$F$7,"High",""))</f>
        <v/>
      </c>
      <c r="K781" s="6" t="str">
        <f aca="false">IF(C781&lt;Outliers!$E$8,"Low",IF(C781&gt;Outliers!$F$8,"High",""))</f>
        <v/>
      </c>
      <c r="L781" s="6" t="str">
        <f aca="false">A781&amp;";"&amp;B781&amp;";"&amp;C781</f>
        <v>27.44003279;72.50669768;25.808793266961</v>
      </c>
      <c r="M781" s="6" t="n">
        <f aca="false">IF(COUNTIF($L$2:$L$2201,L781)&gt;1,1,0)</f>
        <v>0</v>
      </c>
      <c r="N781" s="6" t="str">
        <f aca="false">IF(AND(C781&lt;Assumptions!$B$9,B781&lt;Assumptions!$B$10),"Irrigate Now",IF(AND(C781&gt;=Assumptions!$B$11,B781&gt;=Assumptions!$B$12),"No Irrigation Needed","Monitor"))</f>
        <v>Monitor</v>
      </c>
      <c r="O781" s="6" t="n">
        <f aca="false">IF(N781=G781,1,0)</f>
        <v>1</v>
      </c>
    </row>
    <row r="782" customFormat="false" ht="15" hidden="false" customHeight="false" outlineLevel="0" collapsed="false">
      <c r="A782" s="16" t="n">
        <v>34.1262979</v>
      </c>
      <c r="B782" s="16" t="n">
        <v>70.40795007</v>
      </c>
      <c r="C782" s="16" t="n">
        <v>20.175735260407</v>
      </c>
      <c r="D782" s="6" t="s">
        <v>67</v>
      </c>
      <c r="E782" s="6" t="s">
        <v>57</v>
      </c>
      <c r="F782" s="6" t="s">
        <v>60</v>
      </c>
      <c r="G782" s="6" t="s">
        <v>61</v>
      </c>
      <c r="H782" s="6" t="s">
        <v>68</v>
      </c>
      <c r="I782" s="6" t="str">
        <f aca="false">IF(A782&lt;Outliers!$E$6,"Low",IF(A782&gt;Outliers!$F$6,"High",""))</f>
        <v/>
      </c>
      <c r="J782" s="6" t="str">
        <f aca="false">IF(B782&lt;Outliers!$E$7,"Low",IF(B782&gt;Outliers!$F$7,"High",""))</f>
        <v/>
      </c>
      <c r="K782" s="6" t="str">
        <f aca="false">IF(C782&lt;Outliers!$E$8,"Low",IF(C782&gt;Outliers!$F$8,"High",""))</f>
        <v/>
      </c>
      <c r="L782" s="6" t="str">
        <f aca="false">A782&amp;";"&amp;B782&amp;";"&amp;C782</f>
        <v>34.1262979;70.40795007;20.175735260407</v>
      </c>
      <c r="M782" s="6" t="n">
        <f aca="false">IF(COUNTIF($L$2:$L$2201,L782)&gt;1,1,0)</f>
        <v>0</v>
      </c>
      <c r="N782" s="6" t="str">
        <f aca="false">IF(AND(C782&lt;Assumptions!$B$9,B782&lt;Assumptions!$B$10),"Irrigate Now",IF(AND(C782&gt;=Assumptions!$B$11,B782&gt;=Assumptions!$B$12),"No Irrigation Needed","Monitor"))</f>
        <v>Monitor</v>
      </c>
      <c r="O782" s="6" t="n">
        <f aca="false">IF(N782=G782,1,0)</f>
        <v>1</v>
      </c>
    </row>
    <row r="783" customFormat="false" ht="15" hidden="false" customHeight="false" outlineLevel="0" collapsed="false">
      <c r="A783" s="16" t="n">
        <v>30.94908189</v>
      </c>
      <c r="B783" s="16" t="n">
        <v>62.78730907</v>
      </c>
      <c r="C783" s="16" t="n">
        <v>18.0030244126478</v>
      </c>
      <c r="D783" s="6" t="s">
        <v>67</v>
      </c>
      <c r="E783" s="6" t="s">
        <v>57</v>
      </c>
      <c r="F783" s="6" t="s">
        <v>24</v>
      </c>
      <c r="G783" s="6" t="s">
        <v>61</v>
      </c>
      <c r="H783" s="6" t="s">
        <v>68</v>
      </c>
      <c r="I783" s="6" t="str">
        <f aca="false">IF(A783&lt;Outliers!$E$6,"Low",IF(A783&gt;Outliers!$F$6,"High",""))</f>
        <v/>
      </c>
      <c r="J783" s="6" t="str">
        <f aca="false">IF(B783&lt;Outliers!$E$7,"Low",IF(B783&gt;Outliers!$F$7,"High",""))</f>
        <v/>
      </c>
      <c r="K783" s="6" t="str">
        <f aca="false">IF(C783&lt;Outliers!$E$8,"Low",IF(C783&gt;Outliers!$F$8,"High",""))</f>
        <v/>
      </c>
      <c r="L783" s="6" t="str">
        <f aca="false">A783&amp;";"&amp;B783&amp;";"&amp;C783</f>
        <v>30.94908189;62.78730907;18.0030244126478</v>
      </c>
      <c r="M783" s="6" t="n">
        <f aca="false">IF(COUNTIF($L$2:$L$2201,L783)&gt;1,1,0)</f>
        <v>0</v>
      </c>
      <c r="N783" s="6" t="str">
        <f aca="false">IF(AND(C783&lt;Assumptions!$B$9,B783&lt;Assumptions!$B$10),"Irrigate Now",IF(AND(C783&gt;=Assumptions!$B$11,B783&gt;=Assumptions!$B$12),"No Irrigation Needed","Monitor"))</f>
        <v>Monitor</v>
      </c>
      <c r="O783" s="6" t="n">
        <f aca="false">IF(N783=G783,1,0)</f>
        <v>1</v>
      </c>
    </row>
    <row r="784" customFormat="false" ht="15" hidden="false" customHeight="false" outlineLevel="0" collapsed="false">
      <c r="A784" s="16" t="n">
        <v>28.75751783</v>
      </c>
      <c r="B784" s="16" t="n">
        <v>73.37686831</v>
      </c>
      <c r="C784" s="16" t="n">
        <v>26.5613599366758</v>
      </c>
      <c r="D784" s="6" t="s">
        <v>57</v>
      </c>
      <c r="E784" s="6" t="s">
        <v>57</v>
      </c>
      <c r="F784" s="6" t="s">
        <v>23</v>
      </c>
      <c r="G784" s="6" t="s">
        <v>61</v>
      </c>
      <c r="H784" s="6" t="s">
        <v>63</v>
      </c>
      <c r="I784" s="6" t="str">
        <f aca="false">IF(A784&lt;Outliers!$E$6,"Low",IF(A784&gt;Outliers!$F$6,"High",""))</f>
        <v/>
      </c>
      <c r="J784" s="6" t="str">
        <f aca="false">IF(B784&lt;Outliers!$E$7,"Low",IF(B784&gt;Outliers!$F$7,"High",""))</f>
        <v/>
      </c>
      <c r="K784" s="6" t="str">
        <f aca="false">IF(C784&lt;Outliers!$E$8,"Low",IF(C784&gt;Outliers!$F$8,"High",""))</f>
        <v/>
      </c>
      <c r="L784" s="6" t="str">
        <f aca="false">A784&amp;";"&amp;B784&amp;";"&amp;C784</f>
        <v>28.75751783;73.37686831;26.5613599366758</v>
      </c>
      <c r="M784" s="6" t="n">
        <f aca="false">IF(COUNTIF($L$2:$L$2201,L784)&gt;1,1,0)</f>
        <v>0</v>
      </c>
      <c r="N784" s="6" t="str">
        <f aca="false">IF(AND(C784&lt;Assumptions!$B$9,B784&lt;Assumptions!$B$10),"Irrigate Now",IF(AND(C784&gt;=Assumptions!$B$11,B784&gt;=Assumptions!$B$12),"No Irrigation Needed","Monitor"))</f>
        <v>Monitor</v>
      </c>
      <c r="O784" s="6" t="n">
        <f aca="false">IF(N784=G784,1,0)</f>
        <v>1</v>
      </c>
    </row>
    <row r="785" customFormat="false" ht="15" hidden="false" customHeight="false" outlineLevel="0" collapsed="false">
      <c r="A785" s="16" t="n">
        <v>27.24766491</v>
      </c>
      <c r="B785" s="16" t="n">
        <v>62.31842057</v>
      </c>
      <c r="C785" s="16" t="n">
        <v>13.2830227992348</v>
      </c>
      <c r="D785" s="6" t="s">
        <v>57</v>
      </c>
      <c r="E785" s="6" t="s">
        <v>57</v>
      </c>
      <c r="F785" s="6" t="s">
        <v>24</v>
      </c>
      <c r="G785" s="6" t="s">
        <v>64</v>
      </c>
      <c r="H785" s="6" t="s">
        <v>65</v>
      </c>
      <c r="I785" s="6" t="str">
        <f aca="false">IF(A785&lt;Outliers!$E$6,"Low",IF(A785&gt;Outliers!$F$6,"High",""))</f>
        <v/>
      </c>
      <c r="J785" s="6" t="str">
        <f aca="false">IF(B785&lt;Outliers!$E$7,"Low",IF(B785&gt;Outliers!$F$7,"High",""))</f>
        <v/>
      </c>
      <c r="K785" s="6" t="str">
        <f aca="false">IF(C785&lt;Outliers!$E$8,"Low",IF(C785&gt;Outliers!$F$8,"High",""))</f>
        <v/>
      </c>
      <c r="L785" s="6" t="str">
        <f aca="false">A785&amp;";"&amp;B785&amp;";"&amp;C785</f>
        <v>27.24766491;62.31842057;13.2830227992348</v>
      </c>
      <c r="M785" s="6" t="n">
        <f aca="false">IF(COUNTIF($L$2:$L$2201,L785)&gt;1,1,0)</f>
        <v>0</v>
      </c>
      <c r="N785" s="6" t="str">
        <f aca="false">IF(AND(C785&lt;Assumptions!$B$9,B785&lt;Assumptions!$B$10),"Irrigate Now",IF(AND(C785&gt;=Assumptions!$B$11,B785&gt;=Assumptions!$B$12),"No Irrigation Needed","Monitor"))</f>
        <v>Irrigate Now</v>
      </c>
      <c r="O785" s="6" t="n">
        <f aca="false">IF(N785=G785,1,0)</f>
        <v>1</v>
      </c>
    </row>
    <row r="786" customFormat="false" ht="15" hidden="false" customHeight="false" outlineLevel="0" collapsed="false">
      <c r="A786" s="16" t="n">
        <v>28.63005477</v>
      </c>
      <c r="B786" s="16" t="n">
        <v>62.2737345</v>
      </c>
      <c r="C786" s="16" t="n">
        <v>22.5813434042446</v>
      </c>
      <c r="D786" s="6" t="s">
        <v>57</v>
      </c>
      <c r="E786" s="6" t="s">
        <v>57</v>
      </c>
      <c r="F786" s="6" t="s">
        <v>60</v>
      </c>
      <c r="G786" s="6" t="s">
        <v>61</v>
      </c>
      <c r="H786" s="6" t="s">
        <v>63</v>
      </c>
      <c r="I786" s="6" t="str">
        <f aca="false">IF(A786&lt;Outliers!$E$6,"Low",IF(A786&gt;Outliers!$F$6,"High",""))</f>
        <v/>
      </c>
      <c r="J786" s="6" t="str">
        <f aca="false">IF(B786&lt;Outliers!$E$7,"Low",IF(B786&gt;Outliers!$F$7,"High",""))</f>
        <v/>
      </c>
      <c r="K786" s="6" t="str">
        <f aca="false">IF(C786&lt;Outliers!$E$8,"Low",IF(C786&gt;Outliers!$F$8,"High",""))</f>
        <v/>
      </c>
      <c r="L786" s="6" t="str">
        <f aca="false">A786&amp;";"&amp;B786&amp;";"&amp;C786</f>
        <v>28.63005477;62.2737345;22.5813434042446</v>
      </c>
      <c r="M786" s="6" t="n">
        <f aca="false">IF(COUNTIF($L$2:$L$2201,L786)&gt;1,1,0)</f>
        <v>0</v>
      </c>
      <c r="N786" s="6" t="str">
        <f aca="false">IF(AND(C786&lt;Assumptions!$B$9,B786&lt;Assumptions!$B$10),"Irrigate Now",IF(AND(C786&gt;=Assumptions!$B$11,B786&gt;=Assumptions!$B$12),"No Irrigation Needed","Monitor"))</f>
        <v>Monitor</v>
      </c>
      <c r="O786" s="6" t="n">
        <f aca="false">IF(N786=G786,1,0)</f>
        <v>1</v>
      </c>
    </row>
    <row r="787" customFormat="false" ht="15" hidden="false" customHeight="false" outlineLevel="0" collapsed="false">
      <c r="A787" s="16" t="n">
        <v>26.41768321</v>
      </c>
      <c r="B787" s="16" t="n">
        <v>64.42177127</v>
      </c>
      <c r="C787" s="16" t="n">
        <v>21.539877893096</v>
      </c>
      <c r="D787" s="6" t="s">
        <v>57</v>
      </c>
      <c r="E787" s="6" t="s">
        <v>57</v>
      </c>
      <c r="F787" s="6" t="s">
        <v>60</v>
      </c>
      <c r="G787" s="6" t="s">
        <v>61</v>
      </c>
      <c r="H787" s="6" t="s">
        <v>63</v>
      </c>
      <c r="I787" s="6" t="str">
        <f aca="false">IF(A787&lt;Outliers!$E$6,"Low",IF(A787&gt;Outliers!$F$6,"High",""))</f>
        <v/>
      </c>
      <c r="J787" s="6" t="str">
        <f aca="false">IF(B787&lt;Outliers!$E$7,"Low",IF(B787&gt;Outliers!$F$7,"High",""))</f>
        <v/>
      </c>
      <c r="K787" s="6" t="str">
        <f aca="false">IF(C787&lt;Outliers!$E$8,"Low",IF(C787&gt;Outliers!$F$8,"High",""))</f>
        <v/>
      </c>
      <c r="L787" s="6" t="str">
        <f aca="false">A787&amp;";"&amp;B787&amp;";"&amp;C787</f>
        <v>26.41768321;64.42177127;21.539877893096</v>
      </c>
      <c r="M787" s="6" t="n">
        <f aca="false">IF(COUNTIF($L$2:$L$2201,L787)&gt;1,1,0)</f>
        <v>0</v>
      </c>
      <c r="N787" s="6" t="str">
        <f aca="false">IF(AND(C787&lt;Assumptions!$B$9,B787&lt;Assumptions!$B$10),"Irrigate Now",IF(AND(C787&gt;=Assumptions!$B$11,B787&gt;=Assumptions!$B$12),"No Irrigation Needed","Monitor"))</f>
        <v>Monitor</v>
      </c>
      <c r="O787" s="6" t="n">
        <f aca="false">IF(N787=G787,1,0)</f>
        <v>1</v>
      </c>
    </row>
    <row r="788" customFormat="false" ht="15" hidden="false" customHeight="false" outlineLevel="0" collapsed="false">
      <c r="A788" s="16" t="n">
        <v>32.81705216</v>
      </c>
      <c r="B788" s="16" t="n">
        <v>68.83924882</v>
      </c>
      <c r="C788" s="16" t="n">
        <v>11.2595410977974</v>
      </c>
      <c r="D788" s="6" t="s">
        <v>67</v>
      </c>
      <c r="E788" s="6" t="s">
        <v>57</v>
      </c>
      <c r="F788" s="6" t="s">
        <v>24</v>
      </c>
      <c r="G788" s="6" t="s">
        <v>64</v>
      </c>
      <c r="H788" s="6" t="s">
        <v>65</v>
      </c>
      <c r="I788" s="6" t="str">
        <f aca="false">IF(A788&lt;Outliers!$E$6,"Low",IF(A788&gt;Outliers!$F$6,"High",""))</f>
        <v/>
      </c>
      <c r="J788" s="6" t="str">
        <f aca="false">IF(B788&lt;Outliers!$E$7,"Low",IF(B788&gt;Outliers!$F$7,"High",""))</f>
        <v/>
      </c>
      <c r="K788" s="6" t="str">
        <f aca="false">IF(C788&lt;Outliers!$E$8,"Low",IF(C788&gt;Outliers!$F$8,"High",""))</f>
        <v/>
      </c>
      <c r="L788" s="6" t="str">
        <f aca="false">A788&amp;";"&amp;B788&amp;";"&amp;C788</f>
        <v>32.81705216;68.83924882;11.2595410977974</v>
      </c>
      <c r="M788" s="6" t="n">
        <f aca="false">IF(COUNTIF($L$2:$L$2201,L788)&gt;1,1,0)</f>
        <v>0</v>
      </c>
      <c r="N788" s="6" t="str">
        <f aca="false">IF(AND(C788&lt;Assumptions!$B$9,B788&lt;Assumptions!$B$10),"Irrigate Now",IF(AND(C788&gt;=Assumptions!$B$11,B788&gt;=Assumptions!$B$12),"No Irrigation Needed","Monitor"))</f>
        <v>Irrigate Now</v>
      </c>
      <c r="O788" s="6" t="n">
        <f aca="false">IF(N788=G788,1,0)</f>
        <v>1</v>
      </c>
    </row>
    <row r="789" customFormat="false" ht="15" hidden="false" customHeight="false" outlineLevel="0" collapsed="false">
      <c r="A789" s="16" t="n">
        <v>29.6321052</v>
      </c>
      <c r="B789" s="16" t="n">
        <v>71.16331975</v>
      </c>
      <c r="C789" s="16" t="n">
        <v>14.5895392009986</v>
      </c>
      <c r="D789" s="6" t="s">
        <v>57</v>
      </c>
      <c r="E789" s="6" t="s">
        <v>57</v>
      </c>
      <c r="F789" s="6" t="s">
        <v>24</v>
      </c>
      <c r="G789" s="6" t="s">
        <v>64</v>
      </c>
      <c r="H789" s="6" t="s">
        <v>65</v>
      </c>
      <c r="I789" s="6" t="str">
        <f aca="false">IF(A789&lt;Outliers!$E$6,"Low",IF(A789&gt;Outliers!$F$6,"High",""))</f>
        <v/>
      </c>
      <c r="J789" s="6" t="str">
        <f aca="false">IF(B789&lt;Outliers!$E$7,"Low",IF(B789&gt;Outliers!$F$7,"High",""))</f>
        <v/>
      </c>
      <c r="K789" s="6" t="str">
        <f aca="false">IF(C789&lt;Outliers!$E$8,"Low",IF(C789&gt;Outliers!$F$8,"High",""))</f>
        <v/>
      </c>
      <c r="L789" s="6" t="str">
        <f aca="false">A789&amp;";"&amp;B789&amp;";"&amp;C789</f>
        <v>29.6321052;71.16331975;14.5895392009986</v>
      </c>
      <c r="M789" s="6" t="n">
        <f aca="false">IF(COUNTIF($L$2:$L$2201,L789)&gt;1,1,0)</f>
        <v>0</v>
      </c>
      <c r="N789" s="6" t="str">
        <f aca="false">IF(AND(C789&lt;Assumptions!$B$9,B789&lt;Assumptions!$B$10),"Irrigate Now",IF(AND(C789&gt;=Assumptions!$B$11,B789&gt;=Assumptions!$B$12),"No Irrigation Needed","Monitor"))</f>
        <v>Irrigate Now</v>
      </c>
      <c r="O789" s="6" t="n">
        <f aca="false">IF(N789=G789,1,0)</f>
        <v>1</v>
      </c>
    </row>
    <row r="790" customFormat="false" ht="15" hidden="false" customHeight="false" outlineLevel="0" collapsed="false">
      <c r="A790" s="16" t="n">
        <v>33.49077065</v>
      </c>
      <c r="B790" s="16" t="n">
        <v>65.45328463</v>
      </c>
      <c r="C790" s="16" t="n">
        <v>25.6227848731149</v>
      </c>
      <c r="D790" s="6" t="s">
        <v>67</v>
      </c>
      <c r="E790" s="6" t="s">
        <v>57</v>
      </c>
      <c r="F790" s="6" t="s">
        <v>23</v>
      </c>
      <c r="G790" s="6" t="s">
        <v>61</v>
      </c>
      <c r="H790" s="6" t="s">
        <v>63</v>
      </c>
      <c r="I790" s="6" t="str">
        <f aca="false">IF(A790&lt;Outliers!$E$6,"Low",IF(A790&gt;Outliers!$F$6,"High",""))</f>
        <v/>
      </c>
      <c r="J790" s="6" t="str">
        <f aca="false">IF(B790&lt;Outliers!$E$7,"Low",IF(B790&gt;Outliers!$F$7,"High",""))</f>
        <v/>
      </c>
      <c r="K790" s="6" t="str">
        <f aca="false">IF(C790&lt;Outliers!$E$8,"Low",IF(C790&gt;Outliers!$F$8,"High",""))</f>
        <v/>
      </c>
      <c r="L790" s="6" t="str">
        <f aca="false">A790&amp;";"&amp;B790&amp;";"&amp;C790</f>
        <v>33.49077065;65.45328463;25.6227848731149</v>
      </c>
      <c r="M790" s="6" t="n">
        <f aca="false">IF(COUNTIF($L$2:$L$2201,L790)&gt;1,1,0)</f>
        <v>0</v>
      </c>
      <c r="N790" s="6" t="str">
        <f aca="false">IF(AND(C790&lt;Assumptions!$B$9,B790&lt;Assumptions!$B$10),"Irrigate Now",IF(AND(C790&gt;=Assumptions!$B$11,B790&gt;=Assumptions!$B$12),"No Irrigation Needed","Monitor"))</f>
        <v>Monitor</v>
      </c>
      <c r="O790" s="6" t="n">
        <f aca="false">IF(N790=G790,1,0)</f>
        <v>1</v>
      </c>
    </row>
    <row r="791" customFormat="false" ht="15" hidden="false" customHeight="false" outlineLevel="0" collapsed="false">
      <c r="A791" s="16" t="n">
        <v>31.86847286</v>
      </c>
      <c r="B791" s="16" t="n">
        <v>74.22238583</v>
      </c>
      <c r="C791" s="16" t="n">
        <v>10.4370464808212</v>
      </c>
      <c r="D791" s="6" t="s">
        <v>67</v>
      </c>
      <c r="E791" s="6" t="s">
        <v>57</v>
      </c>
      <c r="F791" s="6" t="s">
        <v>24</v>
      </c>
      <c r="G791" s="6" t="s">
        <v>64</v>
      </c>
      <c r="H791" s="6" t="s">
        <v>65</v>
      </c>
      <c r="I791" s="6" t="str">
        <f aca="false">IF(A791&lt;Outliers!$E$6,"Low",IF(A791&gt;Outliers!$F$6,"High",""))</f>
        <v/>
      </c>
      <c r="J791" s="6" t="str">
        <f aca="false">IF(B791&lt;Outliers!$E$7,"Low",IF(B791&gt;Outliers!$F$7,"High",""))</f>
        <v/>
      </c>
      <c r="K791" s="6" t="str">
        <f aca="false">IF(C791&lt;Outliers!$E$8,"Low",IF(C791&gt;Outliers!$F$8,"High",""))</f>
        <v/>
      </c>
      <c r="L791" s="6" t="str">
        <f aca="false">A791&amp;";"&amp;B791&amp;";"&amp;C791</f>
        <v>31.86847286;74.22238583;10.4370464808212</v>
      </c>
      <c r="M791" s="6" t="n">
        <f aca="false">IF(COUNTIF($L$2:$L$2201,L791)&gt;1,1,0)</f>
        <v>0</v>
      </c>
      <c r="N791" s="6" t="str">
        <f aca="false">IF(AND(C791&lt;Assumptions!$B$9,B791&lt;Assumptions!$B$10),"Irrigate Now",IF(AND(C791&gt;=Assumptions!$B$11,B791&gt;=Assumptions!$B$12),"No Irrigation Needed","Monitor"))</f>
        <v>Irrigate Now</v>
      </c>
      <c r="O791" s="6" t="n">
        <f aca="false">IF(N791=G791,1,0)</f>
        <v>1</v>
      </c>
    </row>
    <row r="792" customFormat="false" ht="15" hidden="false" customHeight="false" outlineLevel="0" collapsed="false">
      <c r="A792" s="16" t="n">
        <v>30.32992227</v>
      </c>
      <c r="B792" s="16" t="n">
        <v>71.64631281</v>
      </c>
      <c r="C792" s="16" t="n">
        <v>27.9646064498227</v>
      </c>
      <c r="D792" s="6" t="s">
        <v>67</v>
      </c>
      <c r="E792" s="6" t="s">
        <v>57</v>
      </c>
      <c r="F792" s="6" t="s">
        <v>23</v>
      </c>
      <c r="G792" s="6" t="s">
        <v>61</v>
      </c>
      <c r="H792" s="6" t="s">
        <v>63</v>
      </c>
      <c r="I792" s="6" t="str">
        <f aca="false">IF(A792&lt;Outliers!$E$6,"Low",IF(A792&gt;Outliers!$F$6,"High",""))</f>
        <v/>
      </c>
      <c r="J792" s="6" t="str">
        <f aca="false">IF(B792&lt;Outliers!$E$7,"Low",IF(B792&gt;Outliers!$F$7,"High",""))</f>
        <v/>
      </c>
      <c r="K792" s="6" t="str">
        <f aca="false">IF(C792&lt;Outliers!$E$8,"Low",IF(C792&gt;Outliers!$F$8,"High",""))</f>
        <v/>
      </c>
      <c r="L792" s="6" t="str">
        <f aca="false">A792&amp;";"&amp;B792&amp;";"&amp;C792</f>
        <v>30.32992227;71.64631281;27.9646064498227</v>
      </c>
      <c r="M792" s="6" t="n">
        <f aca="false">IF(COUNTIF($L$2:$L$2201,L792)&gt;1,1,0)</f>
        <v>0</v>
      </c>
      <c r="N792" s="6" t="str">
        <f aca="false">IF(AND(C792&lt;Assumptions!$B$9,B792&lt;Assumptions!$B$10),"Irrigate Now",IF(AND(C792&gt;=Assumptions!$B$11,B792&gt;=Assumptions!$B$12),"No Irrigation Needed","Monitor"))</f>
        <v>Monitor</v>
      </c>
      <c r="O792" s="6" t="n">
        <f aca="false">IF(N792=G792,1,0)</f>
        <v>1</v>
      </c>
    </row>
    <row r="793" customFormat="false" ht="15" hidden="false" customHeight="false" outlineLevel="0" collapsed="false">
      <c r="A793" s="16" t="n">
        <v>28.546224</v>
      </c>
      <c r="B793" s="16" t="n">
        <v>62.83469851</v>
      </c>
      <c r="C793" s="16" t="n">
        <v>27.2800096620506</v>
      </c>
      <c r="D793" s="6" t="s">
        <v>57</v>
      </c>
      <c r="E793" s="6" t="s">
        <v>57</v>
      </c>
      <c r="F793" s="6" t="s">
        <v>23</v>
      </c>
      <c r="G793" s="6" t="s">
        <v>61</v>
      </c>
      <c r="H793" s="6" t="s">
        <v>63</v>
      </c>
      <c r="I793" s="6" t="str">
        <f aca="false">IF(A793&lt;Outliers!$E$6,"Low",IF(A793&gt;Outliers!$F$6,"High",""))</f>
        <v/>
      </c>
      <c r="J793" s="6" t="str">
        <f aca="false">IF(B793&lt;Outliers!$E$7,"Low",IF(B793&gt;Outliers!$F$7,"High",""))</f>
        <v/>
      </c>
      <c r="K793" s="6" t="str">
        <f aca="false">IF(C793&lt;Outliers!$E$8,"Low",IF(C793&gt;Outliers!$F$8,"High",""))</f>
        <v/>
      </c>
      <c r="L793" s="6" t="str">
        <f aca="false">A793&amp;";"&amp;B793&amp;";"&amp;C793</f>
        <v>28.546224;62.83469851;27.2800096620506</v>
      </c>
      <c r="M793" s="6" t="n">
        <f aca="false">IF(COUNTIF($L$2:$L$2201,L793)&gt;1,1,0)</f>
        <v>0</v>
      </c>
      <c r="N793" s="6" t="str">
        <f aca="false">IF(AND(C793&lt;Assumptions!$B$9,B793&lt;Assumptions!$B$10),"Irrigate Now",IF(AND(C793&gt;=Assumptions!$B$11,B793&gt;=Assumptions!$B$12),"No Irrigation Needed","Monitor"))</f>
        <v>Monitor</v>
      </c>
      <c r="O793" s="6" t="n">
        <f aca="false">IF(N793=G793,1,0)</f>
        <v>1</v>
      </c>
    </row>
    <row r="794" customFormat="false" ht="15" hidden="false" customHeight="false" outlineLevel="0" collapsed="false">
      <c r="A794" s="16" t="n">
        <v>30.02629908</v>
      </c>
      <c r="B794" s="16" t="n">
        <v>66.47264636</v>
      </c>
      <c r="C794" s="16" t="n">
        <v>22.4997111867399</v>
      </c>
      <c r="D794" s="6" t="s">
        <v>67</v>
      </c>
      <c r="E794" s="6" t="s">
        <v>57</v>
      </c>
      <c r="F794" s="6" t="s">
        <v>60</v>
      </c>
      <c r="G794" s="6" t="s">
        <v>61</v>
      </c>
      <c r="H794" s="6" t="s">
        <v>63</v>
      </c>
      <c r="I794" s="6" t="str">
        <f aca="false">IF(A794&lt;Outliers!$E$6,"Low",IF(A794&gt;Outliers!$F$6,"High",""))</f>
        <v/>
      </c>
      <c r="J794" s="6" t="str">
        <f aca="false">IF(B794&lt;Outliers!$E$7,"Low",IF(B794&gt;Outliers!$F$7,"High",""))</f>
        <v/>
      </c>
      <c r="K794" s="6" t="str">
        <f aca="false">IF(C794&lt;Outliers!$E$8,"Low",IF(C794&gt;Outliers!$F$8,"High",""))</f>
        <v/>
      </c>
      <c r="L794" s="6" t="str">
        <f aca="false">A794&amp;";"&amp;B794&amp;";"&amp;C794</f>
        <v>30.02629908;66.47264636;22.4997111867399</v>
      </c>
      <c r="M794" s="6" t="n">
        <f aca="false">IF(COUNTIF($L$2:$L$2201,L794)&gt;1,1,0)</f>
        <v>0</v>
      </c>
      <c r="N794" s="6" t="str">
        <f aca="false">IF(AND(C794&lt;Assumptions!$B$9,B794&lt;Assumptions!$B$10),"Irrigate Now",IF(AND(C794&gt;=Assumptions!$B$11,B794&gt;=Assumptions!$B$12),"No Irrigation Needed","Monitor"))</f>
        <v>Monitor</v>
      </c>
      <c r="O794" s="6" t="n">
        <f aca="false">IF(N794=G794,1,0)</f>
        <v>1</v>
      </c>
    </row>
    <row r="795" customFormat="false" ht="15" hidden="false" customHeight="false" outlineLevel="0" collapsed="false">
      <c r="A795" s="16" t="n">
        <v>31.65531175</v>
      </c>
      <c r="B795" s="16" t="n">
        <v>66.69096751</v>
      </c>
      <c r="C795" s="16" t="n">
        <v>13.4251503431195</v>
      </c>
      <c r="D795" s="6" t="s">
        <v>67</v>
      </c>
      <c r="E795" s="6" t="s">
        <v>57</v>
      </c>
      <c r="F795" s="6" t="s">
        <v>24</v>
      </c>
      <c r="G795" s="6" t="s">
        <v>64</v>
      </c>
      <c r="H795" s="6" t="s">
        <v>65</v>
      </c>
      <c r="I795" s="6" t="str">
        <f aca="false">IF(A795&lt;Outliers!$E$6,"Low",IF(A795&gt;Outliers!$F$6,"High",""))</f>
        <v/>
      </c>
      <c r="J795" s="6" t="str">
        <f aca="false">IF(B795&lt;Outliers!$E$7,"Low",IF(B795&gt;Outliers!$F$7,"High",""))</f>
        <v/>
      </c>
      <c r="K795" s="6" t="str">
        <f aca="false">IF(C795&lt;Outliers!$E$8,"Low",IF(C795&gt;Outliers!$F$8,"High",""))</f>
        <v/>
      </c>
      <c r="L795" s="6" t="str">
        <f aca="false">A795&amp;";"&amp;B795&amp;";"&amp;C795</f>
        <v>31.65531175;66.69096751;13.4251503431195</v>
      </c>
      <c r="M795" s="6" t="n">
        <f aca="false">IF(COUNTIF($L$2:$L$2201,L795)&gt;1,1,0)</f>
        <v>0</v>
      </c>
      <c r="N795" s="6" t="str">
        <f aca="false">IF(AND(C795&lt;Assumptions!$B$9,B795&lt;Assumptions!$B$10),"Irrigate Now",IF(AND(C795&gt;=Assumptions!$B$11,B795&gt;=Assumptions!$B$12),"No Irrigation Needed","Monitor"))</f>
        <v>Irrigate Now</v>
      </c>
      <c r="O795" s="6" t="n">
        <f aca="false">IF(N795=G795,1,0)</f>
        <v>1</v>
      </c>
    </row>
    <row r="796" customFormat="false" ht="15" hidden="false" customHeight="false" outlineLevel="0" collapsed="false">
      <c r="A796" s="16" t="n">
        <v>30.33499674</v>
      </c>
      <c r="B796" s="16" t="n">
        <v>74.16699119</v>
      </c>
      <c r="C796" s="16" t="n">
        <v>12.64180259353</v>
      </c>
      <c r="D796" s="6" t="s">
        <v>67</v>
      </c>
      <c r="E796" s="6" t="s">
        <v>57</v>
      </c>
      <c r="F796" s="6" t="s">
        <v>24</v>
      </c>
      <c r="G796" s="6" t="s">
        <v>64</v>
      </c>
      <c r="H796" s="6" t="s">
        <v>65</v>
      </c>
      <c r="I796" s="6" t="str">
        <f aca="false">IF(A796&lt;Outliers!$E$6,"Low",IF(A796&gt;Outliers!$F$6,"High",""))</f>
        <v/>
      </c>
      <c r="J796" s="6" t="str">
        <f aca="false">IF(B796&lt;Outliers!$E$7,"Low",IF(B796&gt;Outliers!$F$7,"High",""))</f>
        <v/>
      </c>
      <c r="K796" s="6" t="str">
        <f aca="false">IF(C796&lt;Outliers!$E$8,"Low",IF(C796&gt;Outliers!$F$8,"High",""))</f>
        <v/>
      </c>
      <c r="L796" s="6" t="str">
        <f aca="false">A796&amp;";"&amp;B796&amp;";"&amp;C796</f>
        <v>30.33499674;74.16699119;12.64180259353</v>
      </c>
      <c r="M796" s="6" t="n">
        <f aca="false">IF(COUNTIF($L$2:$L$2201,L796)&gt;1,1,0)</f>
        <v>0</v>
      </c>
      <c r="N796" s="6" t="str">
        <f aca="false">IF(AND(C796&lt;Assumptions!$B$9,B796&lt;Assumptions!$B$10),"Irrigate Now",IF(AND(C796&gt;=Assumptions!$B$11,B796&gt;=Assumptions!$B$12),"No Irrigation Needed","Monitor"))</f>
        <v>Irrigate Now</v>
      </c>
      <c r="O796" s="6" t="n">
        <f aca="false">IF(N796=G796,1,0)</f>
        <v>1</v>
      </c>
    </row>
    <row r="797" customFormat="false" ht="15" hidden="false" customHeight="false" outlineLevel="0" collapsed="false">
      <c r="A797" s="16" t="n">
        <v>33.36984395</v>
      </c>
      <c r="B797" s="16" t="n">
        <v>64.89517488</v>
      </c>
      <c r="C797" s="16" t="n">
        <v>27.9274338288941</v>
      </c>
      <c r="D797" s="6" t="s">
        <v>67</v>
      </c>
      <c r="E797" s="6" t="s">
        <v>57</v>
      </c>
      <c r="F797" s="6" t="s">
        <v>23</v>
      </c>
      <c r="G797" s="6" t="s">
        <v>61</v>
      </c>
      <c r="H797" s="6" t="s">
        <v>63</v>
      </c>
      <c r="I797" s="6" t="str">
        <f aca="false">IF(A797&lt;Outliers!$E$6,"Low",IF(A797&gt;Outliers!$F$6,"High",""))</f>
        <v/>
      </c>
      <c r="J797" s="6" t="str">
        <f aca="false">IF(B797&lt;Outliers!$E$7,"Low",IF(B797&gt;Outliers!$F$7,"High",""))</f>
        <v/>
      </c>
      <c r="K797" s="6" t="str">
        <f aca="false">IF(C797&lt;Outliers!$E$8,"Low",IF(C797&gt;Outliers!$F$8,"High",""))</f>
        <v/>
      </c>
      <c r="L797" s="6" t="str">
        <f aca="false">A797&amp;";"&amp;B797&amp;";"&amp;C797</f>
        <v>33.36984395;64.89517488;27.9274338288941</v>
      </c>
      <c r="M797" s="6" t="n">
        <f aca="false">IF(COUNTIF($L$2:$L$2201,L797)&gt;1,1,0)</f>
        <v>0</v>
      </c>
      <c r="N797" s="6" t="str">
        <f aca="false">IF(AND(C797&lt;Assumptions!$B$9,B797&lt;Assumptions!$B$10),"Irrigate Now",IF(AND(C797&gt;=Assumptions!$B$11,B797&gt;=Assumptions!$B$12),"No Irrigation Needed","Monitor"))</f>
        <v>Monitor</v>
      </c>
      <c r="O797" s="6" t="n">
        <f aca="false">IF(N797=G797,1,0)</f>
        <v>1</v>
      </c>
    </row>
    <row r="798" customFormat="false" ht="15" hidden="false" customHeight="false" outlineLevel="0" collapsed="false">
      <c r="A798" s="16" t="n">
        <v>31.4345059</v>
      </c>
      <c r="B798" s="16" t="n">
        <v>64.77651469</v>
      </c>
      <c r="C798" s="16" t="n">
        <v>21.9258677684935</v>
      </c>
      <c r="D798" s="6" t="s">
        <v>67</v>
      </c>
      <c r="E798" s="6" t="s">
        <v>57</v>
      </c>
      <c r="F798" s="6" t="s">
        <v>60</v>
      </c>
      <c r="G798" s="6" t="s">
        <v>61</v>
      </c>
      <c r="H798" s="6" t="s">
        <v>68</v>
      </c>
      <c r="I798" s="6" t="str">
        <f aca="false">IF(A798&lt;Outliers!$E$6,"Low",IF(A798&gt;Outliers!$F$6,"High",""))</f>
        <v/>
      </c>
      <c r="J798" s="6" t="str">
        <f aca="false">IF(B798&lt;Outliers!$E$7,"Low",IF(B798&gt;Outliers!$F$7,"High",""))</f>
        <v/>
      </c>
      <c r="K798" s="6" t="str">
        <f aca="false">IF(C798&lt;Outliers!$E$8,"Low",IF(C798&gt;Outliers!$F$8,"High",""))</f>
        <v/>
      </c>
      <c r="L798" s="6" t="str">
        <f aca="false">A798&amp;";"&amp;B798&amp;";"&amp;C798</f>
        <v>31.4345059;64.77651469;21.9258677684935</v>
      </c>
      <c r="M798" s="6" t="n">
        <f aca="false">IF(COUNTIF($L$2:$L$2201,L798)&gt;1,1,0)</f>
        <v>0</v>
      </c>
      <c r="N798" s="6" t="str">
        <f aca="false">IF(AND(C798&lt;Assumptions!$B$9,B798&lt;Assumptions!$B$10),"Irrigate Now",IF(AND(C798&gt;=Assumptions!$B$11,B798&gt;=Assumptions!$B$12),"No Irrigation Needed","Monitor"))</f>
        <v>Monitor</v>
      </c>
      <c r="O798" s="6" t="n">
        <f aca="false">IF(N798=G798,1,0)</f>
        <v>1</v>
      </c>
    </row>
    <row r="799" customFormat="false" ht="15" hidden="false" customHeight="false" outlineLevel="0" collapsed="false">
      <c r="A799" s="16" t="n">
        <v>27.71678273</v>
      </c>
      <c r="B799" s="16" t="n">
        <v>68.56507978</v>
      </c>
      <c r="C799" s="16" t="n">
        <v>22.8647663925359</v>
      </c>
      <c r="D799" s="6" t="s">
        <v>57</v>
      </c>
      <c r="E799" s="6" t="s">
        <v>57</v>
      </c>
      <c r="F799" s="6" t="s">
        <v>60</v>
      </c>
      <c r="G799" s="6" t="s">
        <v>61</v>
      </c>
      <c r="H799" s="6" t="s">
        <v>63</v>
      </c>
      <c r="I799" s="6" t="str">
        <f aca="false">IF(A799&lt;Outliers!$E$6,"Low",IF(A799&gt;Outliers!$F$6,"High",""))</f>
        <v/>
      </c>
      <c r="J799" s="6" t="str">
        <f aca="false">IF(B799&lt;Outliers!$E$7,"Low",IF(B799&gt;Outliers!$F$7,"High",""))</f>
        <v/>
      </c>
      <c r="K799" s="6" t="str">
        <f aca="false">IF(C799&lt;Outliers!$E$8,"Low",IF(C799&gt;Outliers!$F$8,"High",""))</f>
        <v/>
      </c>
      <c r="L799" s="6" t="str">
        <f aca="false">A799&amp;";"&amp;B799&amp;";"&amp;C799</f>
        <v>27.71678273;68.56507978;22.8647663925359</v>
      </c>
      <c r="M799" s="6" t="n">
        <f aca="false">IF(COUNTIF($L$2:$L$2201,L799)&gt;1,1,0)</f>
        <v>0</v>
      </c>
      <c r="N799" s="6" t="str">
        <f aca="false">IF(AND(C799&lt;Assumptions!$B$9,B799&lt;Assumptions!$B$10),"Irrigate Now",IF(AND(C799&gt;=Assumptions!$B$11,B799&gt;=Assumptions!$B$12),"No Irrigation Needed","Monitor"))</f>
        <v>Monitor</v>
      </c>
      <c r="O799" s="6" t="n">
        <f aca="false">IF(N799=G799,1,0)</f>
        <v>1</v>
      </c>
    </row>
    <row r="800" customFormat="false" ht="15" hidden="false" customHeight="false" outlineLevel="0" collapsed="false">
      <c r="A800" s="16" t="n">
        <v>32.63918668</v>
      </c>
      <c r="B800" s="16" t="n">
        <v>61.83876146</v>
      </c>
      <c r="C800" s="16" t="n">
        <v>28.1372449381006</v>
      </c>
      <c r="D800" s="6" t="s">
        <v>67</v>
      </c>
      <c r="E800" s="6" t="s">
        <v>57</v>
      </c>
      <c r="F800" s="6" t="s">
        <v>23</v>
      </c>
      <c r="G800" s="6" t="s">
        <v>61</v>
      </c>
      <c r="H800" s="6" t="s">
        <v>63</v>
      </c>
      <c r="I800" s="6" t="str">
        <f aca="false">IF(A800&lt;Outliers!$E$6,"Low",IF(A800&gt;Outliers!$F$6,"High",""))</f>
        <v/>
      </c>
      <c r="J800" s="6" t="str">
        <f aca="false">IF(B800&lt;Outliers!$E$7,"Low",IF(B800&gt;Outliers!$F$7,"High",""))</f>
        <v/>
      </c>
      <c r="K800" s="6" t="str">
        <f aca="false">IF(C800&lt;Outliers!$E$8,"Low",IF(C800&gt;Outliers!$F$8,"High",""))</f>
        <v/>
      </c>
      <c r="L800" s="6" t="str">
        <f aca="false">A800&amp;";"&amp;B800&amp;";"&amp;C800</f>
        <v>32.63918668;61.83876146;28.1372449381006</v>
      </c>
      <c r="M800" s="6" t="n">
        <f aca="false">IF(COUNTIF($L$2:$L$2201,L800)&gt;1,1,0)</f>
        <v>0</v>
      </c>
      <c r="N800" s="6" t="str">
        <f aca="false">IF(AND(C800&lt;Assumptions!$B$9,B800&lt;Assumptions!$B$10),"Irrigate Now",IF(AND(C800&gt;=Assumptions!$B$11,B800&gt;=Assumptions!$B$12),"No Irrigation Needed","Monitor"))</f>
        <v>Monitor</v>
      </c>
      <c r="O800" s="6" t="n">
        <f aca="false">IF(N800=G800,1,0)</f>
        <v>1</v>
      </c>
    </row>
    <row r="801" customFormat="false" ht="15" hidden="false" customHeight="false" outlineLevel="0" collapsed="false">
      <c r="A801" s="16" t="n">
        <v>32.7477393</v>
      </c>
      <c r="B801" s="16" t="n">
        <v>63.37784443</v>
      </c>
      <c r="C801" s="16" t="n">
        <v>17.4987703715759</v>
      </c>
      <c r="D801" s="6" t="s">
        <v>67</v>
      </c>
      <c r="E801" s="6" t="s">
        <v>57</v>
      </c>
      <c r="F801" s="6" t="s">
        <v>24</v>
      </c>
      <c r="G801" s="6" t="s">
        <v>64</v>
      </c>
      <c r="H801" s="6" t="s">
        <v>65</v>
      </c>
      <c r="I801" s="6" t="str">
        <f aca="false">IF(A801&lt;Outliers!$E$6,"Low",IF(A801&gt;Outliers!$F$6,"High",""))</f>
        <v/>
      </c>
      <c r="J801" s="6" t="str">
        <f aca="false">IF(B801&lt;Outliers!$E$7,"Low",IF(B801&gt;Outliers!$F$7,"High",""))</f>
        <v/>
      </c>
      <c r="K801" s="6" t="str">
        <f aca="false">IF(C801&lt;Outliers!$E$8,"Low",IF(C801&gt;Outliers!$F$8,"High",""))</f>
        <v/>
      </c>
      <c r="L801" s="6" t="str">
        <f aca="false">A801&amp;";"&amp;B801&amp;";"&amp;C801</f>
        <v>32.7477393;63.37784443;17.4987703715759</v>
      </c>
      <c r="M801" s="6" t="n">
        <f aca="false">IF(COUNTIF($L$2:$L$2201,L801)&gt;1,1,0)</f>
        <v>0</v>
      </c>
      <c r="N801" s="6" t="str">
        <f aca="false">IF(AND(C801&lt;Assumptions!$B$9,B801&lt;Assumptions!$B$10),"Irrigate Now",IF(AND(C801&gt;=Assumptions!$B$11,B801&gt;=Assumptions!$B$12),"No Irrigation Needed","Monitor"))</f>
        <v>Irrigate Now</v>
      </c>
      <c r="O801" s="6" t="n">
        <f aca="false">IF(N801=G801,1,0)</f>
        <v>1</v>
      </c>
    </row>
    <row r="802" customFormat="false" ht="15" hidden="false" customHeight="false" outlineLevel="0" collapsed="false">
      <c r="A802" s="16" t="n">
        <v>28.05153602</v>
      </c>
      <c r="B802" s="16" t="n">
        <v>43.35795377</v>
      </c>
      <c r="C802" s="16" t="n">
        <v>19.2767830249618</v>
      </c>
      <c r="D802" s="6" t="s">
        <v>57</v>
      </c>
      <c r="E802" s="6" t="s">
        <v>23</v>
      </c>
      <c r="F802" s="6" t="s">
        <v>24</v>
      </c>
      <c r="G802" s="6" t="s">
        <v>61</v>
      </c>
      <c r="H802" s="6" t="s">
        <v>63</v>
      </c>
      <c r="I802" s="6" t="str">
        <f aca="false">IF(A802&lt;Outliers!$E$6,"Low",IF(A802&gt;Outliers!$F$6,"High",""))</f>
        <v/>
      </c>
      <c r="J802" s="6" t="str">
        <f aca="false">IF(B802&lt;Outliers!$E$7,"Low",IF(B802&gt;Outliers!$F$7,"High",""))</f>
        <v/>
      </c>
      <c r="K802" s="6" t="str">
        <f aca="false">IF(C802&lt;Outliers!$E$8,"Low",IF(C802&gt;Outliers!$F$8,"High",""))</f>
        <v/>
      </c>
      <c r="L802" s="6" t="str">
        <f aca="false">A802&amp;";"&amp;B802&amp;";"&amp;C802</f>
        <v>28.05153602;43.35795377;19.2767830249618</v>
      </c>
      <c r="M802" s="6" t="n">
        <f aca="false">IF(COUNTIF($L$2:$L$2201,L802)&gt;1,1,0)</f>
        <v>0</v>
      </c>
      <c r="N802" s="6" t="str">
        <f aca="false">IF(AND(C802&lt;Assumptions!$B$9,B802&lt;Assumptions!$B$10),"Irrigate Now",IF(AND(C802&gt;=Assumptions!$B$11,B802&gt;=Assumptions!$B$12),"No Irrigation Needed","Monitor"))</f>
        <v>Monitor</v>
      </c>
      <c r="O802" s="6" t="n">
        <f aca="false">IF(N802=G802,1,0)</f>
        <v>1</v>
      </c>
    </row>
    <row r="803" customFormat="false" ht="15" hidden="false" customHeight="false" outlineLevel="0" collapsed="false">
      <c r="A803" s="16" t="n">
        <v>19.44084326</v>
      </c>
      <c r="B803" s="16" t="n">
        <v>46.83130119</v>
      </c>
      <c r="C803" s="16" t="n">
        <v>18.4382274194644</v>
      </c>
      <c r="D803" s="6" t="s">
        <v>66</v>
      </c>
      <c r="E803" s="6" t="s">
        <v>23</v>
      </c>
      <c r="F803" s="6" t="s">
        <v>24</v>
      </c>
      <c r="G803" s="6" t="s">
        <v>61</v>
      </c>
      <c r="H803" s="6" t="s">
        <v>63</v>
      </c>
      <c r="I803" s="6" t="str">
        <f aca="false">IF(A803&lt;Outliers!$E$6,"Low",IF(A803&gt;Outliers!$F$6,"High",""))</f>
        <v/>
      </c>
      <c r="J803" s="6" t="str">
        <f aca="false">IF(B803&lt;Outliers!$E$7,"Low",IF(B803&gt;Outliers!$F$7,"High",""))</f>
        <v/>
      </c>
      <c r="K803" s="6" t="str">
        <f aca="false">IF(C803&lt;Outliers!$E$8,"Low",IF(C803&gt;Outliers!$F$8,"High",""))</f>
        <v/>
      </c>
      <c r="L803" s="6" t="str">
        <f aca="false">A803&amp;";"&amp;B803&amp;";"&amp;C803</f>
        <v>19.44084326;46.83130119;18.4382274194644</v>
      </c>
      <c r="M803" s="6" t="n">
        <f aca="false">IF(COUNTIF($L$2:$L$2201,L803)&gt;1,1,0)</f>
        <v>0</v>
      </c>
      <c r="N803" s="6" t="str">
        <f aca="false">IF(AND(C803&lt;Assumptions!$B$9,B803&lt;Assumptions!$B$10),"Irrigate Now",IF(AND(C803&gt;=Assumptions!$B$11,B803&gt;=Assumptions!$B$12),"No Irrigation Needed","Monitor"))</f>
        <v>Monitor</v>
      </c>
      <c r="O803" s="6" t="n">
        <f aca="false">IF(N803=G803,1,0)</f>
        <v>1</v>
      </c>
    </row>
    <row r="804" customFormat="false" ht="15" hidden="false" customHeight="false" outlineLevel="0" collapsed="false">
      <c r="A804" s="16" t="n">
        <v>29.84823072</v>
      </c>
      <c r="B804" s="16" t="n">
        <v>46.80452595</v>
      </c>
      <c r="C804" s="16" t="n">
        <v>25.0403479981458</v>
      </c>
      <c r="D804" s="6" t="s">
        <v>57</v>
      </c>
      <c r="E804" s="6" t="s">
        <v>23</v>
      </c>
      <c r="F804" s="6" t="s">
        <v>60</v>
      </c>
      <c r="G804" s="6" t="s">
        <v>61</v>
      </c>
      <c r="H804" s="6" t="s">
        <v>63</v>
      </c>
      <c r="I804" s="6" t="str">
        <f aca="false">IF(A804&lt;Outliers!$E$6,"Low",IF(A804&gt;Outliers!$F$6,"High",""))</f>
        <v/>
      </c>
      <c r="J804" s="6" t="str">
        <f aca="false">IF(B804&lt;Outliers!$E$7,"Low",IF(B804&gt;Outliers!$F$7,"High",""))</f>
        <v/>
      </c>
      <c r="K804" s="6" t="str">
        <f aca="false">IF(C804&lt;Outliers!$E$8,"Low",IF(C804&gt;Outliers!$F$8,"High",""))</f>
        <v/>
      </c>
      <c r="L804" s="6" t="str">
        <f aca="false">A804&amp;";"&amp;B804&amp;";"&amp;C804</f>
        <v>29.84823072;46.80452595;25.0403479981458</v>
      </c>
      <c r="M804" s="6" t="n">
        <f aca="false">IF(COUNTIF($L$2:$L$2201,L804)&gt;1,1,0)</f>
        <v>0</v>
      </c>
      <c r="N804" s="6" t="str">
        <f aca="false">IF(AND(C804&lt;Assumptions!$B$9,B804&lt;Assumptions!$B$10),"Irrigate Now",IF(AND(C804&gt;=Assumptions!$B$11,B804&gt;=Assumptions!$B$12),"No Irrigation Needed","Monitor"))</f>
        <v>Monitor</v>
      </c>
      <c r="O804" s="6" t="n">
        <f aca="false">IF(N804=G804,1,0)</f>
        <v>1</v>
      </c>
    </row>
    <row r="805" customFormat="false" ht="15" hidden="false" customHeight="false" outlineLevel="0" collapsed="false">
      <c r="A805" s="16" t="n">
        <v>21.36383757</v>
      </c>
      <c r="B805" s="16" t="n">
        <v>46.6352865</v>
      </c>
      <c r="C805" s="16" t="n">
        <v>23.1827005366716</v>
      </c>
      <c r="D805" s="6" t="s">
        <v>57</v>
      </c>
      <c r="E805" s="6" t="s">
        <v>23</v>
      </c>
      <c r="F805" s="6" t="s">
        <v>60</v>
      </c>
      <c r="G805" s="6" t="s">
        <v>61</v>
      </c>
      <c r="H805" s="6" t="s">
        <v>63</v>
      </c>
      <c r="I805" s="6" t="str">
        <f aca="false">IF(A805&lt;Outliers!$E$6,"Low",IF(A805&gt;Outliers!$F$6,"High",""))</f>
        <v/>
      </c>
      <c r="J805" s="6" t="str">
        <f aca="false">IF(B805&lt;Outliers!$E$7,"Low",IF(B805&gt;Outliers!$F$7,"High",""))</f>
        <v/>
      </c>
      <c r="K805" s="6" t="str">
        <f aca="false">IF(C805&lt;Outliers!$E$8,"Low",IF(C805&gt;Outliers!$F$8,"High",""))</f>
        <v/>
      </c>
      <c r="L805" s="6" t="str">
        <f aca="false">A805&amp;";"&amp;B805&amp;";"&amp;C805</f>
        <v>21.36383757;46.6352865;23.1827005366716</v>
      </c>
      <c r="M805" s="6" t="n">
        <f aca="false">IF(COUNTIF($L$2:$L$2201,L805)&gt;1,1,0)</f>
        <v>0</v>
      </c>
      <c r="N805" s="6" t="str">
        <f aca="false">IF(AND(C805&lt;Assumptions!$B$9,B805&lt;Assumptions!$B$10),"Irrigate Now",IF(AND(C805&gt;=Assumptions!$B$11,B805&gt;=Assumptions!$B$12),"No Irrigation Needed","Monitor"))</f>
        <v>Monitor</v>
      </c>
      <c r="O805" s="6" t="n">
        <f aca="false">IF(N805=G805,1,0)</f>
        <v>1</v>
      </c>
    </row>
    <row r="806" customFormat="false" ht="15" hidden="false" customHeight="false" outlineLevel="0" collapsed="false">
      <c r="A806" s="16" t="n">
        <v>26.28663931</v>
      </c>
      <c r="B806" s="16" t="n">
        <v>46.13833007</v>
      </c>
      <c r="C806" s="16" t="n">
        <v>14.4581798615617</v>
      </c>
      <c r="D806" s="6" t="s">
        <v>57</v>
      </c>
      <c r="E806" s="6" t="s">
        <v>23</v>
      </c>
      <c r="F806" s="6" t="s">
        <v>24</v>
      </c>
      <c r="G806" s="6" t="s">
        <v>64</v>
      </c>
      <c r="H806" s="6" t="s">
        <v>65</v>
      </c>
      <c r="I806" s="6" t="str">
        <f aca="false">IF(A806&lt;Outliers!$E$6,"Low",IF(A806&gt;Outliers!$F$6,"High",""))</f>
        <v/>
      </c>
      <c r="J806" s="6" t="str">
        <f aca="false">IF(B806&lt;Outliers!$E$7,"Low",IF(B806&gt;Outliers!$F$7,"High",""))</f>
        <v/>
      </c>
      <c r="K806" s="6" t="str">
        <f aca="false">IF(C806&lt;Outliers!$E$8,"Low",IF(C806&gt;Outliers!$F$8,"High",""))</f>
        <v/>
      </c>
      <c r="L806" s="6" t="str">
        <f aca="false">A806&amp;";"&amp;B806&amp;";"&amp;C806</f>
        <v>26.28663931;46.13833007;14.4581798615617</v>
      </c>
      <c r="M806" s="6" t="n">
        <f aca="false">IF(COUNTIF($L$2:$L$2201,L806)&gt;1,1,0)</f>
        <v>0</v>
      </c>
      <c r="N806" s="6" t="str">
        <f aca="false">IF(AND(C806&lt;Assumptions!$B$9,B806&lt;Assumptions!$B$10),"Irrigate Now",IF(AND(C806&gt;=Assumptions!$B$11,B806&gt;=Assumptions!$B$12),"No Irrigation Needed","Monitor"))</f>
        <v>Irrigate Now</v>
      </c>
      <c r="O806" s="6" t="n">
        <f aca="false">IF(N806=G806,1,0)</f>
        <v>1</v>
      </c>
    </row>
    <row r="807" customFormat="false" ht="15" hidden="false" customHeight="false" outlineLevel="0" collapsed="false">
      <c r="A807" s="16" t="n">
        <v>22.17499963</v>
      </c>
      <c r="B807" s="16" t="n">
        <v>53.46622584</v>
      </c>
      <c r="C807" s="16" t="n">
        <v>16.837691677132</v>
      </c>
      <c r="D807" s="6" t="s">
        <v>57</v>
      </c>
      <c r="E807" s="6" t="s">
        <v>57</v>
      </c>
      <c r="F807" s="6" t="s">
        <v>24</v>
      </c>
      <c r="G807" s="6" t="s">
        <v>64</v>
      </c>
      <c r="H807" s="6" t="s">
        <v>65</v>
      </c>
      <c r="I807" s="6" t="str">
        <f aca="false">IF(A807&lt;Outliers!$E$6,"Low",IF(A807&gt;Outliers!$F$6,"High",""))</f>
        <v/>
      </c>
      <c r="J807" s="6" t="str">
        <f aca="false">IF(B807&lt;Outliers!$E$7,"Low",IF(B807&gt;Outliers!$F$7,"High",""))</f>
        <v/>
      </c>
      <c r="K807" s="6" t="str">
        <f aca="false">IF(C807&lt;Outliers!$E$8,"Low",IF(C807&gt;Outliers!$F$8,"High",""))</f>
        <v/>
      </c>
      <c r="L807" s="6" t="str">
        <f aca="false">A807&amp;";"&amp;B807&amp;";"&amp;C807</f>
        <v>22.17499963;53.46622584;16.837691677132</v>
      </c>
      <c r="M807" s="6" t="n">
        <f aca="false">IF(COUNTIF($L$2:$L$2201,L807)&gt;1,1,0)</f>
        <v>0</v>
      </c>
      <c r="N807" s="6" t="str">
        <f aca="false">IF(AND(C807&lt;Assumptions!$B$9,B807&lt;Assumptions!$B$10),"Irrigate Now",IF(AND(C807&gt;=Assumptions!$B$11,B807&gt;=Assumptions!$B$12),"No Irrigation Needed","Monitor"))</f>
        <v>Irrigate Now</v>
      </c>
      <c r="O807" s="6" t="n">
        <f aca="false">IF(N807=G807,1,0)</f>
        <v>1</v>
      </c>
    </row>
    <row r="808" customFormat="false" ht="15" hidden="false" customHeight="false" outlineLevel="0" collapsed="false">
      <c r="A808" s="16" t="n">
        <v>26.57597546</v>
      </c>
      <c r="B808" s="16" t="n">
        <v>50.89110726</v>
      </c>
      <c r="C808" s="16" t="n">
        <v>17.8943379907224</v>
      </c>
      <c r="D808" s="6" t="s">
        <v>57</v>
      </c>
      <c r="E808" s="6" t="s">
        <v>57</v>
      </c>
      <c r="F808" s="6" t="s">
        <v>24</v>
      </c>
      <c r="G808" s="6" t="s">
        <v>64</v>
      </c>
      <c r="H808" s="6" t="s">
        <v>65</v>
      </c>
      <c r="I808" s="6" t="str">
        <f aca="false">IF(A808&lt;Outliers!$E$6,"Low",IF(A808&gt;Outliers!$F$6,"High",""))</f>
        <v/>
      </c>
      <c r="J808" s="6" t="str">
        <f aca="false">IF(B808&lt;Outliers!$E$7,"Low",IF(B808&gt;Outliers!$F$7,"High",""))</f>
        <v/>
      </c>
      <c r="K808" s="6" t="str">
        <f aca="false">IF(C808&lt;Outliers!$E$8,"Low",IF(C808&gt;Outliers!$F$8,"High",""))</f>
        <v/>
      </c>
      <c r="L808" s="6" t="str">
        <f aca="false">A808&amp;";"&amp;B808&amp;";"&amp;C808</f>
        <v>26.57597546;50.89110726;17.8943379907224</v>
      </c>
      <c r="M808" s="6" t="n">
        <f aca="false">IF(COUNTIF($L$2:$L$2201,L808)&gt;1,1,0)</f>
        <v>0</v>
      </c>
      <c r="N808" s="6" t="str">
        <f aca="false">IF(AND(C808&lt;Assumptions!$B$9,B808&lt;Assumptions!$B$10),"Irrigate Now",IF(AND(C808&gt;=Assumptions!$B$11,B808&gt;=Assumptions!$B$12),"No Irrigation Needed","Monitor"))</f>
        <v>Irrigate Now</v>
      </c>
      <c r="O808" s="6" t="n">
        <f aca="false">IF(N808=G808,1,0)</f>
        <v>1</v>
      </c>
    </row>
    <row r="809" customFormat="false" ht="15" hidden="false" customHeight="false" outlineLevel="0" collapsed="false">
      <c r="A809" s="16" t="n">
        <v>26.58972517</v>
      </c>
      <c r="B809" s="16" t="n">
        <v>50.90994463</v>
      </c>
      <c r="C809" s="16" t="n">
        <v>10.2367192262015</v>
      </c>
      <c r="D809" s="6" t="s">
        <v>57</v>
      </c>
      <c r="E809" s="6" t="s">
        <v>57</v>
      </c>
      <c r="F809" s="6" t="s">
        <v>24</v>
      </c>
      <c r="G809" s="6" t="s">
        <v>64</v>
      </c>
      <c r="H809" s="6" t="s">
        <v>65</v>
      </c>
      <c r="I809" s="6" t="str">
        <f aca="false">IF(A809&lt;Outliers!$E$6,"Low",IF(A809&gt;Outliers!$F$6,"High",""))</f>
        <v/>
      </c>
      <c r="J809" s="6" t="str">
        <f aca="false">IF(B809&lt;Outliers!$E$7,"Low",IF(B809&gt;Outliers!$F$7,"High",""))</f>
        <v/>
      </c>
      <c r="K809" s="6" t="str">
        <f aca="false">IF(C809&lt;Outliers!$E$8,"Low",IF(C809&gt;Outliers!$F$8,"High",""))</f>
        <v/>
      </c>
      <c r="L809" s="6" t="str">
        <f aca="false">A809&amp;";"&amp;B809&amp;";"&amp;C809</f>
        <v>26.58972517;50.90994463;10.2367192262015</v>
      </c>
      <c r="M809" s="6" t="n">
        <f aca="false">IF(COUNTIF($L$2:$L$2201,L809)&gt;1,1,0)</f>
        <v>0</v>
      </c>
      <c r="N809" s="6" t="str">
        <f aca="false">IF(AND(C809&lt;Assumptions!$B$9,B809&lt;Assumptions!$B$10),"Irrigate Now",IF(AND(C809&gt;=Assumptions!$B$11,B809&gt;=Assumptions!$B$12),"No Irrigation Needed","Monitor"))</f>
        <v>Irrigate Now</v>
      </c>
      <c r="O809" s="6" t="n">
        <f aca="false">IF(N809=G809,1,0)</f>
        <v>1</v>
      </c>
    </row>
    <row r="810" customFormat="false" ht="15" hidden="false" customHeight="false" outlineLevel="0" collapsed="false">
      <c r="A810" s="16" t="n">
        <v>19.1345771</v>
      </c>
      <c r="B810" s="16" t="n">
        <v>36.46946971</v>
      </c>
      <c r="C810" s="16" t="n">
        <v>26.2875188983822</v>
      </c>
      <c r="D810" s="6" t="s">
        <v>66</v>
      </c>
      <c r="E810" s="6" t="s">
        <v>23</v>
      </c>
      <c r="F810" s="6" t="s">
        <v>60</v>
      </c>
      <c r="G810" s="6" t="s">
        <v>61</v>
      </c>
      <c r="H810" s="6" t="s">
        <v>63</v>
      </c>
      <c r="I810" s="6" t="str">
        <f aca="false">IF(A810&lt;Outliers!$E$6,"Low",IF(A810&gt;Outliers!$F$6,"High",""))</f>
        <v/>
      </c>
      <c r="J810" s="6" t="str">
        <f aca="false">IF(B810&lt;Outliers!$E$7,"Low",IF(B810&gt;Outliers!$F$7,"High",""))</f>
        <v/>
      </c>
      <c r="K810" s="6" t="str">
        <f aca="false">IF(C810&lt;Outliers!$E$8,"Low",IF(C810&gt;Outliers!$F$8,"High",""))</f>
        <v/>
      </c>
      <c r="L810" s="6" t="str">
        <f aca="false">A810&amp;";"&amp;B810&amp;";"&amp;C810</f>
        <v>19.1345771;36.46946971;26.2875188983822</v>
      </c>
      <c r="M810" s="6" t="n">
        <f aca="false">IF(COUNTIF($L$2:$L$2201,L810)&gt;1,1,0)</f>
        <v>0</v>
      </c>
      <c r="N810" s="6" t="str">
        <f aca="false">IF(AND(C810&lt;Assumptions!$B$9,B810&lt;Assumptions!$B$10),"Irrigate Now",IF(AND(C810&gt;=Assumptions!$B$11,B810&gt;=Assumptions!$B$12),"No Irrigation Needed","Monitor"))</f>
        <v>Monitor</v>
      </c>
      <c r="O810" s="6" t="n">
        <f aca="false">IF(N810=G810,1,0)</f>
        <v>1</v>
      </c>
    </row>
    <row r="811" customFormat="false" ht="15" hidden="false" customHeight="false" outlineLevel="0" collapsed="false">
      <c r="A811" s="16" t="n">
        <v>28.75273118</v>
      </c>
      <c r="B811" s="16" t="n">
        <v>35.15426171</v>
      </c>
      <c r="C811" s="16" t="n">
        <v>20.9572802668134</v>
      </c>
      <c r="D811" s="6" t="s">
        <v>57</v>
      </c>
      <c r="E811" s="6" t="s">
        <v>23</v>
      </c>
      <c r="F811" s="6" t="s">
        <v>60</v>
      </c>
      <c r="G811" s="6" t="s">
        <v>61</v>
      </c>
      <c r="H811" s="6" t="s">
        <v>63</v>
      </c>
      <c r="I811" s="6" t="str">
        <f aca="false">IF(A811&lt;Outliers!$E$6,"Low",IF(A811&gt;Outliers!$F$6,"High",""))</f>
        <v/>
      </c>
      <c r="J811" s="6" t="str">
        <f aca="false">IF(B811&lt;Outliers!$E$7,"Low",IF(B811&gt;Outliers!$F$7,"High",""))</f>
        <v/>
      </c>
      <c r="K811" s="6" t="str">
        <f aca="false">IF(C811&lt;Outliers!$E$8,"Low",IF(C811&gt;Outliers!$F$8,"High",""))</f>
        <v/>
      </c>
      <c r="L811" s="6" t="str">
        <f aca="false">A811&amp;";"&amp;B811&amp;";"&amp;C811</f>
        <v>28.75273118;35.15426171;20.9572802668134</v>
      </c>
      <c r="M811" s="6" t="n">
        <f aca="false">IF(COUNTIF($L$2:$L$2201,L811)&gt;1,1,0)</f>
        <v>0</v>
      </c>
      <c r="N811" s="6" t="str">
        <f aca="false">IF(AND(C811&lt;Assumptions!$B$9,B811&lt;Assumptions!$B$10),"Irrigate Now",IF(AND(C811&gt;=Assumptions!$B$11,B811&gt;=Assumptions!$B$12),"No Irrigation Needed","Monitor"))</f>
        <v>Monitor</v>
      </c>
      <c r="O811" s="6" t="n">
        <f aca="false">IF(N811=G811,1,0)</f>
        <v>1</v>
      </c>
    </row>
    <row r="812" customFormat="false" ht="15" hidden="false" customHeight="false" outlineLevel="0" collapsed="false">
      <c r="A812" s="16" t="n">
        <v>25.78746268</v>
      </c>
      <c r="B812" s="16" t="n">
        <v>49.14337177</v>
      </c>
      <c r="C812" s="16" t="n">
        <v>20.7481926389136</v>
      </c>
      <c r="D812" s="6" t="s">
        <v>57</v>
      </c>
      <c r="E812" s="6" t="s">
        <v>23</v>
      </c>
      <c r="F812" s="6" t="s">
        <v>60</v>
      </c>
      <c r="G812" s="6" t="s">
        <v>61</v>
      </c>
      <c r="H812" s="6" t="s">
        <v>63</v>
      </c>
      <c r="I812" s="6" t="str">
        <f aca="false">IF(A812&lt;Outliers!$E$6,"Low",IF(A812&gt;Outliers!$F$6,"High",""))</f>
        <v/>
      </c>
      <c r="J812" s="6" t="str">
        <f aca="false">IF(B812&lt;Outliers!$E$7,"Low",IF(B812&gt;Outliers!$F$7,"High",""))</f>
        <v/>
      </c>
      <c r="K812" s="6" t="str">
        <f aca="false">IF(C812&lt;Outliers!$E$8,"Low",IF(C812&gt;Outliers!$F$8,"High",""))</f>
        <v/>
      </c>
      <c r="L812" s="6" t="str">
        <f aca="false">A812&amp;";"&amp;B812&amp;";"&amp;C812</f>
        <v>25.78746268;49.14337177;20.7481926389136</v>
      </c>
      <c r="M812" s="6" t="n">
        <f aca="false">IF(COUNTIF($L$2:$L$2201,L812)&gt;1,1,0)</f>
        <v>0</v>
      </c>
      <c r="N812" s="6" t="str">
        <f aca="false">IF(AND(C812&lt;Assumptions!$B$9,B812&lt;Assumptions!$B$10),"Irrigate Now",IF(AND(C812&gt;=Assumptions!$B$11,B812&gt;=Assumptions!$B$12),"No Irrigation Needed","Monitor"))</f>
        <v>Monitor</v>
      </c>
      <c r="O812" s="6" t="n">
        <f aca="false">IF(N812=G812,1,0)</f>
        <v>1</v>
      </c>
    </row>
    <row r="813" customFormat="false" ht="15" hidden="false" customHeight="false" outlineLevel="0" collapsed="false">
      <c r="A813" s="16" t="n">
        <v>23.89271875</v>
      </c>
      <c r="B813" s="16" t="n">
        <v>52.55730112</v>
      </c>
      <c r="C813" s="16" t="n">
        <v>28.7265481831848</v>
      </c>
      <c r="D813" s="6" t="s">
        <v>57</v>
      </c>
      <c r="E813" s="6" t="s">
        <v>57</v>
      </c>
      <c r="F813" s="6" t="s">
        <v>23</v>
      </c>
      <c r="G813" s="6" t="s">
        <v>61</v>
      </c>
      <c r="H813" s="6" t="s">
        <v>63</v>
      </c>
      <c r="I813" s="6" t="str">
        <f aca="false">IF(A813&lt;Outliers!$E$6,"Low",IF(A813&gt;Outliers!$F$6,"High",""))</f>
        <v/>
      </c>
      <c r="J813" s="6" t="str">
        <f aca="false">IF(B813&lt;Outliers!$E$7,"Low",IF(B813&gt;Outliers!$F$7,"High",""))</f>
        <v/>
      </c>
      <c r="K813" s="6" t="str">
        <f aca="false">IF(C813&lt;Outliers!$E$8,"Low",IF(C813&gt;Outliers!$F$8,"High",""))</f>
        <v/>
      </c>
      <c r="L813" s="6" t="str">
        <f aca="false">A813&amp;";"&amp;B813&amp;";"&amp;C813</f>
        <v>23.89271875;52.55730112;28.7265481831848</v>
      </c>
      <c r="M813" s="6" t="n">
        <f aca="false">IF(COUNTIF($L$2:$L$2201,L813)&gt;1,1,0)</f>
        <v>0</v>
      </c>
      <c r="N813" s="6" t="str">
        <f aca="false">IF(AND(C813&lt;Assumptions!$B$9,B813&lt;Assumptions!$B$10),"Irrigate Now",IF(AND(C813&gt;=Assumptions!$B$11,B813&gt;=Assumptions!$B$12),"No Irrigation Needed","Monitor"))</f>
        <v>Monitor</v>
      </c>
      <c r="O813" s="6" t="n">
        <f aca="false">IF(N813=G813,1,0)</f>
        <v>1</v>
      </c>
    </row>
    <row r="814" customFormat="false" ht="15" hidden="false" customHeight="false" outlineLevel="0" collapsed="false">
      <c r="A814" s="16" t="n">
        <v>28.67408774</v>
      </c>
      <c r="B814" s="16" t="n">
        <v>42.96018627</v>
      </c>
      <c r="C814" s="16" t="n">
        <v>12.7308470554705</v>
      </c>
      <c r="D814" s="6" t="s">
        <v>57</v>
      </c>
      <c r="E814" s="6" t="s">
        <v>23</v>
      </c>
      <c r="F814" s="6" t="s">
        <v>24</v>
      </c>
      <c r="G814" s="6" t="s">
        <v>64</v>
      </c>
      <c r="H814" s="6" t="s">
        <v>65</v>
      </c>
      <c r="I814" s="6" t="str">
        <f aca="false">IF(A814&lt;Outliers!$E$6,"Low",IF(A814&gt;Outliers!$F$6,"High",""))</f>
        <v/>
      </c>
      <c r="J814" s="6" t="str">
        <f aca="false">IF(B814&lt;Outliers!$E$7,"Low",IF(B814&gt;Outliers!$F$7,"High",""))</f>
        <v/>
      </c>
      <c r="K814" s="6" t="str">
        <f aca="false">IF(C814&lt;Outliers!$E$8,"Low",IF(C814&gt;Outliers!$F$8,"High",""))</f>
        <v/>
      </c>
      <c r="L814" s="6" t="str">
        <f aca="false">A814&amp;";"&amp;B814&amp;";"&amp;C814</f>
        <v>28.67408774;42.96018627;12.7308470554705</v>
      </c>
      <c r="M814" s="6" t="n">
        <f aca="false">IF(COUNTIF($L$2:$L$2201,L814)&gt;1,1,0)</f>
        <v>0</v>
      </c>
      <c r="N814" s="6" t="str">
        <f aca="false">IF(AND(C814&lt;Assumptions!$B$9,B814&lt;Assumptions!$B$10),"Irrigate Now",IF(AND(C814&gt;=Assumptions!$B$11,B814&gt;=Assumptions!$B$12),"No Irrigation Needed","Monitor"))</f>
        <v>Irrigate Now</v>
      </c>
      <c r="O814" s="6" t="n">
        <f aca="false">IF(N814=G814,1,0)</f>
        <v>1</v>
      </c>
    </row>
    <row r="815" customFormat="false" ht="15" hidden="false" customHeight="false" outlineLevel="0" collapsed="false">
      <c r="A815" s="16" t="n">
        <v>28.42062847</v>
      </c>
      <c r="B815" s="16" t="n">
        <v>49.02366803</v>
      </c>
      <c r="C815" s="16" t="n">
        <v>13.4628661423798</v>
      </c>
      <c r="D815" s="6" t="s">
        <v>57</v>
      </c>
      <c r="E815" s="6" t="s">
        <v>23</v>
      </c>
      <c r="F815" s="6" t="s">
        <v>24</v>
      </c>
      <c r="G815" s="6" t="s">
        <v>64</v>
      </c>
      <c r="H815" s="6" t="s">
        <v>65</v>
      </c>
      <c r="I815" s="6" t="str">
        <f aca="false">IF(A815&lt;Outliers!$E$6,"Low",IF(A815&gt;Outliers!$F$6,"High",""))</f>
        <v/>
      </c>
      <c r="J815" s="6" t="str">
        <f aca="false">IF(B815&lt;Outliers!$E$7,"Low",IF(B815&gt;Outliers!$F$7,"High",""))</f>
        <v/>
      </c>
      <c r="K815" s="6" t="str">
        <f aca="false">IF(C815&lt;Outliers!$E$8,"Low",IF(C815&gt;Outliers!$F$8,"High",""))</f>
        <v/>
      </c>
      <c r="L815" s="6" t="str">
        <f aca="false">A815&amp;";"&amp;B815&amp;";"&amp;C815</f>
        <v>28.42062847;49.02366803;13.4628661423798</v>
      </c>
      <c r="M815" s="6" t="n">
        <f aca="false">IF(COUNTIF($L$2:$L$2201,L815)&gt;1,1,0)</f>
        <v>0</v>
      </c>
      <c r="N815" s="6" t="str">
        <f aca="false">IF(AND(C815&lt;Assumptions!$B$9,B815&lt;Assumptions!$B$10),"Irrigate Now",IF(AND(C815&gt;=Assumptions!$B$11,B815&gt;=Assumptions!$B$12),"No Irrigation Needed","Monitor"))</f>
        <v>Irrigate Now</v>
      </c>
      <c r="O815" s="6" t="n">
        <f aca="false">IF(N815=G815,1,0)</f>
        <v>1</v>
      </c>
    </row>
    <row r="816" customFormat="false" ht="15" hidden="false" customHeight="false" outlineLevel="0" collapsed="false">
      <c r="A816" s="16" t="n">
        <v>21.35499456</v>
      </c>
      <c r="B816" s="16" t="n">
        <v>41.78219834</v>
      </c>
      <c r="C816" s="16" t="n">
        <v>13.6633892998114</v>
      </c>
      <c r="D816" s="6" t="s">
        <v>57</v>
      </c>
      <c r="E816" s="6" t="s">
        <v>23</v>
      </c>
      <c r="F816" s="6" t="s">
        <v>24</v>
      </c>
      <c r="G816" s="6" t="s">
        <v>64</v>
      </c>
      <c r="H816" s="6" t="s">
        <v>65</v>
      </c>
      <c r="I816" s="6" t="str">
        <f aca="false">IF(A816&lt;Outliers!$E$6,"Low",IF(A816&gt;Outliers!$F$6,"High",""))</f>
        <v/>
      </c>
      <c r="J816" s="6" t="str">
        <f aca="false">IF(B816&lt;Outliers!$E$7,"Low",IF(B816&gt;Outliers!$F$7,"High",""))</f>
        <v/>
      </c>
      <c r="K816" s="6" t="str">
        <f aca="false">IF(C816&lt;Outliers!$E$8,"Low",IF(C816&gt;Outliers!$F$8,"High",""))</f>
        <v/>
      </c>
      <c r="L816" s="6" t="str">
        <f aca="false">A816&amp;";"&amp;B816&amp;";"&amp;C816</f>
        <v>21.35499456;41.78219834;13.6633892998114</v>
      </c>
      <c r="M816" s="6" t="n">
        <f aca="false">IF(COUNTIF($L$2:$L$2201,L816)&gt;1,1,0)</f>
        <v>0</v>
      </c>
      <c r="N816" s="6" t="str">
        <f aca="false">IF(AND(C816&lt;Assumptions!$B$9,B816&lt;Assumptions!$B$10),"Irrigate Now",IF(AND(C816&gt;=Assumptions!$B$11,B816&gt;=Assumptions!$B$12),"No Irrigation Needed","Monitor"))</f>
        <v>Irrigate Now</v>
      </c>
      <c r="O816" s="6" t="n">
        <f aca="false">IF(N816=G816,1,0)</f>
        <v>1</v>
      </c>
    </row>
    <row r="817" customFormat="false" ht="15" hidden="false" customHeight="false" outlineLevel="0" collapsed="false">
      <c r="A817" s="16" t="n">
        <v>21.12695586</v>
      </c>
      <c r="B817" s="16" t="n">
        <v>38.71834464</v>
      </c>
      <c r="C817" s="16" t="n">
        <v>18.4923023218224</v>
      </c>
      <c r="D817" s="6" t="s">
        <v>57</v>
      </c>
      <c r="E817" s="6" t="s">
        <v>23</v>
      </c>
      <c r="F817" s="6" t="s">
        <v>24</v>
      </c>
      <c r="G817" s="6" t="s">
        <v>61</v>
      </c>
      <c r="H817" s="6" t="s">
        <v>63</v>
      </c>
      <c r="I817" s="6" t="str">
        <f aca="false">IF(A817&lt;Outliers!$E$6,"Low",IF(A817&gt;Outliers!$F$6,"High",""))</f>
        <v/>
      </c>
      <c r="J817" s="6" t="str">
        <f aca="false">IF(B817&lt;Outliers!$E$7,"Low",IF(B817&gt;Outliers!$F$7,"High",""))</f>
        <v/>
      </c>
      <c r="K817" s="6" t="str">
        <f aca="false">IF(C817&lt;Outliers!$E$8,"Low",IF(C817&gt;Outliers!$F$8,"High",""))</f>
        <v/>
      </c>
      <c r="L817" s="6" t="str">
        <f aca="false">A817&amp;";"&amp;B817&amp;";"&amp;C817</f>
        <v>21.12695586;38.71834464;18.4923023218224</v>
      </c>
      <c r="M817" s="6" t="n">
        <f aca="false">IF(COUNTIF($L$2:$L$2201,L817)&gt;1,1,0)</f>
        <v>0</v>
      </c>
      <c r="N817" s="6" t="str">
        <f aca="false">IF(AND(C817&lt;Assumptions!$B$9,B817&lt;Assumptions!$B$10),"Irrigate Now",IF(AND(C817&gt;=Assumptions!$B$11,B817&gt;=Assumptions!$B$12),"No Irrigation Needed","Monitor"))</f>
        <v>Monitor</v>
      </c>
      <c r="O817" s="6" t="n">
        <f aca="false">IF(N817=G817,1,0)</f>
        <v>1</v>
      </c>
    </row>
    <row r="818" customFormat="false" ht="15" hidden="false" customHeight="false" outlineLevel="0" collapsed="false">
      <c r="A818" s="16" t="n">
        <v>24.02037872</v>
      </c>
      <c r="B818" s="16" t="n">
        <v>49.78102578</v>
      </c>
      <c r="C818" s="16" t="n">
        <v>16.8840371409107</v>
      </c>
      <c r="D818" s="6" t="s">
        <v>57</v>
      </c>
      <c r="E818" s="6" t="s">
        <v>23</v>
      </c>
      <c r="F818" s="6" t="s">
        <v>24</v>
      </c>
      <c r="G818" s="6" t="s">
        <v>64</v>
      </c>
      <c r="H818" s="6" t="s">
        <v>65</v>
      </c>
      <c r="I818" s="6" t="str">
        <f aca="false">IF(A818&lt;Outliers!$E$6,"Low",IF(A818&gt;Outliers!$F$6,"High",""))</f>
        <v/>
      </c>
      <c r="J818" s="6" t="str">
        <f aca="false">IF(B818&lt;Outliers!$E$7,"Low",IF(B818&gt;Outliers!$F$7,"High",""))</f>
        <v/>
      </c>
      <c r="K818" s="6" t="str">
        <f aca="false">IF(C818&lt;Outliers!$E$8,"Low",IF(C818&gt;Outliers!$F$8,"High",""))</f>
        <v/>
      </c>
      <c r="L818" s="6" t="str">
        <f aca="false">A818&amp;";"&amp;B818&amp;";"&amp;C818</f>
        <v>24.02037872;49.78102578;16.8840371409107</v>
      </c>
      <c r="M818" s="6" t="n">
        <f aca="false">IF(COUNTIF($L$2:$L$2201,L818)&gt;1,1,0)</f>
        <v>0</v>
      </c>
      <c r="N818" s="6" t="str">
        <f aca="false">IF(AND(C818&lt;Assumptions!$B$9,B818&lt;Assumptions!$B$10),"Irrigate Now",IF(AND(C818&gt;=Assumptions!$B$11,B818&gt;=Assumptions!$B$12),"No Irrigation Needed","Monitor"))</f>
        <v>Irrigate Now</v>
      </c>
      <c r="O818" s="6" t="n">
        <f aca="false">IF(N818=G818,1,0)</f>
        <v>1</v>
      </c>
    </row>
    <row r="819" customFormat="false" ht="15" hidden="false" customHeight="false" outlineLevel="0" collapsed="false">
      <c r="A819" s="16" t="n">
        <v>25.40474421</v>
      </c>
      <c r="B819" s="16" t="n">
        <v>51.92057267</v>
      </c>
      <c r="C819" s="16" t="n">
        <v>22.0020191839405</v>
      </c>
      <c r="D819" s="6" t="s">
        <v>57</v>
      </c>
      <c r="E819" s="6" t="s">
        <v>57</v>
      </c>
      <c r="F819" s="6" t="s">
        <v>60</v>
      </c>
      <c r="G819" s="6" t="s">
        <v>61</v>
      </c>
      <c r="H819" s="6" t="s">
        <v>63</v>
      </c>
      <c r="I819" s="6" t="str">
        <f aca="false">IF(A819&lt;Outliers!$E$6,"Low",IF(A819&gt;Outliers!$F$6,"High",""))</f>
        <v/>
      </c>
      <c r="J819" s="6" t="str">
        <f aca="false">IF(B819&lt;Outliers!$E$7,"Low",IF(B819&gt;Outliers!$F$7,"High",""))</f>
        <v/>
      </c>
      <c r="K819" s="6" t="str">
        <f aca="false">IF(C819&lt;Outliers!$E$8,"Low",IF(C819&gt;Outliers!$F$8,"High",""))</f>
        <v/>
      </c>
      <c r="L819" s="6" t="str">
        <f aca="false">A819&amp;";"&amp;B819&amp;";"&amp;C819</f>
        <v>25.40474421;51.92057267;22.0020191839405</v>
      </c>
      <c r="M819" s="6" t="n">
        <f aca="false">IF(COUNTIF($L$2:$L$2201,L819)&gt;1,1,0)</f>
        <v>0</v>
      </c>
      <c r="N819" s="6" t="str">
        <f aca="false">IF(AND(C819&lt;Assumptions!$B$9,B819&lt;Assumptions!$B$10),"Irrigate Now",IF(AND(C819&gt;=Assumptions!$B$11,B819&gt;=Assumptions!$B$12),"No Irrigation Needed","Monitor"))</f>
        <v>Monitor</v>
      </c>
      <c r="O819" s="6" t="n">
        <f aca="false">IF(N819=G819,1,0)</f>
        <v>1</v>
      </c>
    </row>
    <row r="820" customFormat="false" ht="15" hidden="false" customHeight="false" outlineLevel="0" collapsed="false">
      <c r="A820" s="16" t="n">
        <v>29.03017561</v>
      </c>
      <c r="B820" s="16" t="n">
        <v>54.9393771</v>
      </c>
      <c r="C820" s="16" t="n">
        <v>28.9569461548109</v>
      </c>
      <c r="D820" s="6" t="s">
        <v>57</v>
      </c>
      <c r="E820" s="6" t="s">
        <v>57</v>
      </c>
      <c r="F820" s="6" t="s">
        <v>23</v>
      </c>
      <c r="G820" s="6" t="s">
        <v>61</v>
      </c>
      <c r="H820" s="6" t="s">
        <v>63</v>
      </c>
      <c r="I820" s="6" t="str">
        <f aca="false">IF(A820&lt;Outliers!$E$6,"Low",IF(A820&gt;Outliers!$F$6,"High",""))</f>
        <v/>
      </c>
      <c r="J820" s="6" t="str">
        <f aca="false">IF(B820&lt;Outliers!$E$7,"Low",IF(B820&gt;Outliers!$F$7,"High",""))</f>
        <v/>
      </c>
      <c r="K820" s="6" t="str">
        <f aca="false">IF(C820&lt;Outliers!$E$8,"Low",IF(C820&gt;Outliers!$F$8,"High",""))</f>
        <v/>
      </c>
      <c r="L820" s="6" t="str">
        <f aca="false">A820&amp;";"&amp;B820&amp;";"&amp;C820</f>
        <v>29.03017561;54.9393771;28.9569461548109</v>
      </c>
      <c r="M820" s="6" t="n">
        <f aca="false">IF(COUNTIF($L$2:$L$2201,L820)&gt;1,1,0)</f>
        <v>0</v>
      </c>
      <c r="N820" s="6" t="str">
        <f aca="false">IF(AND(C820&lt;Assumptions!$B$9,B820&lt;Assumptions!$B$10),"Irrigate Now",IF(AND(C820&gt;=Assumptions!$B$11,B820&gt;=Assumptions!$B$12),"No Irrigation Needed","Monitor"))</f>
        <v>Monitor</v>
      </c>
      <c r="O820" s="6" t="n">
        <f aca="false">IF(N820=G820,1,0)</f>
        <v>1</v>
      </c>
    </row>
    <row r="821" customFormat="false" ht="15" hidden="false" customHeight="false" outlineLevel="0" collapsed="false">
      <c r="A821" s="16" t="n">
        <v>20.21368219</v>
      </c>
      <c r="B821" s="16" t="n">
        <v>50.89732989</v>
      </c>
      <c r="C821" s="16" t="n">
        <v>27.8566355869147</v>
      </c>
      <c r="D821" s="6" t="s">
        <v>57</v>
      </c>
      <c r="E821" s="6" t="s">
        <v>57</v>
      </c>
      <c r="F821" s="6" t="s">
        <v>23</v>
      </c>
      <c r="G821" s="6" t="s">
        <v>61</v>
      </c>
      <c r="H821" s="6" t="s">
        <v>63</v>
      </c>
      <c r="I821" s="6" t="str">
        <f aca="false">IF(A821&lt;Outliers!$E$6,"Low",IF(A821&gt;Outliers!$F$6,"High",""))</f>
        <v/>
      </c>
      <c r="J821" s="6" t="str">
        <f aca="false">IF(B821&lt;Outliers!$E$7,"Low",IF(B821&gt;Outliers!$F$7,"High",""))</f>
        <v/>
      </c>
      <c r="K821" s="6" t="str">
        <f aca="false">IF(C821&lt;Outliers!$E$8,"Low",IF(C821&gt;Outliers!$F$8,"High",""))</f>
        <v/>
      </c>
      <c r="L821" s="6" t="str">
        <f aca="false">A821&amp;";"&amp;B821&amp;";"&amp;C821</f>
        <v>20.21368219;50.89732989;27.8566355869147</v>
      </c>
      <c r="M821" s="6" t="n">
        <f aca="false">IF(COUNTIF($L$2:$L$2201,L821)&gt;1,1,0)</f>
        <v>0</v>
      </c>
      <c r="N821" s="6" t="str">
        <f aca="false">IF(AND(C821&lt;Assumptions!$B$9,B821&lt;Assumptions!$B$10),"Irrigate Now",IF(AND(C821&gt;=Assumptions!$B$11,B821&gt;=Assumptions!$B$12),"No Irrigation Needed","Monitor"))</f>
        <v>Monitor</v>
      </c>
      <c r="O821" s="6" t="n">
        <f aca="false">IF(N821=G821,1,0)</f>
        <v>1</v>
      </c>
    </row>
    <row r="822" customFormat="false" ht="15" hidden="false" customHeight="false" outlineLevel="0" collapsed="false">
      <c r="A822" s="16" t="n">
        <v>29.19585548</v>
      </c>
      <c r="B822" s="16" t="n">
        <v>44.93261911</v>
      </c>
      <c r="C822" s="16" t="n">
        <v>12.8252850714942</v>
      </c>
      <c r="D822" s="6" t="s">
        <v>57</v>
      </c>
      <c r="E822" s="6" t="s">
        <v>23</v>
      </c>
      <c r="F822" s="6" t="s">
        <v>24</v>
      </c>
      <c r="G822" s="6" t="s">
        <v>64</v>
      </c>
      <c r="H822" s="6" t="s">
        <v>65</v>
      </c>
      <c r="I822" s="6" t="str">
        <f aca="false">IF(A822&lt;Outliers!$E$6,"Low",IF(A822&gt;Outliers!$F$6,"High",""))</f>
        <v/>
      </c>
      <c r="J822" s="6" t="str">
        <f aca="false">IF(B822&lt;Outliers!$E$7,"Low",IF(B822&gt;Outliers!$F$7,"High",""))</f>
        <v/>
      </c>
      <c r="K822" s="6" t="str">
        <f aca="false">IF(C822&lt;Outliers!$E$8,"Low",IF(C822&gt;Outliers!$F$8,"High",""))</f>
        <v/>
      </c>
      <c r="L822" s="6" t="str">
        <f aca="false">A822&amp;";"&amp;B822&amp;";"&amp;C822</f>
        <v>29.19585548;44.93261911;12.8252850714942</v>
      </c>
      <c r="M822" s="6" t="n">
        <f aca="false">IF(COUNTIF($L$2:$L$2201,L822)&gt;1,1,0)</f>
        <v>0</v>
      </c>
      <c r="N822" s="6" t="str">
        <f aca="false">IF(AND(C822&lt;Assumptions!$B$9,B822&lt;Assumptions!$B$10),"Irrigate Now",IF(AND(C822&gt;=Assumptions!$B$11,B822&gt;=Assumptions!$B$12),"No Irrigation Needed","Monitor"))</f>
        <v>Irrigate Now</v>
      </c>
      <c r="O822" s="6" t="n">
        <f aca="false">IF(N822=G822,1,0)</f>
        <v>1</v>
      </c>
    </row>
    <row r="823" customFormat="false" ht="15" hidden="false" customHeight="false" outlineLevel="0" collapsed="false">
      <c r="A823" s="16" t="n">
        <v>18.29783597</v>
      </c>
      <c r="B823" s="16" t="n">
        <v>49.39111479</v>
      </c>
      <c r="C823" s="16" t="n">
        <v>15.1672637943977</v>
      </c>
      <c r="D823" s="6" t="s">
        <v>66</v>
      </c>
      <c r="E823" s="6" t="s">
        <v>23</v>
      </c>
      <c r="F823" s="6" t="s">
        <v>24</v>
      </c>
      <c r="G823" s="6" t="s">
        <v>64</v>
      </c>
      <c r="H823" s="6" t="s">
        <v>65</v>
      </c>
      <c r="I823" s="6" t="str">
        <f aca="false">IF(A823&lt;Outliers!$E$6,"Low",IF(A823&gt;Outliers!$F$6,"High",""))</f>
        <v/>
      </c>
      <c r="J823" s="6" t="str">
        <f aca="false">IF(B823&lt;Outliers!$E$7,"Low",IF(B823&gt;Outliers!$F$7,"High",""))</f>
        <v/>
      </c>
      <c r="K823" s="6" t="str">
        <f aca="false">IF(C823&lt;Outliers!$E$8,"Low",IF(C823&gt;Outliers!$F$8,"High",""))</f>
        <v/>
      </c>
      <c r="L823" s="6" t="str">
        <f aca="false">A823&amp;";"&amp;B823&amp;";"&amp;C823</f>
        <v>18.29783597;49.39111479;15.1672637943977</v>
      </c>
      <c r="M823" s="6" t="n">
        <f aca="false">IF(COUNTIF($L$2:$L$2201,L823)&gt;1,1,0)</f>
        <v>0</v>
      </c>
      <c r="N823" s="6" t="str">
        <f aca="false">IF(AND(C823&lt;Assumptions!$B$9,B823&lt;Assumptions!$B$10),"Irrigate Now",IF(AND(C823&gt;=Assumptions!$B$11,B823&gt;=Assumptions!$B$12),"No Irrigation Needed","Monitor"))</f>
        <v>Irrigate Now</v>
      </c>
      <c r="O823" s="6" t="n">
        <f aca="false">IF(N823=G823,1,0)</f>
        <v>1</v>
      </c>
    </row>
    <row r="824" customFormat="false" ht="15" hidden="false" customHeight="false" outlineLevel="0" collapsed="false">
      <c r="A824" s="16" t="n">
        <v>27.41434987</v>
      </c>
      <c r="B824" s="16" t="n">
        <v>44.43177543</v>
      </c>
      <c r="C824" s="16" t="n">
        <v>26.1882130834983</v>
      </c>
      <c r="D824" s="6" t="s">
        <v>57</v>
      </c>
      <c r="E824" s="6" t="s">
        <v>23</v>
      </c>
      <c r="F824" s="6" t="s">
        <v>60</v>
      </c>
      <c r="G824" s="6" t="s">
        <v>61</v>
      </c>
      <c r="H824" s="6" t="s">
        <v>63</v>
      </c>
      <c r="I824" s="6" t="str">
        <f aca="false">IF(A824&lt;Outliers!$E$6,"Low",IF(A824&gt;Outliers!$F$6,"High",""))</f>
        <v/>
      </c>
      <c r="J824" s="6" t="str">
        <f aca="false">IF(B824&lt;Outliers!$E$7,"Low",IF(B824&gt;Outliers!$F$7,"High",""))</f>
        <v/>
      </c>
      <c r="K824" s="6" t="str">
        <f aca="false">IF(C824&lt;Outliers!$E$8,"Low",IF(C824&gt;Outliers!$F$8,"High",""))</f>
        <v/>
      </c>
      <c r="L824" s="6" t="str">
        <f aca="false">A824&amp;";"&amp;B824&amp;";"&amp;C824</f>
        <v>27.41434987;44.43177543;26.1882130834983</v>
      </c>
      <c r="M824" s="6" t="n">
        <f aca="false">IF(COUNTIF($L$2:$L$2201,L824)&gt;1,1,0)</f>
        <v>0</v>
      </c>
      <c r="N824" s="6" t="str">
        <f aca="false">IF(AND(C824&lt;Assumptions!$B$9,B824&lt;Assumptions!$B$10),"Irrigate Now",IF(AND(C824&gt;=Assumptions!$B$11,B824&gt;=Assumptions!$B$12),"No Irrigation Needed","Monitor"))</f>
        <v>Monitor</v>
      </c>
      <c r="O824" s="6" t="n">
        <f aca="false">IF(N824=G824,1,0)</f>
        <v>1</v>
      </c>
    </row>
    <row r="825" customFormat="false" ht="15" hidden="false" customHeight="false" outlineLevel="0" collapsed="false">
      <c r="A825" s="16" t="n">
        <v>24.84063998</v>
      </c>
      <c r="B825" s="16" t="n">
        <v>48.77790371</v>
      </c>
      <c r="C825" s="16" t="n">
        <v>22.3998366233723</v>
      </c>
      <c r="D825" s="6" t="s">
        <v>57</v>
      </c>
      <c r="E825" s="6" t="s">
        <v>23</v>
      </c>
      <c r="F825" s="6" t="s">
        <v>60</v>
      </c>
      <c r="G825" s="6" t="s">
        <v>61</v>
      </c>
      <c r="H825" s="6" t="s">
        <v>63</v>
      </c>
      <c r="I825" s="6" t="str">
        <f aca="false">IF(A825&lt;Outliers!$E$6,"Low",IF(A825&gt;Outliers!$F$6,"High",""))</f>
        <v/>
      </c>
      <c r="J825" s="6" t="str">
        <f aca="false">IF(B825&lt;Outliers!$E$7,"Low",IF(B825&gt;Outliers!$F$7,"High",""))</f>
        <v/>
      </c>
      <c r="K825" s="6" t="str">
        <f aca="false">IF(C825&lt;Outliers!$E$8,"Low",IF(C825&gt;Outliers!$F$8,"High",""))</f>
        <v/>
      </c>
      <c r="L825" s="6" t="str">
        <f aca="false">A825&amp;";"&amp;B825&amp;";"&amp;C825</f>
        <v>24.84063998;48.77790371;22.3998366233723</v>
      </c>
      <c r="M825" s="6" t="n">
        <f aca="false">IF(COUNTIF($L$2:$L$2201,L825)&gt;1,1,0)</f>
        <v>0</v>
      </c>
      <c r="N825" s="6" t="str">
        <f aca="false">IF(AND(C825&lt;Assumptions!$B$9,B825&lt;Assumptions!$B$10),"Irrigate Now",IF(AND(C825&gt;=Assumptions!$B$11,B825&gt;=Assumptions!$B$12),"No Irrigation Needed","Monitor"))</f>
        <v>Monitor</v>
      </c>
      <c r="O825" s="6" t="n">
        <f aca="false">IF(N825=G825,1,0)</f>
        <v>1</v>
      </c>
    </row>
    <row r="826" customFormat="false" ht="15" hidden="false" customHeight="false" outlineLevel="0" collapsed="false">
      <c r="A826" s="16" t="n">
        <v>29.94413861</v>
      </c>
      <c r="B826" s="16" t="n">
        <v>40.37113729</v>
      </c>
      <c r="C826" s="16" t="n">
        <v>22.9405178569032</v>
      </c>
      <c r="D826" s="6" t="s">
        <v>57</v>
      </c>
      <c r="E826" s="6" t="s">
        <v>23</v>
      </c>
      <c r="F826" s="6" t="s">
        <v>60</v>
      </c>
      <c r="G826" s="6" t="s">
        <v>61</v>
      </c>
      <c r="H826" s="6" t="s">
        <v>63</v>
      </c>
      <c r="I826" s="6" t="str">
        <f aca="false">IF(A826&lt;Outliers!$E$6,"Low",IF(A826&gt;Outliers!$F$6,"High",""))</f>
        <v/>
      </c>
      <c r="J826" s="6" t="str">
        <f aca="false">IF(B826&lt;Outliers!$E$7,"Low",IF(B826&gt;Outliers!$F$7,"High",""))</f>
        <v/>
      </c>
      <c r="K826" s="6" t="str">
        <f aca="false">IF(C826&lt;Outliers!$E$8,"Low",IF(C826&gt;Outliers!$F$8,"High",""))</f>
        <v/>
      </c>
      <c r="L826" s="6" t="str">
        <f aca="false">A826&amp;";"&amp;B826&amp;";"&amp;C826</f>
        <v>29.94413861;40.37113729;22.9405178569032</v>
      </c>
      <c r="M826" s="6" t="n">
        <f aca="false">IF(COUNTIF($L$2:$L$2201,L826)&gt;1,1,0)</f>
        <v>0</v>
      </c>
      <c r="N826" s="6" t="str">
        <f aca="false">IF(AND(C826&lt;Assumptions!$B$9,B826&lt;Assumptions!$B$10),"Irrigate Now",IF(AND(C826&gt;=Assumptions!$B$11,B826&gt;=Assumptions!$B$12),"No Irrigation Needed","Monitor"))</f>
        <v>Monitor</v>
      </c>
      <c r="O826" s="6" t="n">
        <f aca="false">IF(N826=G826,1,0)</f>
        <v>1</v>
      </c>
    </row>
    <row r="827" customFormat="false" ht="15" hidden="false" customHeight="false" outlineLevel="0" collapsed="false">
      <c r="A827" s="16" t="n">
        <v>25.87990287</v>
      </c>
      <c r="B827" s="16" t="n">
        <v>47.89645224</v>
      </c>
      <c r="C827" s="16" t="n">
        <v>20.9111409342448</v>
      </c>
      <c r="D827" s="6" t="s">
        <v>57</v>
      </c>
      <c r="E827" s="6" t="s">
        <v>23</v>
      </c>
      <c r="F827" s="6" t="s">
        <v>60</v>
      </c>
      <c r="G827" s="6" t="s">
        <v>61</v>
      </c>
      <c r="H827" s="6" t="s">
        <v>63</v>
      </c>
      <c r="I827" s="6" t="str">
        <f aca="false">IF(A827&lt;Outliers!$E$6,"Low",IF(A827&gt;Outliers!$F$6,"High",""))</f>
        <v/>
      </c>
      <c r="J827" s="6" t="str">
        <f aca="false">IF(B827&lt;Outliers!$E$7,"Low",IF(B827&gt;Outliers!$F$7,"High",""))</f>
        <v/>
      </c>
      <c r="K827" s="6" t="str">
        <f aca="false">IF(C827&lt;Outliers!$E$8,"Low",IF(C827&gt;Outliers!$F$8,"High",""))</f>
        <v/>
      </c>
      <c r="L827" s="6" t="str">
        <f aca="false">A827&amp;";"&amp;B827&amp;";"&amp;C827</f>
        <v>25.87990287;47.89645224;20.9111409342448</v>
      </c>
      <c r="M827" s="6" t="n">
        <f aca="false">IF(COUNTIF($L$2:$L$2201,L827)&gt;1,1,0)</f>
        <v>0</v>
      </c>
      <c r="N827" s="6" t="str">
        <f aca="false">IF(AND(C827&lt;Assumptions!$B$9,B827&lt;Assumptions!$B$10),"Irrigate Now",IF(AND(C827&gt;=Assumptions!$B$11,B827&gt;=Assumptions!$B$12),"No Irrigation Needed","Monitor"))</f>
        <v>Monitor</v>
      </c>
      <c r="O827" s="6" t="n">
        <f aca="false">IF(N827=G827,1,0)</f>
        <v>1</v>
      </c>
    </row>
    <row r="828" customFormat="false" ht="15" hidden="false" customHeight="false" outlineLevel="0" collapsed="false">
      <c r="A828" s="16" t="n">
        <v>20.0467711</v>
      </c>
      <c r="B828" s="16" t="n">
        <v>46.05333124</v>
      </c>
      <c r="C828" s="16" t="n">
        <v>20.3592437977825</v>
      </c>
      <c r="D828" s="6" t="s">
        <v>57</v>
      </c>
      <c r="E828" s="6" t="s">
        <v>23</v>
      </c>
      <c r="F828" s="6" t="s">
        <v>60</v>
      </c>
      <c r="G828" s="6" t="s">
        <v>61</v>
      </c>
      <c r="H828" s="6" t="s">
        <v>63</v>
      </c>
      <c r="I828" s="6" t="str">
        <f aca="false">IF(A828&lt;Outliers!$E$6,"Low",IF(A828&gt;Outliers!$F$6,"High",""))</f>
        <v/>
      </c>
      <c r="J828" s="6" t="str">
        <f aca="false">IF(B828&lt;Outliers!$E$7,"Low",IF(B828&gt;Outliers!$F$7,"High",""))</f>
        <v/>
      </c>
      <c r="K828" s="6" t="str">
        <f aca="false">IF(C828&lt;Outliers!$E$8,"Low",IF(C828&gt;Outliers!$F$8,"High",""))</f>
        <v/>
      </c>
      <c r="L828" s="6" t="str">
        <f aca="false">A828&amp;";"&amp;B828&amp;";"&amp;C828</f>
        <v>20.0467711;46.05333124;20.3592437977825</v>
      </c>
      <c r="M828" s="6" t="n">
        <f aca="false">IF(COUNTIF($L$2:$L$2201,L828)&gt;1,1,0)</f>
        <v>0</v>
      </c>
      <c r="N828" s="6" t="str">
        <f aca="false">IF(AND(C828&lt;Assumptions!$B$9,B828&lt;Assumptions!$B$10),"Irrigate Now",IF(AND(C828&gt;=Assumptions!$B$11,B828&gt;=Assumptions!$B$12),"No Irrigation Needed","Monitor"))</f>
        <v>Monitor</v>
      </c>
      <c r="O828" s="6" t="n">
        <f aca="false">IF(N828=G828,1,0)</f>
        <v>1</v>
      </c>
    </row>
    <row r="829" customFormat="false" ht="15" hidden="false" customHeight="false" outlineLevel="0" collapsed="false">
      <c r="A829" s="16" t="n">
        <v>22.99451999</v>
      </c>
      <c r="B829" s="16" t="n">
        <v>54.49044154</v>
      </c>
      <c r="C829" s="16" t="n">
        <v>24.8648790558252</v>
      </c>
      <c r="D829" s="6" t="s">
        <v>57</v>
      </c>
      <c r="E829" s="6" t="s">
        <v>57</v>
      </c>
      <c r="F829" s="6" t="s">
        <v>60</v>
      </c>
      <c r="G829" s="6" t="s">
        <v>61</v>
      </c>
      <c r="H829" s="6" t="s">
        <v>63</v>
      </c>
      <c r="I829" s="6" t="str">
        <f aca="false">IF(A829&lt;Outliers!$E$6,"Low",IF(A829&gt;Outliers!$F$6,"High",""))</f>
        <v/>
      </c>
      <c r="J829" s="6" t="str">
        <f aca="false">IF(B829&lt;Outliers!$E$7,"Low",IF(B829&gt;Outliers!$F$7,"High",""))</f>
        <v/>
      </c>
      <c r="K829" s="6" t="str">
        <f aca="false">IF(C829&lt;Outliers!$E$8,"Low",IF(C829&gt;Outliers!$F$8,"High",""))</f>
        <v/>
      </c>
      <c r="L829" s="6" t="str">
        <f aca="false">A829&amp;";"&amp;B829&amp;";"&amp;C829</f>
        <v>22.99451999;54.49044154;24.8648790558252</v>
      </c>
      <c r="M829" s="6" t="n">
        <f aca="false">IF(COUNTIF($L$2:$L$2201,L829)&gt;1,1,0)</f>
        <v>0</v>
      </c>
      <c r="N829" s="6" t="str">
        <f aca="false">IF(AND(C829&lt;Assumptions!$B$9,B829&lt;Assumptions!$B$10),"Irrigate Now",IF(AND(C829&gt;=Assumptions!$B$11,B829&gt;=Assumptions!$B$12),"No Irrigation Needed","Monitor"))</f>
        <v>Monitor</v>
      </c>
      <c r="O829" s="6" t="n">
        <f aca="false">IF(N829=G829,1,0)</f>
        <v>1</v>
      </c>
    </row>
    <row r="830" customFormat="false" ht="15" hidden="false" customHeight="false" outlineLevel="0" collapsed="false">
      <c r="A830" s="16" t="n">
        <v>25.13163619</v>
      </c>
      <c r="B830" s="16" t="n">
        <v>49.04015558</v>
      </c>
      <c r="C830" s="16" t="n">
        <v>21.4755712326573</v>
      </c>
      <c r="D830" s="6" t="s">
        <v>57</v>
      </c>
      <c r="E830" s="6" t="s">
        <v>23</v>
      </c>
      <c r="F830" s="6" t="s">
        <v>60</v>
      </c>
      <c r="G830" s="6" t="s">
        <v>61</v>
      </c>
      <c r="H830" s="6" t="s">
        <v>63</v>
      </c>
      <c r="I830" s="6" t="str">
        <f aca="false">IF(A830&lt;Outliers!$E$6,"Low",IF(A830&gt;Outliers!$F$6,"High",""))</f>
        <v/>
      </c>
      <c r="J830" s="6" t="str">
        <f aca="false">IF(B830&lt;Outliers!$E$7,"Low",IF(B830&gt;Outliers!$F$7,"High",""))</f>
        <v/>
      </c>
      <c r="K830" s="6" t="str">
        <f aca="false">IF(C830&lt;Outliers!$E$8,"Low",IF(C830&gt;Outliers!$F$8,"High",""))</f>
        <v/>
      </c>
      <c r="L830" s="6" t="str">
        <f aca="false">A830&amp;";"&amp;B830&amp;";"&amp;C830</f>
        <v>25.13163619;49.04015558;21.4755712326573</v>
      </c>
      <c r="M830" s="6" t="n">
        <f aca="false">IF(COUNTIF($L$2:$L$2201,L830)&gt;1,1,0)</f>
        <v>0</v>
      </c>
      <c r="N830" s="6" t="str">
        <f aca="false">IF(AND(C830&lt;Assumptions!$B$9,B830&lt;Assumptions!$B$10),"Irrigate Now",IF(AND(C830&gt;=Assumptions!$B$11,B830&gt;=Assumptions!$B$12),"No Irrigation Needed","Monitor"))</f>
        <v>Monitor</v>
      </c>
      <c r="O830" s="6" t="n">
        <f aca="false">IF(N830=G830,1,0)</f>
        <v>1</v>
      </c>
    </row>
    <row r="831" customFormat="false" ht="15" hidden="false" customHeight="false" outlineLevel="0" collapsed="false">
      <c r="A831" s="16" t="n">
        <v>28.49584395</v>
      </c>
      <c r="B831" s="16" t="n">
        <v>53.14531023</v>
      </c>
      <c r="C831" s="16" t="n">
        <v>20.5452022138806</v>
      </c>
      <c r="D831" s="6" t="s">
        <v>57</v>
      </c>
      <c r="E831" s="6" t="s">
        <v>57</v>
      </c>
      <c r="F831" s="6" t="s">
        <v>60</v>
      </c>
      <c r="G831" s="6" t="s">
        <v>61</v>
      </c>
      <c r="H831" s="6" t="s">
        <v>63</v>
      </c>
      <c r="I831" s="6" t="str">
        <f aca="false">IF(A831&lt;Outliers!$E$6,"Low",IF(A831&gt;Outliers!$F$6,"High",""))</f>
        <v/>
      </c>
      <c r="J831" s="6" t="str">
        <f aca="false">IF(B831&lt;Outliers!$E$7,"Low",IF(B831&gt;Outliers!$F$7,"High",""))</f>
        <v/>
      </c>
      <c r="K831" s="6" t="str">
        <f aca="false">IF(C831&lt;Outliers!$E$8,"Low",IF(C831&gt;Outliers!$F$8,"High",""))</f>
        <v/>
      </c>
      <c r="L831" s="6" t="str">
        <f aca="false">A831&amp;";"&amp;B831&amp;";"&amp;C831</f>
        <v>28.49584395;53.14531023;20.5452022138806</v>
      </c>
      <c r="M831" s="6" t="n">
        <f aca="false">IF(COUNTIF($L$2:$L$2201,L831)&gt;1,1,0)</f>
        <v>0</v>
      </c>
      <c r="N831" s="6" t="str">
        <f aca="false">IF(AND(C831&lt;Assumptions!$B$9,B831&lt;Assumptions!$B$10),"Irrigate Now",IF(AND(C831&gt;=Assumptions!$B$11,B831&gt;=Assumptions!$B$12),"No Irrigation Needed","Monitor"))</f>
        <v>Monitor</v>
      </c>
      <c r="O831" s="6" t="n">
        <f aca="false">IF(N831=G831,1,0)</f>
        <v>1</v>
      </c>
    </row>
    <row r="832" customFormat="false" ht="15" hidden="false" customHeight="false" outlineLevel="0" collapsed="false">
      <c r="A832" s="16" t="n">
        <v>18.28766124</v>
      </c>
      <c r="B832" s="16" t="n">
        <v>48.60449438</v>
      </c>
      <c r="C832" s="16" t="n">
        <v>16.2096832958445</v>
      </c>
      <c r="D832" s="6" t="s">
        <v>66</v>
      </c>
      <c r="E832" s="6" t="s">
        <v>23</v>
      </c>
      <c r="F832" s="6" t="s">
        <v>24</v>
      </c>
      <c r="G832" s="6" t="s">
        <v>64</v>
      </c>
      <c r="H832" s="6" t="s">
        <v>65</v>
      </c>
      <c r="I832" s="6" t="str">
        <f aca="false">IF(A832&lt;Outliers!$E$6,"Low",IF(A832&gt;Outliers!$F$6,"High",""))</f>
        <v/>
      </c>
      <c r="J832" s="6" t="str">
        <f aca="false">IF(B832&lt;Outliers!$E$7,"Low",IF(B832&gt;Outliers!$F$7,"High",""))</f>
        <v/>
      </c>
      <c r="K832" s="6" t="str">
        <f aca="false">IF(C832&lt;Outliers!$E$8,"Low",IF(C832&gt;Outliers!$F$8,"High",""))</f>
        <v/>
      </c>
      <c r="L832" s="6" t="str">
        <f aca="false">A832&amp;";"&amp;B832&amp;";"&amp;C832</f>
        <v>18.28766124;48.60449438;16.2096832958445</v>
      </c>
      <c r="M832" s="6" t="n">
        <f aca="false">IF(COUNTIF($L$2:$L$2201,L832)&gt;1,1,0)</f>
        <v>0</v>
      </c>
      <c r="N832" s="6" t="str">
        <f aca="false">IF(AND(C832&lt;Assumptions!$B$9,B832&lt;Assumptions!$B$10),"Irrigate Now",IF(AND(C832&gt;=Assumptions!$B$11,B832&gt;=Assumptions!$B$12),"No Irrigation Needed","Monitor"))</f>
        <v>Irrigate Now</v>
      </c>
      <c r="O832" s="6" t="n">
        <f aca="false">IF(N832=G832,1,0)</f>
        <v>1</v>
      </c>
    </row>
    <row r="833" customFormat="false" ht="15" hidden="false" customHeight="false" outlineLevel="0" collapsed="false">
      <c r="A833" s="16" t="n">
        <v>24.38041875</v>
      </c>
      <c r="B833" s="16" t="n">
        <v>53.13946695</v>
      </c>
      <c r="C833" s="16" t="n">
        <v>29.0455364646929</v>
      </c>
      <c r="D833" s="6" t="s">
        <v>57</v>
      </c>
      <c r="E833" s="6" t="s">
        <v>57</v>
      </c>
      <c r="F833" s="6" t="s">
        <v>23</v>
      </c>
      <c r="G833" s="6" t="s">
        <v>61</v>
      </c>
      <c r="H833" s="6" t="s">
        <v>63</v>
      </c>
      <c r="I833" s="6" t="str">
        <f aca="false">IF(A833&lt;Outliers!$E$6,"Low",IF(A833&gt;Outliers!$F$6,"High",""))</f>
        <v/>
      </c>
      <c r="J833" s="6" t="str">
        <f aca="false">IF(B833&lt;Outliers!$E$7,"Low",IF(B833&gt;Outliers!$F$7,"High",""))</f>
        <v/>
      </c>
      <c r="K833" s="6" t="str">
        <f aca="false">IF(C833&lt;Outliers!$E$8,"Low",IF(C833&gt;Outliers!$F$8,"High",""))</f>
        <v/>
      </c>
      <c r="L833" s="6" t="str">
        <f aca="false">A833&amp;";"&amp;B833&amp;";"&amp;C833</f>
        <v>24.38041875;53.13946695;29.0455364646929</v>
      </c>
      <c r="M833" s="6" t="n">
        <f aca="false">IF(COUNTIF($L$2:$L$2201,L833)&gt;1,1,0)</f>
        <v>0</v>
      </c>
      <c r="N833" s="6" t="str">
        <f aca="false">IF(AND(C833&lt;Assumptions!$B$9,B833&lt;Assumptions!$B$10),"Irrigate Now",IF(AND(C833&gt;=Assumptions!$B$11,B833&gt;=Assumptions!$B$12),"No Irrigation Needed","Monitor"))</f>
        <v>Monitor</v>
      </c>
      <c r="O833" s="6" t="n">
        <f aca="false">IF(N833=G833,1,0)</f>
        <v>1</v>
      </c>
    </row>
    <row r="834" customFormat="false" ht="15" hidden="false" customHeight="false" outlineLevel="0" collapsed="false">
      <c r="A834" s="16" t="n">
        <v>21.31852148</v>
      </c>
      <c r="B834" s="16" t="n">
        <v>45.42616802</v>
      </c>
      <c r="C834" s="16" t="n">
        <v>21.199323146876</v>
      </c>
      <c r="D834" s="6" t="s">
        <v>57</v>
      </c>
      <c r="E834" s="6" t="s">
        <v>23</v>
      </c>
      <c r="F834" s="6" t="s">
        <v>60</v>
      </c>
      <c r="G834" s="6" t="s">
        <v>61</v>
      </c>
      <c r="H834" s="6" t="s">
        <v>63</v>
      </c>
      <c r="I834" s="6" t="str">
        <f aca="false">IF(A834&lt;Outliers!$E$6,"Low",IF(A834&gt;Outliers!$F$6,"High",""))</f>
        <v/>
      </c>
      <c r="J834" s="6" t="str">
        <f aca="false">IF(B834&lt;Outliers!$E$7,"Low",IF(B834&gt;Outliers!$F$7,"High",""))</f>
        <v/>
      </c>
      <c r="K834" s="6" t="str">
        <f aca="false">IF(C834&lt;Outliers!$E$8,"Low",IF(C834&gt;Outliers!$F$8,"High",""))</f>
        <v/>
      </c>
      <c r="L834" s="6" t="str">
        <f aca="false">A834&amp;";"&amp;B834&amp;";"&amp;C834</f>
        <v>21.31852148;45.42616802;21.199323146876</v>
      </c>
      <c r="M834" s="6" t="n">
        <f aca="false">IF(COUNTIF($L$2:$L$2201,L834)&gt;1,1,0)</f>
        <v>0</v>
      </c>
      <c r="N834" s="6" t="str">
        <f aca="false">IF(AND(C834&lt;Assumptions!$B$9,B834&lt;Assumptions!$B$10),"Irrigate Now",IF(AND(C834&gt;=Assumptions!$B$11,B834&gt;=Assumptions!$B$12),"No Irrigation Needed","Monitor"))</f>
        <v>Monitor</v>
      </c>
      <c r="O834" s="6" t="n">
        <f aca="false">IF(N834=G834,1,0)</f>
        <v>1</v>
      </c>
    </row>
    <row r="835" customFormat="false" ht="15" hidden="false" customHeight="false" outlineLevel="0" collapsed="false">
      <c r="A835" s="16" t="n">
        <v>18.54141834</v>
      </c>
      <c r="B835" s="16" t="n">
        <v>44.07819743</v>
      </c>
      <c r="C835" s="16" t="n">
        <v>11.619596564199</v>
      </c>
      <c r="D835" s="6" t="s">
        <v>66</v>
      </c>
      <c r="E835" s="6" t="s">
        <v>23</v>
      </c>
      <c r="F835" s="6" t="s">
        <v>24</v>
      </c>
      <c r="G835" s="6" t="s">
        <v>64</v>
      </c>
      <c r="H835" s="6" t="s">
        <v>65</v>
      </c>
      <c r="I835" s="6" t="str">
        <f aca="false">IF(A835&lt;Outliers!$E$6,"Low",IF(A835&gt;Outliers!$F$6,"High",""))</f>
        <v/>
      </c>
      <c r="J835" s="6" t="str">
        <f aca="false">IF(B835&lt;Outliers!$E$7,"Low",IF(B835&gt;Outliers!$F$7,"High",""))</f>
        <v/>
      </c>
      <c r="K835" s="6" t="str">
        <f aca="false">IF(C835&lt;Outliers!$E$8,"Low",IF(C835&gt;Outliers!$F$8,"High",""))</f>
        <v/>
      </c>
      <c r="L835" s="6" t="str">
        <f aca="false">A835&amp;";"&amp;B835&amp;";"&amp;C835</f>
        <v>18.54141834;44.07819743;11.619596564199</v>
      </c>
      <c r="M835" s="6" t="n">
        <f aca="false">IF(COUNTIF($L$2:$L$2201,L835)&gt;1,1,0)</f>
        <v>0</v>
      </c>
      <c r="N835" s="6" t="str">
        <f aca="false">IF(AND(C835&lt;Assumptions!$B$9,B835&lt;Assumptions!$B$10),"Irrigate Now",IF(AND(C835&gt;=Assumptions!$B$11,B835&gt;=Assumptions!$B$12),"No Irrigation Needed","Monitor"))</f>
        <v>Irrigate Now</v>
      </c>
      <c r="O835" s="6" t="n">
        <f aca="false">IF(N835=G835,1,0)</f>
        <v>1</v>
      </c>
    </row>
    <row r="836" customFormat="false" ht="15" hidden="false" customHeight="false" outlineLevel="0" collapsed="false">
      <c r="A836" s="16" t="n">
        <v>25.28710601</v>
      </c>
      <c r="B836" s="16" t="n">
        <v>49.37369982</v>
      </c>
      <c r="C836" s="16" t="n">
        <v>10.9368840555175</v>
      </c>
      <c r="D836" s="6" t="s">
        <v>57</v>
      </c>
      <c r="E836" s="6" t="s">
        <v>23</v>
      </c>
      <c r="F836" s="6" t="s">
        <v>24</v>
      </c>
      <c r="G836" s="6" t="s">
        <v>64</v>
      </c>
      <c r="H836" s="6" t="s">
        <v>65</v>
      </c>
      <c r="I836" s="6" t="str">
        <f aca="false">IF(A836&lt;Outliers!$E$6,"Low",IF(A836&gt;Outliers!$F$6,"High",""))</f>
        <v/>
      </c>
      <c r="J836" s="6" t="str">
        <f aca="false">IF(B836&lt;Outliers!$E$7,"Low",IF(B836&gt;Outliers!$F$7,"High",""))</f>
        <v/>
      </c>
      <c r="K836" s="6" t="str">
        <f aca="false">IF(C836&lt;Outliers!$E$8,"Low",IF(C836&gt;Outliers!$F$8,"High",""))</f>
        <v/>
      </c>
      <c r="L836" s="6" t="str">
        <f aca="false">A836&amp;";"&amp;B836&amp;";"&amp;C836</f>
        <v>25.28710601;49.37369982;10.9368840555175</v>
      </c>
      <c r="M836" s="6" t="n">
        <f aca="false">IF(COUNTIF($L$2:$L$2201,L836)&gt;1,1,0)</f>
        <v>0</v>
      </c>
      <c r="N836" s="6" t="str">
        <f aca="false">IF(AND(C836&lt;Assumptions!$B$9,B836&lt;Assumptions!$B$10),"Irrigate Now",IF(AND(C836&gt;=Assumptions!$B$11,B836&gt;=Assumptions!$B$12),"No Irrigation Needed","Monitor"))</f>
        <v>Irrigate Now</v>
      </c>
      <c r="O836" s="6" t="n">
        <f aca="false">IF(N836=G836,1,0)</f>
        <v>1</v>
      </c>
    </row>
    <row r="837" customFormat="false" ht="15" hidden="false" customHeight="false" outlineLevel="0" collapsed="false">
      <c r="A837" s="16" t="n">
        <v>25.43459777</v>
      </c>
      <c r="B837" s="16" t="n">
        <v>41.02682925</v>
      </c>
      <c r="C837" s="16" t="n">
        <v>10.668559319783</v>
      </c>
      <c r="D837" s="6" t="s">
        <v>57</v>
      </c>
      <c r="E837" s="6" t="s">
        <v>23</v>
      </c>
      <c r="F837" s="6" t="s">
        <v>24</v>
      </c>
      <c r="G837" s="6" t="s">
        <v>64</v>
      </c>
      <c r="H837" s="6" t="s">
        <v>65</v>
      </c>
      <c r="I837" s="6" t="str">
        <f aca="false">IF(A837&lt;Outliers!$E$6,"Low",IF(A837&gt;Outliers!$F$6,"High",""))</f>
        <v/>
      </c>
      <c r="J837" s="6" t="str">
        <f aca="false">IF(B837&lt;Outliers!$E$7,"Low",IF(B837&gt;Outliers!$F$7,"High",""))</f>
        <v/>
      </c>
      <c r="K837" s="6" t="str">
        <f aca="false">IF(C837&lt;Outliers!$E$8,"Low",IF(C837&gt;Outliers!$F$8,"High",""))</f>
        <v/>
      </c>
      <c r="L837" s="6" t="str">
        <f aca="false">A837&amp;";"&amp;B837&amp;";"&amp;C837</f>
        <v>25.43459777;41.02682925;10.668559319783</v>
      </c>
      <c r="M837" s="6" t="n">
        <f aca="false">IF(COUNTIF($L$2:$L$2201,L837)&gt;1,1,0)</f>
        <v>0</v>
      </c>
      <c r="N837" s="6" t="str">
        <f aca="false">IF(AND(C837&lt;Assumptions!$B$9,B837&lt;Assumptions!$B$10),"Irrigate Now",IF(AND(C837&gt;=Assumptions!$B$11,B837&gt;=Assumptions!$B$12),"No Irrigation Needed","Monitor"))</f>
        <v>Irrigate Now</v>
      </c>
      <c r="O837" s="6" t="n">
        <f aca="false">IF(N837=G837,1,0)</f>
        <v>1</v>
      </c>
    </row>
    <row r="838" customFormat="false" ht="15" hidden="false" customHeight="false" outlineLevel="0" collapsed="false">
      <c r="A838" s="16" t="n">
        <v>28.83600962</v>
      </c>
      <c r="B838" s="16" t="n">
        <v>44.08562546</v>
      </c>
      <c r="C838" s="16" t="n">
        <v>10.3327529762452</v>
      </c>
      <c r="D838" s="6" t="s">
        <v>57</v>
      </c>
      <c r="E838" s="6" t="s">
        <v>23</v>
      </c>
      <c r="F838" s="6" t="s">
        <v>24</v>
      </c>
      <c r="G838" s="6" t="s">
        <v>64</v>
      </c>
      <c r="H838" s="6" t="s">
        <v>65</v>
      </c>
      <c r="I838" s="6" t="str">
        <f aca="false">IF(A838&lt;Outliers!$E$6,"Low",IF(A838&gt;Outliers!$F$6,"High",""))</f>
        <v/>
      </c>
      <c r="J838" s="6" t="str">
        <f aca="false">IF(B838&lt;Outliers!$E$7,"Low",IF(B838&gt;Outliers!$F$7,"High",""))</f>
        <v/>
      </c>
      <c r="K838" s="6" t="str">
        <f aca="false">IF(C838&lt;Outliers!$E$8,"Low",IF(C838&gt;Outliers!$F$8,"High",""))</f>
        <v/>
      </c>
      <c r="L838" s="6" t="str">
        <f aca="false">A838&amp;";"&amp;B838&amp;";"&amp;C838</f>
        <v>28.83600962;44.08562546;10.3327529762452</v>
      </c>
      <c r="M838" s="6" t="n">
        <f aca="false">IF(COUNTIF($L$2:$L$2201,L838)&gt;1,1,0)</f>
        <v>0</v>
      </c>
      <c r="N838" s="6" t="str">
        <f aca="false">IF(AND(C838&lt;Assumptions!$B$9,B838&lt;Assumptions!$B$10),"Irrigate Now",IF(AND(C838&gt;=Assumptions!$B$11,B838&gt;=Assumptions!$B$12),"No Irrigation Needed","Monitor"))</f>
        <v>Irrigate Now</v>
      </c>
      <c r="O838" s="6" t="n">
        <f aca="false">IF(N838=G838,1,0)</f>
        <v>1</v>
      </c>
    </row>
    <row r="839" customFormat="false" ht="15" hidden="false" customHeight="false" outlineLevel="0" collapsed="false">
      <c r="A839" s="16" t="n">
        <v>27.37659643</v>
      </c>
      <c r="B839" s="16" t="n">
        <v>49.47371773</v>
      </c>
      <c r="C839" s="16" t="n">
        <v>26.3316708089808</v>
      </c>
      <c r="D839" s="6" t="s">
        <v>57</v>
      </c>
      <c r="E839" s="6" t="s">
        <v>23</v>
      </c>
      <c r="F839" s="6" t="s">
        <v>23</v>
      </c>
      <c r="G839" s="6" t="s">
        <v>61</v>
      </c>
      <c r="H839" s="6" t="s">
        <v>63</v>
      </c>
      <c r="I839" s="6" t="str">
        <f aca="false">IF(A839&lt;Outliers!$E$6,"Low",IF(A839&gt;Outliers!$F$6,"High",""))</f>
        <v/>
      </c>
      <c r="J839" s="6" t="str">
        <f aca="false">IF(B839&lt;Outliers!$E$7,"Low",IF(B839&gt;Outliers!$F$7,"High",""))</f>
        <v/>
      </c>
      <c r="K839" s="6" t="str">
        <f aca="false">IF(C839&lt;Outliers!$E$8,"Low",IF(C839&gt;Outliers!$F$8,"High",""))</f>
        <v/>
      </c>
      <c r="L839" s="6" t="str">
        <f aca="false">A839&amp;";"&amp;B839&amp;";"&amp;C839</f>
        <v>27.37659643;49.47371773;26.3316708089808</v>
      </c>
      <c r="M839" s="6" t="n">
        <f aca="false">IF(COUNTIF($L$2:$L$2201,L839)&gt;1,1,0)</f>
        <v>0</v>
      </c>
      <c r="N839" s="6" t="str">
        <f aca="false">IF(AND(C839&lt;Assumptions!$B$9,B839&lt;Assumptions!$B$10),"Irrigate Now",IF(AND(C839&gt;=Assumptions!$B$11,B839&gt;=Assumptions!$B$12),"No Irrigation Needed","Monitor"))</f>
        <v>Monitor</v>
      </c>
      <c r="O839" s="6" t="n">
        <f aca="false">IF(N839=G839,1,0)</f>
        <v>1</v>
      </c>
    </row>
    <row r="840" customFormat="false" ht="15" hidden="false" customHeight="false" outlineLevel="0" collapsed="false">
      <c r="A840" s="16" t="n">
        <v>28.31886863</v>
      </c>
      <c r="B840" s="16" t="n">
        <v>45.36521251</v>
      </c>
      <c r="C840" s="16" t="n">
        <v>27.5958200674028</v>
      </c>
      <c r="D840" s="6" t="s">
        <v>57</v>
      </c>
      <c r="E840" s="6" t="s">
        <v>23</v>
      </c>
      <c r="F840" s="6" t="s">
        <v>23</v>
      </c>
      <c r="G840" s="6" t="s">
        <v>61</v>
      </c>
      <c r="H840" s="6" t="s">
        <v>63</v>
      </c>
      <c r="I840" s="6" t="str">
        <f aca="false">IF(A840&lt;Outliers!$E$6,"Low",IF(A840&gt;Outliers!$F$6,"High",""))</f>
        <v/>
      </c>
      <c r="J840" s="6" t="str">
        <f aca="false">IF(B840&lt;Outliers!$E$7,"Low",IF(B840&gt;Outliers!$F$7,"High",""))</f>
        <v/>
      </c>
      <c r="K840" s="6" t="str">
        <f aca="false">IF(C840&lt;Outliers!$E$8,"Low",IF(C840&gt;Outliers!$F$8,"High",""))</f>
        <v/>
      </c>
      <c r="L840" s="6" t="str">
        <f aca="false">A840&amp;";"&amp;B840&amp;";"&amp;C840</f>
        <v>28.31886863;45.36521251;27.5958200674028</v>
      </c>
      <c r="M840" s="6" t="n">
        <f aca="false">IF(COUNTIF($L$2:$L$2201,L840)&gt;1,1,0)</f>
        <v>0</v>
      </c>
      <c r="N840" s="6" t="str">
        <f aca="false">IF(AND(C840&lt;Assumptions!$B$9,B840&lt;Assumptions!$B$10),"Irrigate Now",IF(AND(C840&gt;=Assumptions!$B$11,B840&gt;=Assumptions!$B$12),"No Irrigation Needed","Monitor"))</f>
        <v>Monitor</v>
      </c>
      <c r="O840" s="6" t="n">
        <f aca="false">IF(N840=G840,1,0)</f>
        <v>1</v>
      </c>
    </row>
    <row r="841" customFormat="false" ht="15" hidden="false" customHeight="false" outlineLevel="0" collapsed="false">
      <c r="A841" s="16" t="n">
        <v>27.4818649</v>
      </c>
      <c r="B841" s="16" t="n">
        <v>37.81123974</v>
      </c>
      <c r="C841" s="16" t="n">
        <v>17.6698208866501</v>
      </c>
      <c r="D841" s="6" t="s">
        <v>57</v>
      </c>
      <c r="E841" s="6" t="s">
        <v>23</v>
      </c>
      <c r="F841" s="6" t="s">
        <v>24</v>
      </c>
      <c r="G841" s="6" t="s">
        <v>64</v>
      </c>
      <c r="H841" s="6" t="s">
        <v>65</v>
      </c>
      <c r="I841" s="6" t="str">
        <f aca="false">IF(A841&lt;Outliers!$E$6,"Low",IF(A841&gt;Outliers!$F$6,"High",""))</f>
        <v/>
      </c>
      <c r="J841" s="6" t="str">
        <f aca="false">IF(B841&lt;Outliers!$E$7,"Low",IF(B841&gt;Outliers!$F$7,"High",""))</f>
        <v/>
      </c>
      <c r="K841" s="6" t="str">
        <f aca="false">IF(C841&lt;Outliers!$E$8,"Low",IF(C841&gt;Outliers!$F$8,"High",""))</f>
        <v/>
      </c>
      <c r="L841" s="6" t="str">
        <f aca="false">A841&amp;";"&amp;B841&amp;";"&amp;C841</f>
        <v>27.4818649;37.81123974;17.6698208866501</v>
      </c>
      <c r="M841" s="6" t="n">
        <f aca="false">IF(COUNTIF($L$2:$L$2201,L841)&gt;1,1,0)</f>
        <v>0</v>
      </c>
      <c r="N841" s="6" t="str">
        <f aca="false">IF(AND(C841&lt;Assumptions!$B$9,B841&lt;Assumptions!$B$10),"Irrigate Now",IF(AND(C841&gt;=Assumptions!$B$11,B841&gt;=Assumptions!$B$12),"No Irrigation Needed","Monitor"))</f>
        <v>Irrigate Now</v>
      </c>
      <c r="O841" s="6" t="n">
        <f aca="false">IF(N841=G841,1,0)</f>
        <v>1</v>
      </c>
    </row>
    <row r="842" customFormat="false" ht="15" hidden="false" customHeight="false" outlineLevel="0" collapsed="false">
      <c r="A842" s="16" t="n">
        <v>18.28072173</v>
      </c>
      <c r="B842" s="16" t="n">
        <v>48.80253285</v>
      </c>
      <c r="C842" s="16" t="n">
        <v>19.9007224832831</v>
      </c>
      <c r="D842" s="6" t="s">
        <v>66</v>
      </c>
      <c r="E842" s="6" t="s">
        <v>23</v>
      </c>
      <c r="F842" s="6" t="s">
        <v>60</v>
      </c>
      <c r="G842" s="6" t="s">
        <v>61</v>
      </c>
      <c r="H842" s="6" t="s">
        <v>63</v>
      </c>
      <c r="I842" s="6" t="str">
        <f aca="false">IF(A842&lt;Outliers!$E$6,"Low",IF(A842&gt;Outliers!$F$6,"High",""))</f>
        <v/>
      </c>
      <c r="J842" s="6" t="str">
        <f aca="false">IF(B842&lt;Outliers!$E$7,"Low",IF(B842&gt;Outliers!$F$7,"High",""))</f>
        <v/>
      </c>
      <c r="K842" s="6" t="str">
        <f aca="false">IF(C842&lt;Outliers!$E$8,"Low",IF(C842&gt;Outliers!$F$8,"High",""))</f>
        <v/>
      </c>
      <c r="L842" s="6" t="str">
        <f aca="false">A842&amp;";"&amp;B842&amp;";"&amp;C842</f>
        <v>18.28072173;48.80253285;19.9007224832831</v>
      </c>
      <c r="M842" s="6" t="n">
        <f aca="false">IF(COUNTIF($L$2:$L$2201,L842)&gt;1,1,0)</f>
        <v>0</v>
      </c>
      <c r="N842" s="6" t="str">
        <f aca="false">IF(AND(C842&lt;Assumptions!$B$9,B842&lt;Assumptions!$B$10),"Irrigate Now",IF(AND(C842&gt;=Assumptions!$B$11,B842&gt;=Assumptions!$B$12),"No Irrigation Needed","Monitor"))</f>
        <v>Monitor</v>
      </c>
      <c r="O842" s="6" t="n">
        <f aca="false">IF(N842=G842,1,0)</f>
        <v>1</v>
      </c>
    </row>
    <row r="843" customFormat="false" ht="15" hidden="false" customHeight="false" outlineLevel="0" collapsed="false">
      <c r="A843" s="16" t="n">
        <v>27.61204997</v>
      </c>
      <c r="B843" s="16" t="n">
        <v>42.72374404</v>
      </c>
      <c r="C843" s="16" t="n">
        <v>29.1191810218017</v>
      </c>
      <c r="D843" s="6" t="s">
        <v>57</v>
      </c>
      <c r="E843" s="6" t="s">
        <v>23</v>
      </c>
      <c r="F843" s="6" t="s">
        <v>23</v>
      </c>
      <c r="G843" s="6" t="s">
        <v>61</v>
      </c>
      <c r="H843" s="6" t="s">
        <v>63</v>
      </c>
      <c r="I843" s="6" t="str">
        <f aca="false">IF(A843&lt;Outliers!$E$6,"Low",IF(A843&gt;Outliers!$F$6,"High",""))</f>
        <v/>
      </c>
      <c r="J843" s="6" t="str">
        <f aca="false">IF(B843&lt;Outliers!$E$7,"Low",IF(B843&gt;Outliers!$F$7,"High",""))</f>
        <v/>
      </c>
      <c r="K843" s="6" t="str">
        <f aca="false">IF(C843&lt;Outliers!$E$8,"Low",IF(C843&gt;Outliers!$F$8,"High",""))</f>
        <v/>
      </c>
      <c r="L843" s="6" t="str">
        <f aca="false">A843&amp;";"&amp;B843&amp;";"&amp;C843</f>
        <v>27.61204997;42.72374404;29.1191810218017</v>
      </c>
      <c r="M843" s="6" t="n">
        <f aca="false">IF(COUNTIF($L$2:$L$2201,L843)&gt;1,1,0)</f>
        <v>0</v>
      </c>
      <c r="N843" s="6" t="str">
        <f aca="false">IF(AND(C843&lt;Assumptions!$B$9,B843&lt;Assumptions!$B$10),"Irrigate Now",IF(AND(C843&gt;=Assumptions!$B$11,B843&gt;=Assumptions!$B$12),"No Irrigation Needed","Monitor"))</f>
        <v>Monitor</v>
      </c>
      <c r="O843" s="6" t="n">
        <f aca="false">IF(N843=G843,1,0)</f>
        <v>1</v>
      </c>
    </row>
    <row r="844" customFormat="false" ht="15" hidden="false" customHeight="false" outlineLevel="0" collapsed="false">
      <c r="A844" s="16" t="n">
        <v>23.43974653</v>
      </c>
      <c r="B844" s="16" t="n">
        <v>45.40277297</v>
      </c>
      <c r="C844" s="16" t="n">
        <v>10.7850402918312</v>
      </c>
      <c r="D844" s="6" t="s">
        <v>57</v>
      </c>
      <c r="E844" s="6" t="s">
        <v>23</v>
      </c>
      <c r="F844" s="6" t="s">
        <v>24</v>
      </c>
      <c r="G844" s="6" t="s">
        <v>64</v>
      </c>
      <c r="H844" s="6" t="s">
        <v>65</v>
      </c>
      <c r="I844" s="6" t="str">
        <f aca="false">IF(A844&lt;Outliers!$E$6,"Low",IF(A844&gt;Outliers!$F$6,"High",""))</f>
        <v/>
      </c>
      <c r="J844" s="6" t="str">
        <f aca="false">IF(B844&lt;Outliers!$E$7,"Low",IF(B844&gt;Outliers!$F$7,"High",""))</f>
        <v/>
      </c>
      <c r="K844" s="6" t="str">
        <f aca="false">IF(C844&lt;Outliers!$E$8,"Low",IF(C844&gt;Outliers!$F$8,"High",""))</f>
        <v/>
      </c>
      <c r="L844" s="6" t="str">
        <f aca="false">A844&amp;";"&amp;B844&amp;";"&amp;C844</f>
        <v>23.43974653;45.40277297;10.7850402918312</v>
      </c>
      <c r="M844" s="6" t="n">
        <f aca="false">IF(COUNTIF($L$2:$L$2201,L844)&gt;1,1,0)</f>
        <v>0</v>
      </c>
      <c r="N844" s="6" t="str">
        <f aca="false">IF(AND(C844&lt;Assumptions!$B$9,B844&lt;Assumptions!$B$10),"Irrigate Now",IF(AND(C844&gt;=Assumptions!$B$11,B844&gt;=Assumptions!$B$12),"No Irrigation Needed","Monitor"))</f>
        <v>Irrigate Now</v>
      </c>
      <c r="O844" s="6" t="n">
        <f aca="false">IF(N844=G844,1,0)</f>
        <v>1</v>
      </c>
    </row>
    <row r="845" customFormat="false" ht="15" hidden="false" customHeight="false" outlineLevel="0" collapsed="false">
      <c r="A845" s="16" t="n">
        <v>20.95628486</v>
      </c>
      <c r="B845" s="16" t="n">
        <v>52.39881209</v>
      </c>
      <c r="C845" s="16" t="n">
        <v>14.9594223032883</v>
      </c>
      <c r="D845" s="6" t="s">
        <v>57</v>
      </c>
      <c r="E845" s="6" t="s">
        <v>57</v>
      </c>
      <c r="F845" s="6" t="s">
        <v>24</v>
      </c>
      <c r="G845" s="6" t="s">
        <v>64</v>
      </c>
      <c r="H845" s="6" t="s">
        <v>65</v>
      </c>
      <c r="I845" s="6" t="str">
        <f aca="false">IF(A845&lt;Outliers!$E$6,"Low",IF(A845&gt;Outliers!$F$6,"High",""))</f>
        <v/>
      </c>
      <c r="J845" s="6" t="str">
        <f aca="false">IF(B845&lt;Outliers!$E$7,"Low",IF(B845&gt;Outliers!$F$7,"High",""))</f>
        <v/>
      </c>
      <c r="K845" s="6" t="str">
        <f aca="false">IF(C845&lt;Outliers!$E$8,"Low",IF(C845&gt;Outliers!$F$8,"High",""))</f>
        <v/>
      </c>
      <c r="L845" s="6" t="str">
        <f aca="false">A845&amp;";"&amp;B845&amp;";"&amp;C845</f>
        <v>20.95628486;52.39881209;14.9594223032883</v>
      </c>
      <c r="M845" s="6" t="n">
        <f aca="false">IF(COUNTIF($L$2:$L$2201,L845)&gt;1,1,0)</f>
        <v>0</v>
      </c>
      <c r="N845" s="6" t="str">
        <f aca="false">IF(AND(C845&lt;Assumptions!$B$9,B845&lt;Assumptions!$B$10),"Irrigate Now",IF(AND(C845&gt;=Assumptions!$B$11,B845&gt;=Assumptions!$B$12),"No Irrigation Needed","Monitor"))</f>
        <v>Irrigate Now</v>
      </c>
      <c r="O845" s="6" t="n">
        <f aca="false">IF(N845=G845,1,0)</f>
        <v>1</v>
      </c>
    </row>
    <row r="846" customFormat="false" ht="15" hidden="false" customHeight="false" outlineLevel="0" collapsed="false">
      <c r="A846" s="16" t="n">
        <v>23.7937153</v>
      </c>
      <c r="B846" s="16" t="n">
        <v>49.73922097</v>
      </c>
      <c r="C846" s="16" t="n">
        <v>27.0737358590904</v>
      </c>
      <c r="D846" s="6" t="s">
        <v>57</v>
      </c>
      <c r="E846" s="6" t="s">
        <v>23</v>
      </c>
      <c r="F846" s="6" t="s">
        <v>23</v>
      </c>
      <c r="G846" s="6" t="s">
        <v>61</v>
      </c>
      <c r="H846" s="6" t="s">
        <v>63</v>
      </c>
      <c r="I846" s="6" t="str">
        <f aca="false">IF(A846&lt;Outliers!$E$6,"Low",IF(A846&gt;Outliers!$F$6,"High",""))</f>
        <v/>
      </c>
      <c r="J846" s="6" t="str">
        <f aca="false">IF(B846&lt;Outliers!$E$7,"Low",IF(B846&gt;Outliers!$F$7,"High",""))</f>
        <v/>
      </c>
      <c r="K846" s="6" t="str">
        <f aca="false">IF(C846&lt;Outliers!$E$8,"Low",IF(C846&gt;Outliers!$F$8,"High",""))</f>
        <v/>
      </c>
      <c r="L846" s="6" t="str">
        <f aca="false">A846&amp;";"&amp;B846&amp;";"&amp;C846</f>
        <v>23.7937153;49.73922097;27.0737358590904</v>
      </c>
      <c r="M846" s="6" t="n">
        <f aca="false">IF(COUNTIF($L$2:$L$2201,L846)&gt;1,1,0)</f>
        <v>0</v>
      </c>
      <c r="N846" s="6" t="str">
        <f aca="false">IF(AND(C846&lt;Assumptions!$B$9,B846&lt;Assumptions!$B$10),"Irrigate Now",IF(AND(C846&gt;=Assumptions!$B$11,B846&gt;=Assumptions!$B$12),"No Irrigation Needed","Monitor"))</f>
        <v>Monitor</v>
      </c>
      <c r="O846" s="6" t="n">
        <f aca="false">IF(N846=G846,1,0)</f>
        <v>1</v>
      </c>
    </row>
    <row r="847" customFormat="false" ht="15" hidden="false" customHeight="false" outlineLevel="0" collapsed="false">
      <c r="A847" s="16" t="n">
        <v>22.6371424</v>
      </c>
      <c r="B847" s="16" t="n">
        <v>38.30411077</v>
      </c>
      <c r="C847" s="16" t="n">
        <v>18.0810552054375</v>
      </c>
      <c r="D847" s="6" t="s">
        <v>57</v>
      </c>
      <c r="E847" s="6" t="s">
        <v>23</v>
      </c>
      <c r="F847" s="6" t="s">
        <v>24</v>
      </c>
      <c r="G847" s="6" t="s">
        <v>61</v>
      </c>
      <c r="H847" s="6" t="s">
        <v>63</v>
      </c>
      <c r="I847" s="6" t="str">
        <f aca="false">IF(A847&lt;Outliers!$E$6,"Low",IF(A847&gt;Outliers!$F$6,"High",""))</f>
        <v/>
      </c>
      <c r="J847" s="6" t="str">
        <f aca="false">IF(B847&lt;Outliers!$E$7,"Low",IF(B847&gt;Outliers!$F$7,"High",""))</f>
        <v/>
      </c>
      <c r="K847" s="6" t="str">
        <f aca="false">IF(C847&lt;Outliers!$E$8,"Low",IF(C847&gt;Outliers!$F$8,"High",""))</f>
        <v/>
      </c>
      <c r="L847" s="6" t="str">
        <f aca="false">A847&amp;";"&amp;B847&amp;";"&amp;C847</f>
        <v>22.6371424;38.30411077;18.0810552054375</v>
      </c>
      <c r="M847" s="6" t="n">
        <f aca="false">IF(COUNTIF($L$2:$L$2201,L847)&gt;1,1,0)</f>
        <v>0</v>
      </c>
      <c r="N847" s="6" t="str">
        <f aca="false">IF(AND(C847&lt;Assumptions!$B$9,B847&lt;Assumptions!$B$10),"Irrigate Now",IF(AND(C847&gt;=Assumptions!$B$11,B847&gt;=Assumptions!$B$12),"No Irrigation Needed","Monitor"))</f>
        <v>Monitor</v>
      </c>
      <c r="O847" s="6" t="n">
        <f aca="false">IF(N847=G847,1,0)</f>
        <v>1</v>
      </c>
    </row>
    <row r="848" customFormat="false" ht="15" hidden="false" customHeight="false" outlineLevel="0" collapsed="false">
      <c r="A848" s="16" t="n">
        <v>21.53577883</v>
      </c>
      <c r="B848" s="16" t="n">
        <v>35.75107592</v>
      </c>
      <c r="C848" s="16" t="n">
        <v>19.2276724538832</v>
      </c>
      <c r="D848" s="6" t="s">
        <v>57</v>
      </c>
      <c r="E848" s="6" t="s">
        <v>23</v>
      </c>
      <c r="F848" s="6" t="s">
        <v>24</v>
      </c>
      <c r="G848" s="6" t="s">
        <v>61</v>
      </c>
      <c r="H848" s="6" t="s">
        <v>63</v>
      </c>
      <c r="I848" s="6" t="str">
        <f aca="false">IF(A848&lt;Outliers!$E$6,"Low",IF(A848&gt;Outliers!$F$6,"High",""))</f>
        <v/>
      </c>
      <c r="J848" s="6" t="str">
        <f aca="false">IF(B848&lt;Outliers!$E$7,"Low",IF(B848&gt;Outliers!$F$7,"High",""))</f>
        <v/>
      </c>
      <c r="K848" s="6" t="str">
        <f aca="false">IF(C848&lt;Outliers!$E$8,"Low",IF(C848&gt;Outliers!$F$8,"High",""))</f>
        <v/>
      </c>
      <c r="L848" s="6" t="str">
        <f aca="false">A848&amp;";"&amp;B848&amp;";"&amp;C848</f>
        <v>21.53577883;35.75107592;19.2276724538832</v>
      </c>
      <c r="M848" s="6" t="n">
        <f aca="false">IF(COUNTIF($L$2:$L$2201,L848)&gt;1,1,0)</f>
        <v>0</v>
      </c>
      <c r="N848" s="6" t="str">
        <f aca="false">IF(AND(C848&lt;Assumptions!$B$9,B848&lt;Assumptions!$B$10),"Irrigate Now",IF(AND(C848&gt;=Assumptions!$B$11,B848&gt;=Assumptions!$B$12),"No Irrigation Needed","Monitor"))</f>
        <v>Monitor</v>
      </c>
      <c r="O848" s="6" t="n">
        <f aca="false">IF(N848=G848,1,0)</f>
        <v>1</v>
      </c>
    </row>
    <row r="849" customFormat="false" ht="15" hidden="false" customHeight="false" outlineLevel="0" collapsed="false">
      <c r="A849" s="16" t="n">
        <v>29.87854588</v>
      </c>
      <c r="B849" s="16" t="n">
        <v>44.95654782</v>
      </c>
      <c r="C849" s="16" t="n">
        <v>24.736942539024</v>
      </c>
      <c r="D849" s="6" t="s">
        <v>57</v>
      </c>
      <c r="E849" s="6" t="s">
        <v>23</v>
      </c>
      <c r="F849" s="6" t="s">
        <v>60</v>
      </c>
      <c r="G849" s="6" t="s">
        <v>61</v>
      </c>
      <c r="H849" s="6" t="s">
        <v>63</v>
      </c>
      <c r="I849" s="6" t="str">
        <f aca="false">IF(A849&lt;Outliers!$E$6,"Low",IF(A849&gt;Outliers!$F$6,"High",""))</f>
        <v/>
      </c>
      <c r="J849" s="6" t="str">
        <f aca="false">IF(B849&lt;Outliers!$E$7,"Low",IF(B849&gt;Outliers!$F$7,"High",""))</f>
        <v/>
      </c>
      <c r="K849" s="6" t="str">
        <f aca="false">IF(C849&lt;Outliers!$E$8,"Low",IF(C849&gt;Outliers!$F$8,"High",""))</f>
        <v/>
      </c>
      <c r="L849" s="6" t="str">
        <f aca="false">A849&amp;";"&amp;B849&amp;";"&amp;C849</f>
        <v>29.87854588;44.95654782;24.736942539024</v>
      </c>
      <c r="M849" s="6" t="n">
        <f aca="false">IF(COUNTIF($L$2:$L$2201,L849)&gt;1,1,0)</f>
        <v>0</v>
      </c>
      <c r="N849" s="6" t="str">
        <f aca="false">IF(AND(C849&lt;Assumptions!$B$9,B849&lt;Assumptions!$B$10),"Irrigate Now",IF(AND(C849&gt;=Assumptions!$B$11,B849&gt;=Assumptions!$B$12),"No Irrigation Needed","Monitor"))</f>
        <v>Monitor</v>
      </c>
      <c r="O849" s="6" t="n">
        <f aca="false">IF(N849=G849,1,0)</f>
        <v>1</v>
      </c>
    </row>
    <row r="850" customFormat="false" ht="15" hidden="false" customHeight="false" outlineLevel="0" collapsed="false">
      <c r="A850" s="16" t="n">
        <v>25.2653291</v>
      </c>
      <c r="B850" s="16" t="n">
        <v>48.33941188</v>
      </c>
      <c r="C850" s="16" t="n">
        <v>28.64486522685</v>
      </c>
      <c r="D850" s="6" t="s">
        <v>57</v>
      </c>
      <c r="E850" s="6" t="s">
        <v>23</v>
      </c>
      <c r="F850" s="6" t="s">
        <v>23</v>
      </c>
      <c r="G850" s="6" t="s">
        <v>61</v>
      </c>
      <c r="H850" s="6" t="s">
        <v>63</v>
      </c>
      <c r="I850" s="6" t="str">
        <f aca="false">IF(A850&lt;Outliers!$E$6,"Low",IF(A850&gt;Outliers!$F$6,"High",""))</f>
        <v/>
      </c>
      <c r="J850" s="6" t="str">
        <f aca="false">IF(B850&lt;Outliers!$E$7,"Low",IF(B850&gt;Outliers!$F$7,"High",""))</f>
        <v/>
      </c>
      <c r="K850" s="6" t="str">
        <f aca="false">IF(C850&lt;Outliers!$E$8,"Low",IF(C850&gt;Outliers!$F$8,"High",""))</f>
        <v/>
      </c>
      <c r="L850" s="6" t="str">
        <f aca="false">A850&amp;";"&amp;B850&amp;";"&amp;C850</f>
        <v>25.2653291;48.33941188;28.64486522685</v>
      </c>
      <c r="M850" s="6" t="n">
        <f aca="false">IF(COUNTIF($L$2:$L$2201,L850)&gt;1,1,0)</f>
        <v>0</v>
      </c>
      <c r="N850" s="6" t="str">
        <f aca="false">IF(AND(C850&lt;Assumptions!$B$9,B850&lt;Assumptions!$B$10),"Irrigate Now",IF(AND(C850&gt;=Assumptions!$B$11,B850&gt;=Assumptions!$B$12),"No Irrigation Needed","Monitor"))</f>
        <v>Monitor</v>
      </c>
      <c r="O850" s="6" t="n">
        <f aca="false">IF(N850=G850,1,0)</f>
        <v>1</v>
      </c>
    </row>
    <row r="851" customFormat="false" ht="15" hidden="false" customHeight="false" outlineLevel="0" collapsed="false">
      <c r="A851" s="16" t="n">
        <v>25.17885316</v>
      </c>
      <c r="B851" s="16" t="n">
        <v>35.03484812</v>
      </c>
      <c r="C851" s="16" t="n">
        <v>14.3459522348309</v>
      </c>
      <c r="D851" s="6" t="s">
        <v>57</v>
      </c>
      <c r="E851" s="6" t="s">
        <v>23</v>
      </c>
      <c r="F851" s="6" t="s">
        <v>24</v>
      </c>
      <c r="G851" s="6" t="s">
        <v>64</v>
      </c>
      <c r="H851" s="6" t="s">
        <v>65</v>
      </c>
      <c r="I851" s="6" t="str">
        <f aca="false">IF(A851&lt;Outliers!$E$6,"Low",IF(A851&gt;Outliers!$F$6,"High",""))</f>
        <v/>
      </c>
      <c r="J851" s="6" t="str">
        <f aca="false">IF(B851&lt;Outliers!$E$7,"Low",IF(B851&gt;Outliers!$F$7,"High",""))</f>
        <v/>
      </c>
      <c r="K851" s="6" t="str">
        <f aca="false">IF(C851&lt;Outliers!$E$8,"Low",IF(C851&gt;Outliers!$F$8,"High",""))</f>
        <v/>
      </c>
      <c r="L851" s="6" t="str">
        <f aca="false">A851&amp;";"&amp;B851&amp;";"&amp;C851</f>
        <v>25.17885316;35.03484812;14.3459522348309</v>
      </c>
      <c r="M851" s="6" t="n">
        <f aca="false">IF(COUNTIF($L$2:$L$2201,L851)&gt;1,1,0)</f>
        <v>0</v>
      </c>
      <c r="N851" s="6" t="str">
        <f aca="false">IF(AND(C851&lt;Assumptions!$B$9,B851&lt;Assumptions!$B$10),"Irrigate Now",IF(AND(C851&gt;=Assumptions!$B$11,B851&gt;=Assumptions!$B$12),"No Irrigation Needed","Monitor"))</f>
        <v>Irrigate Now</v>
      </c>
      <c r="O851" s="6" t="n">
        <f aca="false">IF(N851=G851,1,0)</f>
        <v>1</v>
      </c>
    </row>
    <row r="852" customFormat="false" ht="15" hidden="false" customHeight="false" outlineLevel="0" collapsed="false">
      <c r="A852" s="16" t="n">
        <v>24.12192608</v>
      </c>
      <c r="B852" s="16" t="n">
        <v>44.23629285</v>
      </c>
      <c r="C852" s="16" t="n">
        <v>26.9624410069574</v>
      </c>
      <c r="D852" s="6" t="s">
        <v>57</v>
      </c>
      <c r="E852" s="6" t="s">
        <v>23</v>
      </c>
      <c r="F852" s="6" t="s">
        <v>23</v>
      </c>
      <c r="G852" s="6" t="s">
        <v>61</v>
      </c>
      <c r="H852" s="6" t="s">
        <v>63</v>
      </c>
      <c r="I852" s="6" t="str">
        <f aca="false">IF(A852&lt;Outliers!$E$6,"Low",IF(A852&gt;Outliers!$F$6,"High",""))</f>
        <v/>
      </c>
      <c r="J852" s="6" t="str">
        <f aca="false">IF(B852&lt;Outliers!$E$7,"Low",IF(B852&gt;Outliers!$F$7,"High",""))</f>
        <v/>
      </c>
      <c r="K852" s="6" t="str">
        <f aca="false">IF(C852&lt;Outliers!$E$8,"Low",IF(C852&gt;Outliers!$F$8,"High",""))</f>
        <v/>
      </c>
      <c r="L852" s="6" t="str">
        <f aca="false">A852&amp;";"&amp;B852&amp;";"&amp;C852</f>
        <v>24.12192608;44.23629285;26.9624410069574</v>
      </c>
      <c r="M852" s="6" t="n">
        <f aca="false">IF(COUNTIF($L$2:$L$2201,L852)&gt;1,1,0)</f>
        <v>0</v>
      </c>
      <c r="N852" s="6" t="str">
        <f aca="false">IF(AND(C852&lt;Assumptions!$B$9,B852&lt;Assumptions!$B$10),"Irrigate Now",IF(AND(C852&gt;=Assumptions!$B$11,B852&gt;=Assumptions!$B$12),"No Irrigation Needed","Monitor"))</f>
        <v>Monitor</v>
      </c>
      <c r="O852" s="6" t="n">
        <f aca="false">IF(N852=G852,1,0)</f>
        <v>1</v>
      </c>
    </row>
    <row r="853" customFormat="false" ht="15" hidden="false" customHeight="false" outlineLevel="0" collapsed="false">
      <c r="A853" s="16" t="n">
        <v>23.33565221</v>
      </c>
      <c r="B853" s="16" t="n">
        <v>36.18678721</v>
      </c>
      <c r="C853" s="16" t="n">
        <v>22.0381139038428</v>
      </c>
      <c r="D853" s="6" t="s">
        <v>57</v>
      </c>
      <c r="E853" s="6" t="s">
        <v>23</v>
      </c>
      <c r="F853" s="6" t="s">
        <v>60</v>
      </c>
      <c r="G853" s="6" t="s">
        <v>61</v>
      </c>
      <c r="H853" s="6" t="s">
        <v>63</v>
      </c>
      <c r="I853" s="6" t="str">
        <f aca="false">IF(A853&lt;Outliers!$E$6,"Low",IF(A853&gt;Outliers!$F$6,"High",""))</f>
        <v/>
      </c>
      <c r="J853" s="6" t="str">
        <f aca="false">IF(B853&lt;Outliers!$E$7,"Low",IF(B853&gt;Outliers!$F$7,"High",""))</f>
        <v/>
      </c>
      <c r="K853" s="6" t="str">
        <f aca="false">IF(C853&lt;Outliers!$E$8,"Low",IF(C853&gt;Outliers!$F$8,"High",""))</f>
        <v/>
      </c>
      <c r="L853" s="6" t="str">
        <f aca="false">A853&amp;";"&amp;B853&amp;";"&amp;C853</f>
        <v>23.33565221;36.18678721;22.0381139038428</v>
      </c>
      <c r="M853" s="6" t="n">
        <f aca="false">IF(COUNTIF($L$2:$L$2201,L853)&gt;1,1,0)</f>
        <v>0</v>
      </c>
      <c r="N853" s="6" t="str">
        <f aca="false">IF(AND(C853&lt;Assumptions!$B$9,B853&lt;Assumptions!$B$10),"Irrigate Now",IF(AND(C853&gt;=Assumptions!$B$11,B853&gt;=Assumptions!$B$12),"No Irrigation Needed","Monitor"))</f>
        <v>Monitor</v>
      </c>
      <c r="O853" s="6" t="n">
        <f aca="false">IF(N853=G853,1,0)</f>
        <v>1</v>
      </c>
    </row>
    <row r="854" customFormat="false" ht="15" hidden="false" customHeight="false" outlineLevel="0" collapsed="false">
      <c r="A854" s="16" t="n">
        <v>21.74600081</v>
      </c>
      <c r="B854" s="16" t="n">
        <v>50.43306085</v>
      </c>
      <c r="C854" s="16" t="n">
        <v>24.8905451742466</v>
      </c>
      <c r="D854" s="6" t="s">
        <v>57</v>
      </c>
      <c r="E854" s="6" t="s">
        <v>57</v>
      </c>
      <c r="F854" s="6" t="s">
        <v>60</v>
      </c>
      <c r="G854" s="6" t="s">
        <v>61</v>
      </c>
      <c r="H854" s="6" t="s">
        <v>63</v>
      </c>
      <c r="I854" s="6" t="str">
        <f aca="false">IF(A854&lt;Outliers!$E$6,"Low",IF(A854&gt;Outliers!$F$6,"High",""))</f>
        <v/>
      </c>
      <c r="J854" s="6" t="str">
        <f aca="false">IF(B854&lt;Outliers!$E$7,"Low",IF(B854&gt;Outliers!$F$7,"High",""))</f>
        <v/>
      </c>
      <c r="K854" s="6" t="str">
        <f aca="false">IF(C854&lt;Outliers!$E$8,"Low",IF(C854&gt;Outliers!$F$8,"High",""))</f>
        <v/>
      </c>
      <c r="L854" s="6" t="str">
        <f aca="false">A854&amp;";"&amp;B854&amp;";"&amp;C854</f>
        <v>21.74600081;50.43306085;24.8905451742466</v>
      </c>
      <c r="M854" s="6" t="n">
        <f aca="false">IF(COUNTIF($L$2:$L$2201,L854)&gt;1,1,0)</f>
        <v>0</v>
      </c>
      <c r="N854" s="6" t="str">
        <f aca="false">IF(AND(C854&lt;Assumptions!$B$9,B854&lt;Assumptions!$B$10),"Irrigate Now",IF(AND(C854&gt;=Assumptions!$B$11,B854&gt;=Assumptions!$B$12),"No Irrigation Needed","Monitor"))</f>
        <v>Monitor</v>
      </c>
      <c r="O854" s="6" t="n">
        <f aca="false">IF(N854=G854,1,0)</f>
        <v>1</v>
      </c>
    </row>
    <row r="855" customFormat="false" ht="15" hidden="false" customHeight="false" outlineLevel="0" collapsed="false">
      <c r="A855" s="16" t="n">
        <v>27.60195453</v>
      </c>
      <c r="B855" s="16" t="n">
        <v>54.37814199</v>
      </c>
      <c r="C855" s="16" t="n">
        <v>15.7088458794494</v>
      </c>
      <c r="D855" s="6" t="s">
        <v>57</v>
      </c>
      <c r="E855" s="6" t="s">
        <v>57</v>
      </c>
      <c r="F855" s="6" t="s">
        <v>24</v>
      </c>
      <c r="G855" s="6" t="s">
        <v>64</v>
      </c>
      <c r="H855" s="6" t="s">
        <v>65</v>
      </c>
      <c r="I855" s="6" t="str">
        <f aca="false">IF(A855&lt;Outliers!$E$6,"Low",IF(A855&gt;Outliers!$F$6,"High",""))</f>
        <v/>
      </c>
      <c r="J855" s="6" t="str">
        <f aca="false">IF(B855&lt;Outliers!$E$7,"Low",IF(B855&gt;Outliers!$F$7,"High",""))</f>
        <v/>
      </c>
      <c r="K855" s="6" t="str">
        <f aca="false">IF(C855&lt;Outliers!$E$8,"Low",IF(C855&gt;Outliers!$F$8,"High",""))</f>
        <v/>
      </c>
      <c r="L855" s="6" t="str">
        <f aca="false">A855&amp;";"&amp;B855&amp;";"&amp;C855</f>
        <v>27.60195453;54.37814199;15.7088458794494</v>
      </c>
      <c r="M855" s="6" t="n">
        <f aca="false">IF(COUNTIF($L$2:$L$2201,L855)&gt;1,1,0)</f>
        <v>0</v>
      </c>
      <c r="N855" s="6" t="str">
        <f aca="false">IF(AND(C855&lt;Assumptions!$B$9,B855&lt;Assumptions!$B$10),"Irrigate Now",IF(AND(C855&gt;=Assumptions!$B$11,B855&gt;=Assumptions!$B$12),"No Irrigation Needed","Monitor"))</f>
        <v>Irrigate Now</v>
      </c>
      <c r="O855" s="6" t="n">
        <f aca="false">IF(N855=G855,1,0)</f>
        <v>1</v>
      </c>
    </row>
    <row r="856" customFormat="false" ht="15" hidden="false" customHeight="false" outlineLevel="0" collapsed="false">
      <c r="A856" s="16" t="n">
        <v>24.388717</v>
      </c>
      <c r="B856" s="16" t="n">
        <v>47.26052494</v>
      </c>
      <c r="C856" s="16" t="n">
        <v>28.3482389433303</v>
      </c>
      <c r="D856" s="6" t="s">
        <v>57</v>
      </c>
      <c r="E856" s="6" t="s">
        <v>23</v>
      </c>
      <c r="F856" s="6" t="s">
        <v>23</v>
      </c>
      <c r="G856" s="6" t="s">
        <v>61</v>
      </c>
      <c r="H856" s="6" t="s">
        <v>63</v>
      </c>
      <c r="I856" s="6" t="str">
        <f aca="false">IF(A856&lt;Outliers!$E$6,"Low",IF(A856&gt;Outliers!$F$6,"High",""))</f>
        <v/>
      </c>
      <c r="J856" s="6" t="str">
        <f aca="false">IF(B856&lt;Outliers!$E$7,"Low",IF(B856&gt;Outliers!$F$7,"High",""))</f>
        <v/>
      </c>
      <c r="K856" s="6" t="str">
        <f aca="false">IF(C856&lt;Outliers!$E$8,"Low",IF(C856&gt;Outliers!$F$8,"High",""))</f>
        <v/>
      </c>
      <c r="L856" s="6" t="str">
        <f aca="false">A856&amp;";"&amp;B856&amp;";"&amp;C856</f>
        <v>24.388717;47.26052494;28.3482389433303</v>
      </c>
      <c r="M856" s="6" t="n">
        <f aca="false">IF(COUNTIF($L$2:$L$2201,L856)&gt;1,1,0)</f>
        <v>0</v>
      </c>
      <c r="N856" s="6" t="str">
        <f aca="false">IF(AND(C856&lt;Assumptions!$B$9,B856&lt;Assumptions!$B$10),"Irrigate Now",IF(AND(C856&gt;=Assumptions!$B$11,B856&gt;=Assumptions!$B$12),"No Irrigation Needed","Monitor"))</f>
        <v>Monitor</v>
      </c>
      <c r="O856" s="6" t="n">
        <f aca="false">IF(N856=G856,1,0)</f>
        <v>1</v>
      </c>
    </row>
    <row r="857" customFormat="false" ht="15" hidden="false" customHeight="false" outlineLevel="0" collapsed="false">
      <c r="A857" s="16" t="n">
        <v>24.98287462</v>
      </c>
      <c r="B857" s="16" t="n">
        <v>38.21370568</v>
      </c>
      <c r="C857" s="16" t="n">
        <v>23.2023997217309</v>
      </c>
      <c r="D857" s="6" t="s">
        <v>57</v>
      </c>
      <c r="E857" s="6" t="s">
        <v>23</v>
      </c>
      <c r="F857" s="6" t="s">
        <v>60</v>
      </c>
      <c r="G857" s="6" t="s">
        <v>61</v>
      </c>
      <c r="H857" s="6" t="s">
        <v>63</v>
      </c>
      <c r="I857" s="6" t="str">
        <f aca="false">IF(A857&lt;Outliers!$E$6,"Low",IF(A857&gt;Outliers!$F$6,"High",""))</f>
        <v/>
      </c>
      <c r="J857" s="6" t="str">
        <f aca="false">IF(B857&lt;Outliers!$E$7,"Low",IF(B857&gt;Outliers!$F$7,"High",""))</f>
        <v/>
      </c>
      <c r="K857" s="6" t="str">
        <f aca="false">IF(C857&lt;Outliers!$E$8,"Low",IF(C857&gt;Outliers!$F$8,"High",""))</f>
        <v/>
      </c>
      <c r="L857" s="6" t="str">
        <f aca="false">A857&amp;";"&amp;B857&amp;";"&amp;C857</f>
        <v>24.98287462;38.21370568;23.2023997217309</v>
      </c>
      <c r="M857" s="6" t="n">
        <f aca="false">IF(COUNTIF($L$2:$L$2201,L857)&gt;1,1,0)</f>
        <v>0</v>
      </c>
      <c r="N857" s="6" t="str">
        <f aca="false">IF(AND(C857&lt;Assumptions!$B$9,B857&lt;Assumptions!$B$10),"Irrigate Now",IF(AND(C857&gt;=Assumptions!$B$11,B857&gt;=Assumptions!$B$12),"No Irrigation Needed","Monitor"))</f>
        <v>Monitor</v>
      </c>
      <c r="O857" s="6" t="n">
        <f aca="false">IF(N857=G857,1,0)</f>
        <v>1</v>
      </c>
    </row>
    <row r="858" customFormat="false" ht="15" hidden="false" customHeight="false" outlineLevel="0" collapsed="false">
      <c r="A858" s="16" t="n">
        <v>28.234829</v>
      </c>
      <c r="B858" s="16" t="n">
        <v>35.36831423</v>
      </c>
      <c r="C858" s="16" t="n">
        <v>27.9623401278883</v>
      </c>
      <c r="D858" s="6" t="s">
        <v>57</v>
      </c>
      <c r="E858" s="6" t="s">
        <v>23</v>
      </c>
      <c r="F858" s="6" t="s">
        <v>23</v>
      </c>
      <c r="G858" s="6" t="s">
        <v>61</v>
      </c>
      <c r="H858" s="6" t="s">
        <v>63</v>
      </c>
      <c r="I858" s="6" t="str">
        <f aca="false">IF(A858&lt;Outliers!$E$6,"Low",IF(A858&gt;Outliers!$F$6,"High",""))</f>
        <v/>
      </c>
      <c r="J858" s="6" t="str">
        <f aca="false">IF(B858&lt;Outliers!$E$7,"Low",IF(B858&gt;Outliers!$F$7,"High",""))</f>
        <v/>
      </c>
      <c r="K858" s="6" t="str">
        <f aca="false">IF(C858&lt;Outliers!$E$8,"Low",IF(C858&gt;Outliers!$F$8,"High",""))</f>
        <v/>
      </c>
      <c r="L858" s="6" t="str">
        <f aca="false">A858&amp;";"&amp;B858&amp;";"&amp;C858</f>
        <v>28.234829;35.36831423;27.9623401278883</v>
      </c>
      <c r="M858" s="6" t="n">
        <f aca="false">IF(COUNTIF($L$2:$L$2201,L858)&gt;1,1,0)</f>
        <v>0</v>
      </c>
      <c r="N858" s="6" t="str">
        <f aca="false">IF(AND(C858&lt;Assumptions!$B$9,B858&lt;Assumptions!$B$10),"Irrigate Now",IF(AND(C858&gt;=Assumptions!$B$11,B858&gt;=Assumptions!$B$12),"No Irrigation Needed","Monitor"))</f>
        <v>Monitor</v>
      </c>
      <c r="O858" s="6" t="n">
        <f aca="false">IF(N858=G858,1,0)</f>
        <v>1</v>
      </c>
    </row>
    <row r="859" customFormat="false" ht="15" hidden="false" customHeight="false" outlineLevel="0" collapsed="false">
      <c r="A859" s="16" t="n">
        <v>26.03026959</v>
      </c>
      <c r="B859" s="16" t="n">
        <v>37.11395801</v>
      </c>
      <c r="C859" s="16" t="n">
        <v>27.8807268495963</v>
      </c>
      <c r="D859" s="6" t="s">
        <v>57</v>
      </c>
      <c r="E859" s="6" t="s">
        <v>23</v>
      </c>
      <c r="F859" s="6" t="s">
        <v>23</v>
      </c>
      <c r="G859" s="6" t="s">
        <v>61</v>
      </c>
      <c r="H859" s="6" t="s">
        <v>63</v>
      </c>
      <c r="I859" s="6" t="str">
        <f aca="false">IF(A859&lt;Outliers!$E$6,"Low",IF(A859&gt;Outliers!$F$6,"High",""))</f>
        <v/>
      </c>
      <c r="J859" s="6" t="str">
        <f aca="false">IF(B859&lt;Outliers!$E$7,"Low",IF(B859&gt;Outliers!$F$7,"High",""))</f>
        <v/>
      </c>
      <c r="K859" s="6" t="str">
        <f aca="false">IF(C859&lt;Outliers!$E$8,"Low",IF(C859&gt;Outliers!$F$8,"High",""))</f>
        <v/>
      </c>
      <c r="L859" s="6" t="str">
        <f aca="false">A859&amp;";"&amp;B859&amp;";"&amp;C859</f>
        <v>26.03026959;37.11395801;27.8807268495963</v>
      </c>
      <c r="M859" s="6" t="n">
        <f aca="false">IF(COUNTIF($L$2:$L$2201,L859)&gt;1,1,0)</f>
        <v>0</v>
      </c>
      <c r="N859" s="6" t="str">
        <f aca="false">IF(AND(C859&lt;Assumptions!$B$9,B859&lt;Assumptions!$B$10),"Irrigate Now",IF(AND(C859&gt;=Assumptions!$B$11,B859&gt;=Assumptions!$B$12),"No Irrigation Needed","Monitor"))</f>
        <v>Monitor</v>
      </c>
      <c r="O859" s="6" t="n">
        <f aca="false">IF(N859=G859,1,0)</f>
        <v>1</v>
      </c>
    </row>
    <row r="860" customFormat="false" ht="15" hidden="false" customHeight="false" outlineLevel="0" collapsed="false">
      <c r="A860" s="16" t="n">
        <v>28.04849594</v>
      </c>
      <c r="B860" s="16" t="n">
        <v>37.15824966</v>
      </c>
      <c r="C860" s="16" t="n">
        <v>14.6414436595779</v>
      </c>
      <c r="D860" s="6" t="s">
        <v>57</v>
      </c>
      <c r="E860" s="6" t="s">
        <v>23</v>
      </c>
      <c r="F860" s="6" t="s">
        <v>24</v>
      </c>
      <c r="G860" s="6" t="s">
        <v>64</v>
      </c>
      <c r="H860" s="6" t="s">
        <v>65</v>
      </c>
      <c r="I860" s="6" t="str">
        <f aca="false">IF(A860&lt;Outliers!$E$6,"Low",IF(A860&gt;Outliers!$F$6,"High",""))</f>
        <v/>
      </c>
      <c r="J860" s="6" t="str">
        <f aca="false">IF(B860&lt;Outliers!$E$7,"Low",IF(B860&gt;Outliers!$F$7,"High",""))</f>
        <v/>
      </c>
      <c r="K860" s="6" t="str">
        <f aca="false">IF(C860&lt;Outliers!$E$8,"Low",IF(C860&gt;Outliers!$F$8,"High",""))</f>
        <v/>
      </c>
      <c r="L860" s="6" t="str">
        <f aca="false">A860&amp;";"&amp;B860&amp;";"&amp;C860</f>
        <v>28.04849594;37.15824966;14.6414436595779</v>
      </c>
      <c r="M860" s="6" t="n">
        <f aca="false">IF(COUNTIF($L$2:$L$2201,L860)&gt;1,1,0)</f>
        <v>0</v>
      </c>
      <c r="N860" s="6" t="str">
        <f aca="false">IF(AND(C860&lt;Assumptions!$B$9,B860&lt;Assumptions!$B$10),"Irrigate Now",IF(AND(C860&gt;=Assumptions!$B$11,B860&gt;=Assumptions!$B$12),"No Irrigation Needed","Monitor"))</f>
        <v>Irrigate Now</v>
      </c>
      <c r="O860" s="6" t="n">
        <f aca="false">IF(N860=G860,1,0)</f>
        <v>1</v>
      </c>
    </row>
    <row r="861" customFormat="false" ht="15" hidden="false" customHeight="false" outlineLevel="0" collapsed="false">
      <c r="A861" s="16" t="n">
        <v>24.87425505</v>
      </c>
      <c r="B861" s="16" t="n">
        <v>48.28137482</v>
      </c>
      <c r="C861" s="16" t="n">
        <v>27.0177162337373</v>
      </c>
      <c r="D861" s="6" t="s">
        <v>57</v>
      </c>
      <c r="E861" s="6" t="s">
        <v>23</v>
      </c>
      <c r="F861" s="6" t="s">
        <v>23</v>
      </c>
      <c r="G861" s="6" t="s">
        <v>61</v>
      </c>
      <c r="H861" s="6" t="s">
        <v>63</v>
      </c>
      <c r="I861" s="6" t="str">
        <f aca="false">IF(A861&lt;Outliers!$E$6,"Low",IF(A861&gt;Outliers!$F$6,"High",""))</f>
        <v/>
      </c>
      <c r="J861" s="6" t="str">
        <f aca="false">IF(B861&lt;Outliers!$E$7,"Low",IF(B861&gt;Outliers!$F$7,"High",""))</f>
        <v/>
      </c>
      <c r="K861" s="6" t="str">
        <f aca="false">IF(C861&lt;Outliers!$E$8,"Low",IF(C861&gt;Outliers!$F$8,"High",""))</f>
        <v/>
      </c>
      <c r="L861" s="6" t="str">
        <f aca="false">A861&amp;";"&amp;B861&amp;";"&amp;C861</f>
        <v>24.87425505;48.28137482;27.0177162337373</v>
      </c>
      <c r="M861" s="6" t="n">
        <f aca="false">IF(COUNTIF($L$2:$L$2201,L861)&gt;1,1,0)</f>
        <v>0</v>
      </c>
      <c r="N861" s="6" t="str">
        <f aca="false">IF(AND(C861&lt;Assumptions!$B$9,B861&lt;Assumptions!$B$10),"Irrigate Now",IF(AND(C861&gt;=Assumptions!$B$11,B861&gt;=Assumptions!$B$12),"No Irrigation Needed","Monitor"))</f>
        <v>Monitor</v>
      </c>
      <c r="O861" s="6" t="n">
        <f aca="false">IF(N861=G861,1,0)</f>
        <v>1</v>
      </c>
    </row>
    <row r="862" customFormat="false" ht="15" hidden="false" customHeight="false" outlineLevel="0" collapsed="false">
      <c r="A862" s="16" t="n">
        <v>23.97081395</v>
      </c>
      <c r="B862" s="16" t="n">
        <v>53.40906048</v>
      </c>
      <c r="C862" s="16" t="n">
        <v>22.6181125142779</v>
      </c>
      <c r="D862" s="6" t="s">
        <v>57</v>
      </c>
      <c r="E862" s="6" t="s">
        <v>57</v>
      </c>
      <c r="F862" s="6" t="s">
        <v>60</v>
      </c>
      <c r="G862" s="6" t="s">
        <v>61</v>
      </c>
      <c r="H862" s="6" t="s">
        <v>63</v>
      </c>
      <c r="I862" s="6" t="str">
        <f aca="false">IF(A862&lt;Outliers!$E$6,"Low",IF(A862&gt;Outliers!$F$6,"High",""))</f>
        <v/>
      </c>
      <c r="J862" s="6" t="str">
        <f aca="false">IF(B862&lt;Outliers!$E$7,"Low",IF(B862&gt;Outliers!$F$7,"High",""))</f>
        <v/>
      </c>
      <c r="K862" s="6" t="str">
        <f aca="false">IF(C862&lt;Outliers!$E$8,"Low",IF(C862&gt;Outliers!$F$8,"High",""))</f>
        <v/>
      </c>
      <c r="L862" s="6" t="str">
        <f aca="false">A862&amp;";"&amp;B862&amp;";"&amp;C862</f>
        <v>23.97081395;53.40906048;22.6181125142779</v>
      </c>
      <c r="M862" s="6" t="n">
        <f aca="false">IF(COUNTIF($L$2:$L$2201,L862)&gt;1,1,0)</f>
        <v>0</v>
      </c>
      <c r="N862" s="6" t="str">
        <f aca="false">IF(AND(C862&lt;Assumptions!$B$9,B862&lt;Assumptions!$B$10),"Irrigate Now",IF(AND(C862&gt;=Assumptions!$B$11,B862&gt;=Assumptions!$B$12),"No Irrigation Needed","Monitor"))</f>
        <v>Monitor</v>
      </c>
      <c r="O862" s="6" t="n">
        <f aca="false">IF(N862=G862,1,0)</f>
        <v>1</v>
      </c>
    </row>
    <row r="863" customFormat="false" ht="15" hidden="false" customHeight="false" outlineLevel="0" collapsed="false">
      <c r="A863" s="16" t="n">
        <v>20.06003985</v>
      </c>
      <c r="B863" s="16" t="n">
        <v>42.89509057</v>
      </c>
      <c r="C863" s="16" t="n">
        <v>18.3291498554865</v>
      </c>
      <c r="D863" s="6" t="s">
        <v>57</v>
      </c>
      <c r="E863" s="6" t="s">
        <v>23</v>
      </c>
      <c r="F863" s="6" t="s">
        <v>24</v>
      </c>
      <c r="G863" s="6" t="s">
        <v>61</v>
      </c>
      <c r="H863" s="6" t="s">
        <v>63</v>
      </c>
      <c r="I863" s="6" t="str">
        <f aca="false">IF(A863&lt;Outliers!$E$6,"Low",IF(A863&gt;Outliers!$F$6,"High",""))</f>
        <v/>
      </c>
      <c r="J863" s="6" t="str">
        <f aca="false">IF(B863&lt;Outliers!$E$7,"Low",IF(B863&gt;Outliers!$F$7,"High",""))</f>
        <v/>
      </c>
      <c r="K863" s="6" t="str">
        <f aca="false">IF(C863&lt;Outliers!$E$8,"Low",IF(C863&gt;Outliers!$F$8,"High",""))</f>
        <v/>
      </c>
      <c r="L863" s="6" t="str">
        <f aca="false">A863&amp;";"&amp;B863&amp;";"&amp;C863</f>
        <v>20.06003985;42.89509057;18.3291498554865</v>
      </c>
      <c r="M863" s="6" t="n">
        <f aca="false">IF(COUNTIF($L$2:$L$2201,L863)&gt;1,1,0)</f>
        <v>0</v>
      </c>
      <c r="N863" s="6" t="str">
        <f aca="false">IF(AND(C863&lt;Assumptions!$B$9,B863&lt;Assumptions!$B$10),"Irrigate Now",IF(AND(C863&gt;=Assumptions!$B$11,B863&gt;=Assumptions!$B$12),"No Irrigation Needed","Monitor"))</f>
        <v>Monitor</v>
      </c>
      <c r="O863" s="6" t="n">
        <f aca="false">IF(N863=G863,1,0)</f>
        <v>1</v>
      </c>
    </row>
    <row r="864" customFormat="false" ht="15" hidden="false" customHeight="false" outlineLevel="0" collapsed="false">
      <c r="A864" s="16" t="n">
        <v>19.59221047</v>
      </c>
      <c r="B864" s="16" t="n">
        <v>41.7704893</v>
      </c>
      <c r="C864" s="16" t="n">
        <v>11.9082885219703</v>
      </c>
      <c r="D864" s="6" t="s">
        <v>66</v>
      </c>
      <c r="E864" s="6" t="s">
        <v>23</v>
      </c>
      <c r="F864" s="6" t="s">
        <v>24</v>
      </c>
      <c r="G864" s="6" t="s">
        <v>64</v>
      </c>
      <c r="H864" s="6" t="s">
        <v>65</v>
      </c>
      <c r="I864" s="6" t="str">
        <f aca="false">IF(A864&lt;Outliers!$E$6,"Low",IF(A864&gt;Outliers!$F$6,"High",""))</f>
        <v/>
      </c>
      <c r="J864" s="6" t="str">
        <f aca="false">IF(B864&lt;Outliers!$E$7,"Low",IF(B864&gt;Outliers!$F$7,"High",""))</f>
        <v/>
      </c>
      <c r="K864" s="6" t="str">
        <f aca="false">IF(C864&lt;Outliers!$E$8,"Low",IF(C864&gt;Outliers!$F$8,"High",""))</f>
        <v/>
      </c>
      <c r="L864" s="6" t="str">
        <f aca="false">A864&amp;";"&amp;B864&amp;";"&amp;C864</f>
        <v>19.59221047;41.7704893;11.9082885219703</v>
      </c>
      <c r="M864" s="6" t="n">
        <f aca="false">IF(COUNTIF($L$2:$L$2201,L864)&gt;1,1,0)</f>
        <v>0</v>
      </c>
      <c r="N864" s="6" t="str">
        <f aca="false">IF(AND(C864&lt;Assumptions!$B$9,B864&lt;Assumptions!$B$10),"Irrigate Now",IF(AND(C864&gt;=Assumptions!$B$11,B864&gt;=Assumptions!$B$12),"No Irrigation Needed","Monitor"))</f>
        <v>Irrigate Now</v>
      </c>
      <c r="O864" s="6" t="n">
        <f aca="false">IF(N864=G864,1,0)</f>
        <v>1</v>
      </c>
    </row>
    <row r="865" customFormat="false" ht="15" hidden="false" customHeight="false" outlineLevel="0" collapsed="false">
      <c r="A865" s="16" t="n">
        <v>29.77013109</v>
      </c>
      <c r="B865" s="16" t="n">
        <v>35.69674138</v>
      </c>
      <c r="C865" s="16" t="n">
        <v>27.0938743001139</v>
      </c>
      <c r="D865" s="6" t="s">
        <v>57</v>
      </c>
      <c r="E865" s="6" t="s">
        <v>23</v>
      </c>
      <c r="F865" s="6" t="s">
        <v>23</v>
      </c>
      <c r="G865" s="6" t="s">
        <v>61</v>
      </c>
      <c r="H865" s="6" t="s">
        <v>63</v>
      </c>
      <c r="I865" s="6" t="str">
        <f aca="false">IF(A865&lt;Outliers!$E$6,"Low",IF(A865&gt;Outliers!$F$6,"High",""))</f>
        <v/>
      </c>
      <c r="J865" s="6" t="str">
        <f aca="false">IF(B865&lt;Outliers!$E$7,"Low",IF(B865&gt;Outliers!$F$7,"High",""))</f>
        <v/>
      </c>
      <c r="K865" s="6" t="str">
        <f aca="false">IF(C865&lt;Outliers!$E$8,"Low",IF(C865&gt;Outliers!$F$8,"High",""))</f>
        <v/>
      </c>
      <c r="L865" s="6" t="str">
        <f aca="false">A865&amp;";"&amp;B865&amp;";"&amp;C865</f>
        <v>29.77013109;35.69674138;27.0938743001139</v>
      </c>
      <c r="M865" s="6" t="n">
        <f aca="false">IF(COUNTIF($L$2:$L$2201,L865)&gt;1,1,0)</f>
        <v>0</v>
      </c>
      <c r="N865" s="6" t="str">
        <f aca="false">IF(AND(C865&lt;Assumptions!$B$9,B865&lt;Assumptions!$B$10),"Irrigate Now",IF(AND(C865&gt;=Assumptions!$B$11,B865&gt;=Assumptions!$B$12),"No Irrigation Needed","Monitor"))</f>
        <v>Monitor</v>
      </c>
      <c r="O865" s="6" t="n">
        <f aca="false">IF(N865=G865,1,0)</f>
        <v>1</v>
      </c>
    </row>
    <row r="866" customFormat="false" ht="15" hidden="false" customHeight="false" outlineLevel="0" collapsed="false">
      <c r="A866" s="16" t="n">
        <v>27.52135365</v>
      </c>
      <c r="B866" s="16" t="n">
        <v>48.06491307</v>
      </c>
      <c r="C866" s="16" t="n">
        <v>20.1071378597972</v>
      </c>
      <c r="D866" s="6" t="s">
        <v>57</v>
      </c>
      <c r="E866" s="6" t="s">
        <v>23</v>
      </c>
      <c r="F866" s="6" t="s">
        <v>60</v>
      </c>
      <c r="G866" s="6" t="s">
        <v>61</v>
      </c>
      <c r="H866" s="6" t="s">
        <v>63</v>
      </c>
      <c r="I866" s="6" t="str">
        <f aca="false">IF(A866&lt;Outliers!$E$6,"Low",IF(A866&gt;Outliers!$F$6,"High",""))</f>
        <v/>
      </c>
      <c r="J866" s="6" t="str">
        <f aca="false">IF(B866&lt;Outliers!$E$7,"Low",IF(B866&gt;Outliers!$F$7,"High",""))</f>
        <v/>
      </c>
      <c r="K866" s="6" t="str">
        <f aca="false">IF(C866&lt;Outliers!$E$8,"Low",IF(C866&gt;Outliers!$F$8,"High",""))</f>
        <v/>
      </c>
      <c r="L866" s="6" t="str">
        <f aca="false">A866&amp;";"&amp;B866&amp;";"&amp;C866</f>
        <v>27.52135365;48.06491307;20.1071378597972</v>
      </c>
      <c r="M866" s="6" t="n">
        <f aca="false">IF(COUNTIF($L$2:$L$2201,L866)&gt;1,1,0)</f>
        <v>0</v>
      </c>
      <c r="N866" s="6" t="str">
        <f aca="false">IF(AND(C866&lt;Assumptions!$B$9,B866&lt;Assumptions!$B$10),"Irrigate Now",IF(AND(C866&gt;=Assumptions!$B$11,B866&gt;=Assumptions!$B$12),"No Irrigation Needed","Monitor"))</f>
        <v>Monitor</v>
      </c>
      <c r="O866" s="6" t="n">
        <f aca="false">IF(N866=G866,1,0)</f>
        <v>1</v>
      </c>
    </row>
    <row r="867" customFormat="false" ht="15" hidden="false" customHeight="false" outlineLevel="0" collapsed="false">
      <c r="A867" s="16" t="n">
        <v>25.62896213</v>
      </c>
      <c r="B867" s="16" t="n">
        <v>45.49683991</v>
      </c>
      <c r="C867" s="16" t="n">
        <v>14.6173769982491</v>
      </c>
      <c r="D867" s="6" t="s">
        <v>57</v>
      </c>
      <c r="E867" s="6" t="s">
        <v>23</v>
      </c>
      <c r="F867" s="6" t="s">
        <v>24</v>
      </c>
      <c r="G867" s="6" t="s">
        <v>64</v>
      </c>
      <c r="H867" s="6" t="s">
        <v>65</v>
      </c>
      <c r="I867" s="6" t="str">
        <f aca="false">IF(A867&lt;Outliers!$E$6,"Low",IF(A867&gt;Outliers!$F$6,"High",""))</f>
        <v/>
      </c>
      <c r="J867" s="6" t="str">
        <f aca="false">IF(B867&lt;Outliers!$E$7,"Low",IF(B867&gt;Outliers!$F$7,"High",""))</f>
        <v/>
      </c>
      <c r="K867" s="6" t="str">
        <f aca="false">IF(C867&lt;Outliers!$E$8,"Low",IF(C867&gt;Outliers!$F$8,"High",""))</f>
        <v/>
      </c>
      <c r="L867" s="6" t="str">
        <f aca="false">A867&amp;";"&amp;B867&amp;";"&amp;C867</f>
        <v>25.62896213;45.49683991;14.6173769982491</v>
      </c>
      <c r="M867" s="6" t="n">
        <f aca="false">IF(COUNTIF($L$2:$L$2201,L867)&gt;1,1,0)</f>
        <v>0</v>
      </c>
      <c r="N867" s="6" t="str">
        <f aca="false">IF(AND(C867&lt;Assumptions!$B$9,B867&lt;Assumptions!$B$10),"Irrigate Now",IF(AND(C867&gt;=Assumptions!$B$11,B867&gt;=Assumptions!$B$12),"No Irrigation Needed","Monitor"))</f>
        <v>Irrigate Now</v>
      </c>
      <c r="O867" s="6" t="n">
        <f aca="false">IF(N867=G867,1,0)</f>
        <v>1</v>
      </c>
    </row>
    <row r="868" customFormat="false" ht="15" hidden="false" customHeight="false" outlineLevel="0" collapsed="false">
      <c r="A868" s="16" t="n">
        <v>20.39078312</v>
      </c>
      <c r="B868" s="16" t="n">
        <v>53.31508572</v>
      </c>
      <c r="C868" s="16" t="n">
        <v>20.0957892861281</v>
      </c>
      <c r="D868" s="6" t="s">
        <v>57</v>
      </c>
      <c r="E868" s="6" t="s">
        <v>57</v>
      </c>
      <c r="F868" s="6" t="s">
        <v>60</v>
      </c>
      <c r="G868" s="6" t="s">
        <v>61</v>
      </c>
      <c r="H868" s="6" t="s">
        <v>63</v>
      </c>
      <c r="I868" s="6" t="str">
        <f aca="false">IF(A868&lt;Outliers!$E$6,"Low",IF(A868&gt;Outliers!$F$6,"High",""))</f>
        <v/>
      </c>
      <c r="J868" s="6" t="str">
        <f aca="false">IF(B868&lt;Outliers!$E$7,"Low",IF(B868&gt;Outliers!$F$7,"High",""))</f>
        <v/>
      </c>
      <c r="K868" s="6" t="str">
        <f aca="false">IF(C868&lt;Outliers!$E$8,"Low",IF(C868&gt;Outliers!$F$8,"High",""))</f>
        <v/>
      </c>
      <c r="L868" s="6" t="str">
        <f aca="false">A868&amp;";"&amp;B868&amp;";"&amp;C868</f>
        <v>20.39078312;53.31508572;20.0957892861281</v>
      </c>
      <c r="M868" s="6" t="n">
        <f aca="false">IF(COUNTIF($L$2:$L$2201,L868)&gt;1,1,0)</f>
        <v>0</v>
      </c>
      <c r="N868" s="6" t="str">
        <f aca="false">IF(AND(C868&lt;Assumptions!$B$9,B868&lt;Assumptions!$B$10),"Irrigate Now",IF(AND(C868&gt;=Assumptions!$B$11,B868&gt;=Assumptions!$B$12),"No Irrigation Needed","Monitor"))</f>
        <v>Monitor</v>
      </c>
      <c r="O868" s="6" t="n">
        <f aca="false">IF(N868=G868,1,0)</f>
        <v>1</v>
      </c>
    </row>
    <row r="869" customFormat="false" ht="15" hidden="false" customHeight="false" outlineLevel="0" collapsed="false">
      <c r="A869" s="16" t="n">
        <v>25.39038396</v>
      </c>
      <c r="B869" s="16" t="n">
        <v>39.18374505</v>
      </c>
      <c r="C869" s="16" t="n">
        <v>29.6186391544806</v>
      </c>
      <c r="D869" s="6" t="s">
        <v>57</v>
      </c>
      <c r="E869" s="6" t="s">
        <v>23</v>
      </c>
      <c r="F869" s="6" t="s">
        <v>23</v>
      </c>
      <c r="G869" s="6" t="s">
        <v>61</v>
      </c>
      <c r="H869" s="6" t="s">
        <v>63</v>
      </c>
      <c r="I869" s="6" t="str">
        <f aca="false">IF(A869&lt;Outliers!$E$6,"Low",IF(A869&gt;Outliers!$F$6,"High",""))</f>
        <v/>
      </c>
      <c r="J869" s="6" t="str">
        <f aca="false">IF(B869&lt;Outliers!$E$7,"Low",IF(B869&gt;Outliers!$F$7,"High",""))</f>
        <v/>
      </c>
      <c r="K869" s="6" t="str">
        <f aca="false">IF(C869&lt;Outliers!$E$8,"Low",IF(C869&gt;Outliers!$F$8,"High",""))</f>
        <v/>
      </c>
      <c r="L869" s="6" t="str">
        <f aca="false">A869&amp;";"&amp;B869&amp;";"&amp;C869</f>
        <v>25.39038396;39.18374505;29.6186391544806</v>
      </c>
      <c r="M869" s="6" t="n">
        <f aca="false">IF(COUNTIF($L$2:$L$2201,L869)&gt;1,1,0)</f>
        <v>0</v>
      </c>
      <c r="N869" s="6" t="str">
        <f aca="false">IF(AND(C869&lt;Assumptions!$B$9,B869&lt;Assumptions!$B$10),"Irrigate Now",IF(AND(C869&gt;=Assumptions!$B$11,B869&gt;=Assumptions!$B$12),"No Irrigation Needed","Monitor"))</f>
        <v>Monitor</v>
      </c>
      <c r="O869" s="6" t="n">
        <f aca="false">IF(N869=G869,1,0)</f>
        <v>1</v>
      </c>
    </row>
    <row r="870" customFormat="false" ht="15" hidden="false" customHeight="false" outlineLevel="0" collapsed="false">
      <c r="A870" s="16" t="n">
        <v>24.91079638</v>
      </c>
      <c r="B870" s="16" t="n">
        <v>42.19740397</v>
      </c>
      <c r="C870" s="16" t="n">
        <v>23.3678172902409</v>
      </c>
      <c r="D870" s="6" t="s">
        <v>57</v>
      </c>
      <c r="E870" s="6" t="s">
        <v>23</v>
      </c>
      <c r="F870" s="6" t="s">
        <v>60</v>
      </c>
      <c r="G870" s="6" t="s">
        <v>61</v>
      </c>
      <c r="H870" s="6" t="s">
        <v>63</v>
      </c>
      <c r="I870" s="6" t="str">
        <f aca="false">IF(A870&lt;Outliers!$E$6,"Low",IF(A870&gt;Outliers!$F$6,"High",""))</f>
        <v/>
      </c>
      <c r="J870" s="6" t="str">
        <f aca="false">IF(B870&lt;Outliers!$E$7,"Low",IF(B870&gt;Outliers!$F$7,"High",""))</f>
        <v/>
      </c>
      <c r="K870" s="6" t="str">
        <f aca="false">IF(C870&lt;Outliers!$E$8,"Low",IF(C870&gt;Outliers!$F$8,"High",""))</f>
        <v/>
      </c>
      <c r="L870" s="6" t="str">
        <f aca="false">A870&amp;";"&amp;B870&amp;";"&amp;C870</f>
        <v>24.91079638;42.19740397;23.3678172902409</v>
      </c>
      <c r="M870" s="6" t="n">
        <f aca="false">IF(COUNTIF($L$2:$L$2201,L870)&gt;1,1,0)</f>
        <v>0</v>
      </c>
      <c r="N870" s="6" t="str">
        <f aca="false">IF(AND(C870&lt;Assumptions!$B$9,B870&lt;Assumptions!$B$10),"Irrigate Now",IF(AND(C870&gt;=Assumptions!$B$11,B870&gt;=Assumptions!$B$12),"No Irrigation Needed","Monitor"))</f>
        <v>Monitor</v>
      </c>
      <c r="O870" s="6" t="n">
        <f aca="false">IF(N870=G870,1,0)</f>
        <v>1</v>
      </c>
    </row>
    <row r="871" customFormat="false" ht="15" hidden="false" customHeight="false" outlineLevel="0" collapsed="false">
      <c r="A871" s="16" t="n">
        <v>27.70496805</v>
      </c>
      <c r="B871" s="16" t="n">
        <v>37.46160727</v>
      </c>
      <c r="C871" s="16" t="n">
        <v>14.5687824265023</v>
      </c>
      <c r="D871" s="6" t="s">
        <v>57</v>
      </c>
      <c r="E871" s="6" t="s">
        <v>23</v>
      </c>
      <c r="F871" s="6" t="s">
        <v>24</v>
      </c>
      <c r="G871" s="6" t="s">
        <v>64</v>
      </c>
      <c r="H871" s="6" t="s">
        <v>65</v>
      </c>
      <c r="I871" s="6" t="str">
        <f aca="false">IF(A871&lt;Outliers!$E$6,"Low",IF(A871&gt;Outliers!$F$6,"High",""))</f>
        <v/>
      </c>
      <c r="J871" s="6" t="str">
        <f aca="false">IF(B871&lt;Outliers!$E$7,"Low",IF(B871&gt;Outliers!$F$7,"High",""))</f>
        <v/>
      </c>
      <c r="K871" s="6" t="str">
        <f aca="false">IF(C871&lt;Outliers!$E$8,"Low",IF(C871&gt;Outliers!$F$8,"High",""))</f>
        <v/>
      </c>
      <c r="L871" s="6" t="str">
        <f aca="false">A871&amp;";"&amp;B871&amp;";"&amp;C871</f>
        <v>27.70496805;37.46160727;14.5687824265023</v>
      </c>
      <c r="M871" s="6" t="n">
        <f aca="false">IF(COUNTIF($L$2:$L$2201,L871)&gt;1,1,0)</f>
        <v>0</v>
      </c>
      <c r="N871" s="6" t="str">
        <f aca="false">IF(AND(C871&lt;Assumptions!$B$9,B871&lt;Assumptions!$B$10),"Irrigate Now",IF(AND(C871&gt;=Assumptions!$B$11,B871&gt;=Assumptions!$B$12),"No Irrigation Needed","Monitor"))</f>
        <v>Irrigate Now</v>
      </c>
      <c r="O871" s="6" t="n">
        <f aca="false">IF(N871=G871,1,0)</f>
        <v>1</v>
      </c>
    </row>
    <row r="872" customFormat="false" ht="15" hidden="false" customHeight="false" outlineLevel="0" collapsed="false">
      <c r="A872" s="16" t="n">
        <v>18.06486101</v>
      </c>
      <c r="B872" s="16" t="n">
        <v>51.54922825</v>
      </c>
      <c r="C872" s="16" t="n">
        <v>16.7090907099222</v>
      </c>
      <c r="D872" s="6" t="s">
        <v>66</v>
      </c>
      <c r="E872" s="6" t="s">
        <v>57</v>
      </c>
      <c r="F872" s="6" t="s">
        <v>24</v>
      </c>
      <c r="G872" s="6" t="s">
        <v>64</v>
      </c>
      <c r="H872" s="6" t="s">
        <v>65</v>
      </c>
      <c r="I872" s="6" t="str">
        <f aca="false">IF(A872&lt;Outliers!$E$6,"Low",IF(A872&gt;Outliers!$F$6,"High",""))</f>
        <v/>
      </c>
      <c r="J872" s="6" t="str">
        <f aca="false">IF(B872&lt;Outliers!$E$7,"Low",IF(B872&gt;Outliers!$F$7,"High",""))</f>
        <v/>
      </c>
      <c r="K872" s="6" t="str">
        <f aca="false">IF(C872&lt;Outliers!$E$8,"Low",IF(C872&gt;Outliers!$F$8,"High",""))</f>
        <v/>
      </c>
      <c r="L872" s="6" t="str">
        <f aca="false">A872&amp;";"&amp;B872&amp;";"&amp;C872</f>
        <v>18.06486101;51.54922825;16.7090907099222</v>
      </c>
      <c r="M872" s="6" t="n">
        <f aca="false">IF(COUNTIF($L$2:$L$2201,L872)&gt;1,1,0)</f>
        <v>0</v>
      </c>
      <c r="N872" s="6" t="str">
        <f aca="false">IF(AND(C872&lt;Assumptions!$B$9,B872&lt;Assumptions!$B$10),"Irrigate Now",IF(AND(C872&gt;=Assumptions!$B$11,B872&gt;=Assumptions!$B$12),"No Irrigation Needed","Monitor"))</f>
        <v>Irrigate Now</v>
      </c>
      <c r="O872" s="6" t="n">
        <f aca="false">IF(N872=G872,1,0)</f>
        <v>1</v>
      </c>
    </row>
    <row r="873" customFormat="false" ht="15" hidden="false" customHeight="false" outlineLevel="0" collapsed="false">
      <c r="A873" s="16" t="n">
        <v>18.13027797</v>
      </c>
      <c r="B873" s="16" t="n">
        <v>50.6128521</v>
      </c>
      <c r="C873" s="16" t="n">
        <v>19.3473544047614</v>
      </c>
      <c r="D873" s="6" t="s">
        <v>66</v>
      </c>
      <c r="E873" s="6" t="s">
        <v>57</v>
      </c>
      <c r="F873" s="6" t="s">
        <v>60</v>
      </c>
      <c r="G873" s="6" t="s">
        <v>61</v>
      </c>
      <c r="H873" s="6" t="s">
        <v>63</v>
      </c>
      <c r="I873" s="6" t="str">
        <f aca="false">IF(A873&lt;Outliers!$E$6,"Low",IF(A873&gt;Outliers!$F$6,"High",""))</f>
        <v/>
      </c>
      <c r="J873" s="6" t="str">
        <f aca="false">IF(B873&lt;Outliers!$E$7,"Low",IF(B873&gt;Outliers!$F$7,"High",""))</f>
        <v/>
      </c>
      <c r="K873" s="6" t="str">
        <f aca="false">IF(C873&lt;Outliers!$E$8,"Low",IF(C873&gt;Outliers!$F$8,"High",""))</f>
        <v/>
      </c>
      <c r="L873" s="6" t="str">
        <f aca="false">A873&amp;";"&amp;B873&amp;";"&amp;C873</f>
        <v>18.13027797;50.6128521;19.3473544047614</v>
      </c>
      <c r="M873" s="6" t="n">
        <f aca="false">IF(COUNTIF($L$2:$L$2201,L873)&gt;1,1,0)</f>
        <v>0</v>
      </c>
      <c r="N873" s="6" t="str">
        <f aca="false">IF(AND(C873&lt;Assumptions!$B$9,B873&lt;Assumptions!$B$10),"Irrigate Now",IF(AND(C873&gt;=Assumptions!$B$11,B873&gt;=Assumptions!$B$12),"No Irrigation Needed","Monitor"))</f>
        <v>Monitor</v>
      </c>
      <c r="O873" s="6" t="n">
        <f aca="false">IF(N873=G873,1,0)</f>
        <v>1</v>
      </c>
    </row>
    <row r="874" customFormat="false" ht="15" hidden="false" customHeight="false" outlineLevel="0" collapsed="false">
      <c r="A874" s="16" t="n">
        <v>23.82723528</v>
      </c>
      <c r="B874" s="16" t="n">
        <v>46.90725077</v>
      </c>
      <c r="C874" s="16" t="n">
        <v>12.5801439770346</v>
      </c>
      <c r="D874" s="6" t="s">
        <v>57</v>
      </c>
      <c r="E874" s="6" t="s">
        <v>23</v>
      </c>
      <c r="F874" s="6" t="s">
        <v>24</v>
      </c>
      <c r="G874" s="6" t="s">
        <v>64</v>
      </c>
      <c r="H874" s="6" t="s">
        <v>65</v>
      </c>
      <c r="I874" s="6" t="str">
        <f aca="false">IF(A874&lt;Outliers!$E$6,"Low",IF(A874&gt;Outliers!$F$6,"High",""))</f>
        <v/>
      </c>
      <c r="J874" s="6" t="str">
        <f aca="false">IF(B874&lt;Outliers!$E$7,"Low",IF(B874&gt;Outliers!$F$7,"High",""))</f>
        <v/>
      </c>
      <c r="K874" s="6" t="str">
        <f aca="false">IF(C874&lt;Outliers!$E$8,"Low",IF(C874&gt;Outliers!$F$8,"High",""))</f>
        <v/>
      </c>
      <c r="L874" s="6" t="str">
        <f aca="false">A874&amp;";"&amp;B874&amp;";"&amp;C874</f>
        <v>23.82723528;46.90725077;12.5801439770346</v>
      </c>
      <c r="M874" s="6" t="n">
        <f aca="false">IF(COUNTIF($L$2:$L$2201,L874)&gt;1,1,0)</f>
        <v>0</v>
      </c>
      <c r="N874" s="6" t="str">
        <f aca="false">IF(AND(C874&lt;Assumptions!$B$9,B874&lt;Assumptions!$B$10),"Irrigate Now",IF(AND(C874&gt;=Assumptions!$B$11,B874&gt;=Assumptions!$B$12),"No Irrigation Needed","Monitor"))</f>
        <v>Irrigate Now</v>
      </c>
      <c r="O874" s="6" t="n">
        <f aca="false">IF(N874=G874,1,0)</f>
        <v>1</v>
      </c>
    </row>
    <row r="875" customFormat="false" ht="15" hidden="false" customHeight="false" outlineLevel="0" collapsed="false">
      <c r="A875" s="16" t="n">
        <v>23.19305333</v>
      </c>
      <c r="B875" s="16" t="n">
        <v>49.55213308</v>
      </c>
      <c r="C875" s="16" t="n">
        <v>25.5031494222285</v>
      </c>
      <c r="D875" s="6" t="s">
        <v>57</v>
      </c>
      <c r="E875" s="6" t="s">
        <v>23</v>
      </c>
      <c r="F875" s="6" t="s">
        <v>60</v>
      </c>
      <c r="G875" s="6" t="s">
        <v>61</v>
      </c>
      <c r="H875" s="6" t="s">
        <v>63</v>
      </c>
      <c r="I875" s="6" t="str">
        <f aca="false">IF(A875&lt;Outliers!$E$6,"Low",IF(A875&gt;Outliers!$F$6,"High",""))</f>
        <v/>
      </c>
      <c r="J875" s="6" t="str">
        <f aca="false">IF(B875&lt;Outliers!$E$7,"Low",IF(B875&gt;Outliers!$F$7,"High",""))</f>
        <v/>
      </c>
      <c r="K875" s="6" t="str">
        <f aca="false">IF(C875&lt;Outliers!$E$8,"Low",IF(C875&gt;Outliers!$F$8,"High",""))</f>
        <v/>
      </c>
      <c r="L875" s="6" t="str">
        <f aca="false">A875&amp;";"&amp;B875&amp;";"&amp;C875</f>
        <v>23.19305333;49.55213308;25.5031494222285</v>
      </c>
      <c r="M875" s="6" t="n">
        <f aca="false">IF(COUNTIF($L$2:$L$2201,L875)&gt;1,1,0)</f>
        <v>0</v>
      </c>
      <c r="N875" s="6" t="str">
        <f aca="false">IF(AND(C875&lt;Assumptions!$B$9,B875&lt;Assumptions!$B$10),"Irrigate Now",IF(AND(C875&gt;=Assumptions!$B$11,B875&gt;=Assumptions!$B$12),"No Irrigation Needed","Monitor"))</f>
        <v>Monitor</v>
      </c>
      <c r="O875" s="6" t="n">
        <f aca="false">IF(N875=G875,1,0)</f>
        <v>1</v>
      </c>
    </row>
    <row r="876" customFormat="false" ht="15" hidden="false" customHeight="false" outlineLevel="0" collapsed="false">
      <c r="A876" s="16" t="n">
        <v>25.08966129</v>
      </c>
      <c r="B876" s="16" t="n">
        <v>41.45486619</v>
      </c>
      <c r="C876" s="16" t="n">
        <v>24.3598383359647</v>
      </c>
      <c r="D876" s="6" t="s">
        <v>57</v>
      </c>
      <c r="E876" s="6" t="s">
        <v>23</v>
      </c>
      <c r="F876" s="6" t="s">
        <v>60</v>
      </c>
      <c r="G876" s="6" t="s">
        <v>61</v>
      </c>
      <c r="H876" s="6" t="s">
        <v>63</v>
      </c>
      <c r="I876" s="6" t="str">
        <f aca="false">IF(A876&lt;Outliers!$E$6,"Low",IF(A876&gt;Outliers!$F$6,"High",""))</f>
        <v/>
      </c>
      <c r="J876" s="6" t="str">
        <f aca="false">IF(B876&lt;Outliers!$E$7,"Low",IF(B876&gt;Outliers!$F$7,"High",""))</f>
        <v/>
      </c>
      <c r="K876" s="6" t="str">
        <f aca="false">IF(C876&lt;Outliers!$E$8,"Low",IF(C876&gt;Outliers!$F$8,"High",""))</f>
        <v/>
      </c>
      <c r="L876" s="6" t="str">
        <f aca="false">A876&amp;";"&amp;B876&amp;";"&amp;C876</f>
        <v>25.08966129;41.45486619;24.3598383359647</v>
      </c>
      <c r="M876" s="6" t="n">
        <f aca="false">IF(COUNTIF($L$2:$L$2201,L876)&gt;1,1,0)</f>
        <v>0</v>
      </c>
      <c r="N876" s="6" t="str">
        <f aca="false">IF(AND(C876&lt;Assumptions!$B$9,B876&lt;Assumptions!$B$10),"Irrigate Now",IF(AND(C876&gt;=Assumptions!$B$11,B876&gt;=Assumptions!$B$12),"No Irrigation Needed","Monitor"))</f>
        <v>Monitor</v>
      </c>
      <c r="O876" s="6" t="n">
        <f aca="false">IF(N876=G876,1,0)</f>
        <v>1</v>
      </c>
    </row>
    <row r="877" customFormat="false" ht="15" hidden="false" customHeight="false" outlineLevel="0" collapsed="false">
      <c r="A877" s="16" t="n">
        <v>25.86928193</v>
      </c>
      <c r="B877" s="16" t="n">
        <v>36.68284038</v>
      </c>
      <c r="C877" s="16" t="n">
        <v>20.5287131393018</v>
      </c>
      <c r="D877" s="6" t="s">
        <v>57</v>
      </c>
      <c r="E877" s="6" t="s">
        <v>23</v>
      </c>
      <c r="F877" s="6" t="s">
        <v>60</v>
      </c>
      <c r="G877" s="6" t="s">
        <v>61</v>
      </c>
      <c r="H877" s="6" t="s">
        <v>63</v>
      </c>
      <c r="I877" s="6" t="str">
        <f aca="false">IF(A877&lt;Outliers!$E$6,"Low",IF(A877&gt;Outliers!$F$6,"High",""))</f>
        <v/>
      </c>
      <c r="J877" s="6" t="str">
        <f aca="false">IF(B877&lt;Outliers!$E$7,"Low",IF(B877&gt;Outliers!$F$7,"High",""))</f>
        <v/>
      </c>
      <c r="K877" s="6" t="str">
        <f aca="false">IF(C877&lt;Outliers!$E$8,"Low",IF(C877&gt;Outliers!$F$8,"High",""))</f>
        <v/>
      </c>
      <c r="L877" s="6" t="str">
        <f aca="false">A877&amp;";"&amp;B877&amp;";"&amp;C877</f>
        <v>25.86928193;36.68284038;20.5287131393018</v>
      </c>
      <c r="M877" s="6" t="n">
        <f aca="false">IF(COUNTIF($L$2:$L$2201,L877)&gt;1,1,0)</f>
        <v>0</v>
      </c>
      <c r="N877" s="6" t="str">
        <f aca="false">IF(AND(C877&lt;Assumptions!$B$9,B877&lt;Assumptions!$B$10),"Irrigate Now",IF(AND(C877&gt;=Assumptions!$B$11,B877&gt;=Assumptions!$B$12),"No Irrigation Needed","Monitor"))</f>
        <v>Monitor</v>
      </c>
      <c r="O877" s="6" t="n">
        <f aca="false">IF(N877=G877,1,0)</f>
        <v>1</v>
      </c>
    </row>
    <row r="878" customFormat="false" ht="15" hidden="false" customHeight="false" outlineLevel="0" collapsed="false">
      <c r="A878" s="16" t="n">
        <v>18.43966037</v>
      </c>
      <c r="B878" s="16" t="n">
        <v>39.00992137</v>
      </c>
      <c r="C878" s="16" t="n">
        <v>10.2736513686199</v>
      </c>
      <c r="D878" s="6" t="s">
        <v>66</v>
      </c>
      <c r="E878" s="6" t="s">
        <v>23</v>
      </c>
      <c r="F878" s="6" t="s">
        <v>24</v>
      </c>
      <c r="G878" s="6" t="s">
        <v>64</v>
      </c>
      <c r="H878" s="6" t="s">
        <v>65</v>
      </c>
      <c r="I878" s="6" t="str">
        <f aca="false">IF(A878&lt;Outliers!$E$6,"Low",IF(A878&gt;Outliers!$F$6,"High",""))</f>
        <v/>
      </c>
      <c r="J878" s="6" t="str">
        <f aca="false">IF(B878&lt;Outliers!$E$7,"Low",IF(B878&gt;Outliers!$F$7,"High",""))</f>
        <v/>
      </c>
      <c r="K878" s="6" t="str">
        <f aca="false">IF(C878&lt;Outliers!$E$8,"Low",IF(C878&gt;Outliers!$F$8,"High",""))</f>
        <v/>
      </c>
      <c r="L878" s="6" t="str">
        <f aca="false">A878&amp;";"&amp;B878&amp;";"&amp;C878</f>
        <v>18.43966037;39.00992137;10.2736513686199</v>
      </c>
      <c r="M878" s="6" t="n">
        <f aca="false">IF(COUNTIF($L$2:$L$2201,L878)&gt;1,1,0)</f>
        <v>0</v>
      </c>
      <c r="N878" s="6" t="str">
        <f aca="false">IF(AND(C878&lt;Assumptions!$B$9,B878&lt;Assumptions!$B$10),"Irrigate Now",IF(AND(C878&gt;=Assumptions!$B$11,B878&gt;=Assumptions!$B$12),"No Irrigation Needed","Monitor"))</f>
        <v>Irrigate Now</v>
      </c>
      <c r="O878" s="6" t="n">
        <f aca="false">IF(N878=G878,1,0)</f>
        <v>1</v>
      </c>
    </row>
    <row r="879" customFormat="false" ht="15" hidden="false" customHeight="false" outlineLevel="0" collapsed="false">
      <c r="A879" s="16" t="n">
        <v>27.14911056</v>
      </c>
      <c r="B879" s="16" t="n">
        <v>52.50812701</v>
      </c>
      <c r="C879" s="16" t="n">
        <v>16.8611581426071</v>
      </c>
      <c r="D879" s="6" t="s">
        <v>57</v>
      </c>
      <c r="E879" s="6" t="s">
        <v>57</v>
      </c>
      <c r="F879" s="6" t="s">
        <v>24</v>
      </c>
      <c r="G879" s="6" t="s">
        <v>64</v>
      </c>
      <c r="H879" s="6" t="s">
        <v>65</v>
      </c>
      <c r="I879" s="6" t="str">
        <f aca="false">IF(A879&lt;Outliers!$E$6,"Low",IF(A879&gt;Outliers!$F$6,"High",""))</f>
        <v/>
      </c>
      <c r="J879" s="6" t="str">
        <f aca="false">IF(B879&lt;Outliers!$E$7,"Low",IF(B879&gt;Outliers!$F$7,"High",""))</f>
        <v/>
      </c>
      <c r="K879" s="6" t="str">
        <f aca="false">IF(C879&lt;Outliers!$E$8,"Low",IF(C879&gt;Outliers!$F$8,"High",""))</f>
        <v/>
      </c>
      <c r="L879" s="6" t="str">
        <f aca="false">A879&amp;";"&amp;B879&amp;";"&amp;C879</f>
        <v>27.14911056;52.50812701;16.8611581426071</v>
      </c>
      <c r="M879" s="6" t="n">
        <f aca="false">IF(COUNTIF($L$2:$L$2201,L879)&gt;1,1,0)</f>
        <v>0</v>
      </c>
      <c r="N879" s="6" t="str">
        <f aca="false">IF(AND(C879&lt;Assumptions!$B$9,B879&lt;Assumptions!$B$10),"Irrigate Now",IF(AND(C879&gt;=Assumptions!$B$11,B879&gt;=Assumptions!$B$12),"No Irrigation Needed","Monitor"))</f>
        <v>Irrigate Now</v>
      </c>
      <c r="O879" s="6" t="n">
        <f aca="false">IF(N879=G879,1,0)</f>
        <v>1</v>
      </c>
    </row>
    <row r="880" customFormat="false" ht="15" hidden="false" customHeight="false" outlineLevel="0" collapsed="false">
      <c r="A880" s="16" t="n">
        <v>23.33375853</v>
      </c>
      <c r="B880" s="16" t="n">
        <v>47.01510708</v>
      </c>
      <c r="C880" s="16" t="n">
        <v>11.9118795221024</v>
      </c>
      <c r="D880" s="6" t="s">
        <v>57</v>
      </c>
      <c r="E880" s="6" t="s">
        <v>23</v>
      </c>
      <c r="F880" s="6" t="s">
        <v>24</v>
      </c>
      <c r="G880" s="6" t="s">
        <v>64</v>
      </c>
      <c r="H880" s="6" t="s">
        <v>65</v>
      </c>
      <c r="I880" s="6" t="str">
        <f aca="false">IF(A880&lt;Outliers!$E$6,"Low",IF(A880&gt;Outliers!$F$6,"High",""))</f>
        <v/>
      </c>
      <c r="J880" s="6" t="str">
        <f aca="false">IF(B880&lt;Outliers!$E$7,"Low",IF(B880&gt;Outliers!$F$7,"High",""))</f>
        <v/>
      </c>
      <c r="K880" s="6" t="str">
        <f aca="false">IF(C880&lt;Outliers!$E$8,"Low",IF(C880&gt;Outliers!$F$8,"High",""))</f>
        <v/>
      </c>
      <c r="L880" s="6" t="str">
        <f aca="false">A880&amp;";"&amp;B880&amp;";"&amp;C880</f>
        <v>23.33375853;47.01510708;11.9118795221024</v>
      </c>
      <c r="M880" s="6" t="n">
        <f aca="false">IF(COUNTIF($L$2:$L$2201,L880)&gt;1,1,0)</f>
        <v>0</v>
      </c>
      <c r="N880" s="6" t="str">
        <f aca="false">IF(AND(C880&lt;Assumptions!$B$9,B880&lt;Assumptions!$B$10),"Irrigate Now",IF(AND(C880&gt;=Assumptions!$B$11,B880&gt;=Assumptions!$B$12),"No Irrigation Needed","Monitor"))</f>
        <v>Irrigate Now</v>
      </c>
      <c r="O880" s="6" t="n">
        <f aca="false">IF(N880=G880,1,0)</f>
        <v>1</v>
      </c>
    </row>
    <row r="881" customFormat="false" ht="15" hidden="false" customHeight="false" outlineLevel="0" collapsed="false">
      <c r="A881" s="16" t="n">
        <v>26.7230014</v>
      </c>
      <c r="B881" s="16" t="n">
        <v>42.87274897</v>
      </c>
      <c r="C881" s="16" t="n">
        <v>18.2749429542574</v>
      </c>
      <c r="D881" s="6" t="s">
        <v>57</v>
      </c>
      <c r="E881" s="6" t="s">
        <v>23</v>
      </c>
      <c r="F881" s="6" t="s">
        <v>24</v>
      </c>
      <c r="G881" s="6" t="s">
        <v>61</v>
      </c>
      <c r="H881" s="6" t="s">
        <v>63</v>
      </c>
      <c r="I881" s="6" t="str">
        <f aca="false">IF(A881&lt;Outliers!$E$6,"Low",IF(A881&gt;Outliers!$F$6,"High",""))</f>
        <v/>
      </c>
      <c r="J881" s="6" t="str">
        <f aca="false">IF(B881&lt;Outliers!$E$7,"Low",IF(B881&gt;Outliers!$F$7,"High",""))</f>
        <v/>
      </c>
      <c r="K881" s="6" t="str">
        <f aca="false">IF(C881&lt;Outliers!$E$8,"Low",IF(C881&gt;Outliers!$F$8,"High",""))</f>
        <v/>
      </c>
      <c r="L881" s="6" t="str">
        <f aca="false">A881&amp;";"&amp;B881&amp;";"&amp;C881</f>
        <v>26.7230014;42.87274897;18.2749429542574</v>
      </c>
      <c r="M881" s="6" t="n">
        <f aca="false">IF(COUNTIF($L$2:$L$2201,L881)&gt;1,1,0)</f>
        <v>0</v>
      </c>
      <c r="N881" s="6" t="str">
        <f aca="false">IF(AND(C881&lt;Assumptions!$B$9,B881&lt;Assumptions!$B$10),"Irrigate Now",IF(AND(C881&gt;=Assumptions!$B$11,B881&gt;=Assumptions!$B$12),"No Irrigation Needed","Monitor"))</f>
        <v>Monitor</v>
      </c>
      <c r="O881" s="6" t="n">
        <f aca="false">IF(N881=G881,1,0)</f>
        <v>1</v>
      </c>
    </row>
    <row r="882" customFormat="false" ht="15" hidden="false" customHeight="false" outlineLevel="0" collapsed="false">
      <c r="A882" s="16" t="n">
        <v>19.55750776</v>
      </c>
      <c r="B882" s="16" t="n">
        <v>53.04669416</v>
      </c>
      <c r="C882" s="16" t="n">
        <v>28.7034816020021</v>
      </c>
      <c r="D882" s="6" t="s">
        <v>66</v>
      </c>
      <c r="E882" s="6" t="s">
        <v>57</v>
      </c>
      <c r="F882" s="6" t="s">
        <v>23</v>
      </c>
      <c r="G882" s="6" t="s">
        <v>61</v>
      </c>
      <c r="H882" s="6" t="s">
        <v>63</v>
      </c>
      <c r="I882" s="6" t="str">
        <f aca="false">IF(A882&lt;Outliers!$E$6,"Low",IF(A882&gt;Outliers!$F$6,"High",""))</f>
        <v/>
      </c>
      <c r="J882" s="6" t="str">
        <f aca="false">IF(B882&lt;Outliers!$E$7,"Low",IF(B882&gt;Outliers!$F$7,"High",""))</f>
        <v/>
      </c>
      <c r="K882" s="6" t="str">
        <f aca="false">IF(C882&lt;Outliers!$E$8,"Low",IF(C882&gt;Outliers!$F$8,"High",""))</f>
        <v/>
      </c>
      <c r="L882" s="6" t="str">
        <f aca="false">A882&amp;";"&amp;B882&amp;";"&amp;C882</f>
        <v>19.55750776;53.04669416;28.7034816020021</v>
      </c>
      <c r="M882" s="6" t="n">
        <f aca="false">IF(COUNTIF($L$2:$L$2201,L882)&gt;1,1,0)</f>
        <v>0</v>
      </c>
      <c r="N882" s="6" t="str">
        <f aca="false">IF(AND(C882&lt;Assumptions!$B$9,B882&lt;Assumptions!$B$10),"Irrigate Now",IF(AND(C882&gt;=Assumptions!$B$11,B882&gt;=Assumptions!$B$12),"No Irrigation Needed","Monitor"))</f>
        <v>Monitor</v>
      </c>
      <c r="O882" s="6" t="n">
        <f aca="false">IF(N882=G882,1,0)</f>
        <v>1</v>
      </c>
    </row>
    <row r="883" customFormat="false" ht="15" hidden="false" customHeight="false" outlineLevel="0" collapsed="false">
      <c r="A883" s="16" t="n">
        <v>26.13708256</v>
      </c>
      <c r="B883" s="16" t="n">
        <v>46.48280681</v>
      </c>
      <c r="C883" s="16" t="n">
        <v>26.640420031657</v>
      </c>
      <c r="D883" s="6" t="s">
        <v>57</v>
      </c>
      <c r="E883" s="6" t="s">
        <v>23</v>
      </c>
      <c r="F883" s="6" t="s">
        <v>23</v>
      </c>
      <c r="G883" s="6" t="s">
        <v>61</v>
      </c>
      <c r="H883" s="6" t="s">
        <v>63</v>
      </c>
      <c r="I883" s="6" t="str">
        <f aca="false">IF(A883&lt;Outliers!$E$6,"Low",IF(A883&gt;Outliers!$F$6,"High",""))</f>
        <v/>
      </c>
      <c r="J883" s="6" t="str">
        <f aca="false">IF(B883&lt;Outliers!$E$7,"Low",IF(B883&gt;Outliers!$F$7,"High",""))</f>
        <v/>
      </c>
      <c r="K883" s="6" t="str">
        <f aca="false">IF(C883&lt;Outliers!$E$8,"Low",IF(C883&gt;Outliers!$F$8,"High",""))</f>
        <v/>
      </c>
      <c r="L883" s="6" t="str">
        <f aca="false">A883&amp;";"&amp;B883&amp;";"&amp;C883</f>
        <v>26.13708256;46.48280681;26.640420031657</v>
      </c>
      <c r="M883" s="6" t="n">
        <f aca="false">IF(COUNTIF($L$2:$L$2201,L883)&gt;1,1,0)</f>
        <v>0</v>
      </c>
      <c r="N883" s="6" t="str">
        <f aca="false">IF(AND(C883&lt;Assumptions!$B$9,B883&lt;Assumptions!$B$10),"Irrigate Now",IF(AND(C883&gt;=Assumptions!$B$11,B883&gt;=Assumptions!$B$12),"No Irrigation Needed","Monitor"))</f>
        <v>Monitor</v>
      </c>
      <c r="O883" s="6" t="n">
        <f aca="false">IF(N883=G883,1,0)</f>
        <v>1</v>
      </c>
    </row>
    <row r="884" customFormat="false" ht="15" hidden="false" customHeight="false" outlineLevel="0" collapsed="false">
      <c r="A884" s="16" t="n">
        <v>27.99990346</v>
      </c>
      <c r="B884" s="16" t="n">
        <v>49.94043064</v>
      </c>
      <c r="C884" s="16" t="n">
        <v>24.2913210422717</v>
      </c>
      <c r="D884" s="6" t="s">
        <v>57</v>
      </c>
      <c r="E884" s="6" t="s">
        <v>23</v>
      </c>
      <c r="F884" s="6" t="s">
        <v>60</v>
      </c>
      <c r="G884" s="6" t="s">
        <v>61</v>
      </c>
      <c r="H884" s="6" t="s">
        <v>63</v>
      </c>
      <c r="I884" s="6" t="str">
        <f aca="false">IF(A884&lt;Outliers!$E$6,"Low",IF(A884&gt;Outliers!$F$6,"High",""))</f>
        <v/>
      </c>
      <c r="J884" s="6" t="str">
        <f aca="false">IF(B884&lt;Outliers!$E$7,"Low",IF(B884&gt;Outliers!$F$7,"High",""))</f>
        <v/>
      </c>
      <c r="K884" s="6" t="str">
        <f aca="false">IF(C884&lt;Outliers!$E$8,"Low",IF(C884&gt;Outliers!$F$8,"High",""))</f>
        <v/>
      </c>
      <c r="L884" s="6" t="str">
        <f aca="false">A884&amp;";"&amp;B884&amp;";"&amp;C884</f>
        <v>27.99990346;49.94043064;24.2913210422717</v>
      </c>
      <c r="M884" s="6" t="n">
        <f aca="false">IF(COUNTIF($L$2:$L$2201,L884)&gt;1,1,0)</f>
        <v>0</v>
      </c>
      <c r="N884" s="6" t="str">
        <f aca="false">IF(AND(C884&lt;Assumptions!$B$9,B884&lt;Assumptions!$B$10),"Irrigate Now",IF(AND(C884&gt;=Assumptions!$B$11,B884&gt;=Assumptions!$B$12),"No Irrigation Needed","Monitor"))</f>
        <v>Monitor</v>
      </c>
      <c r="O884" s="6" t="n">
        <f aca="false">IF(N884=G884,1,0)</f>
        <v>1</v>
      </c>
    </row>
    <row r="885" customFormat="false" ht="15" hidden="false" customHeight="false" outlineLevel="0" collapsed="false">
      <c r="A885" s="16" t="n">
        <v>29.05941162</v>
      </c>
      <c r="B885" s="16" t="n">
        <v>36.5011366</v>
      </c>
      <c r="C885" s="16" t="n">
        <v>14.9652848171881</v>
      </c>
      <c r="D885" s="6" t="s">
        <v>57</v>
      </c>
      <c r="E885" s="6" t="s">
        <v>23</v>
      </c>
      <c r="F885" s="6" t="s">
        <v>24</v>
      </c>
      <c r="G885" s="6" t="s">
        <v>64</v>
      </c>
      <c r="H885" s="6" t="s">
        <v>65</v>
      </c>
      <c r="I885" s="6" t="str">
        <f aca="false">IF(A885&lt;Outliers!$E$6,"Low",IF(A885&gt;Outliers!$F$6,"High",""))</f>
        <v/>
      </c>
      <c r="J885" s="6" t="str">
        <f aca="false">IF(B885&lt;Outliers!$E$7,"Low",IF(B885&gt;Outliers!$F$7,"High",""))</f>
        <v/>
      </c>
      <c r="K885" s="6" t="str">
        <f aca="false">IF(C885&lt;Outliers!$E$8,"Low",IF(C885&gt;Outliers!$F$8,"High",""))</f>
        <v/>
      </c>
      <c r="L885" s="6" t="str">
        <f aca="false">A885&amp;";"&amp;B885&amp;";"&amp;C885</f>
        <v>29.05941162;36.5011366;14.9652848171881</v>
      </c>
      <c r="M885" s="6" t="n">
        <f aca="false">IF(COUNTIF($L$2:$L$2201,L885)&gt;1,1,0)</f>
        <v>0</v>
      </c>
      <c r="N885" s="6" t="str">
        <f aca="false">IF(AND(C885&lt;Assumptions!$B$9,B885&lt;Assumptions!$B$10),"Irrigate Now",IF(AND(C885&gt;=Assumptions!$B$11,B885&gt;=Assumptions!$B$12),"No Irrigation Needed","Monitor"))</f>
        <v>Irrigate Now</v>
      </c>
      <c r="O885" s="6" t="n">
        <f aca="false">IF(N885=G885,1,0)</f>
        <v>1</v>
      </c>
    </row>
    <row r="886" customFormat="false" ht="15" hidden="false" customHeight="false" outlineLevel="0" collapsed="false">
      <c r="A886" s="16" t="n">
        <v>25.71269843</v>
      </c>
      <c r="B886" s="16" t="n">
        <v>50.17067771</v>
      </c>
      <c r="C886" s="16" t="n">
        <v>23.1271371419119</v>
      </c>
      <c r="D886" s="6" t="s">
        <v>57</v>
      </c>
      <c r="E886" s="6" t="s">
        <v>57</v>
      </c>
      <c r="F886" s="6" t="s">
        <v>60</v>
      </c>
      <c r="G886" s="6" t="s">
        <v>61</v>
      </c>
      <c r="H886" s="6" t="s">
        <v>63</v>
      </c>
      <c r="I886" s="6" t="str">
        <f aca="false">IF(A886&lt;Outliers!$E$6,"Low",IF(A886&gt;Outliers!$F$6,"High",""))</f>
        <v/>
      </c>
      <c r="J886" s="6" t="str">
        <f aca="false">IF(B886&lt;Outliers!$E$7,"Low",IF(B886&gt;Outliers!$F$7,"High",""))</f>
        <v/>
      </c>
      <c r="K886" s="6" t="str">
        <f aca="false">IF(C886&lt;Outliers!$E$8,"Low",IF(C886&gt;Outliers!$F$8,"High",""))</f>
        <v/>
      </c>
      <c r="L886" s="6" t="str">
        <f aca="false">A886&amp;";"&amp;B886&amp;";"&amp;C886</f>
        <v>25.71269843;50.17067771;23.1271371419119</v>
      </c>
      <c r="M886" s="6" t="n">
        <f aca="false">IF(COUNTIF($L$2:$L$2201,L886)&gt;1,1,0)</f>
        <v>0</v>
      </c>
      <c r="N886" s="6" t="str">
        <f aca="false">IF(AND(C886&lt;Assumptions!$B$9,B886&lt;Assumptions!$B$10),"Irrigate Now",IF(AND(C886&gt;=Assumptions!$B$11,B886&gt;=Assumptions!$B$12),"No Irrigation Needed","Monitor"))</f>
        <v>Monitor</v>
      </c>
      <c r="O886" s="6" t="n">
        <f aca="false">IF(N886=G886,1,0)</f>
        <v>1</v>
      </c>
    </row>
    <row r="887" customFormat="false" ht="15" hidden="false" customHeight="false" outlineLevel="0" collapsed="false">
      <c r="A887" s="16" t="n">
        <v>21.79792649</v>
      </c>
      <c r="B887" s="16" t="n">
        <v>46.62370222</v>
      </c>
      <c r="C887" s="16" t="n">
        <v>19.0522868491579</v>
      </c>
      <c r="D887" s="6" t="s">
        <v>57</v>
      </c>
      <c r="E887" s="6" t="s">
        <v>23</v>
      </c>
      <c r="F887" s="6" t="s">
        <v>24</v>
      </c>
      <c r="G887" s="6" t="s">
        <v>61</v>
      </c>
      <c r="H887" s="6" t="s">
        <v>63</v>
      </c>
      <c r="I887" s="6" t="str">
        <f aca="false">IF(A887&lt;Outliers!$E$6,"Low",IF(A887&gt;Outliers!$F$6,"High",""))</f>
        <v/>
      </c>
      <c r="J887" s="6" t="str">
        <f aca="false">IF(B887&lt;Outliers!$E$7,"Low",IF(B887&gt;Outliers!$F$7,"High",""))</f>
        <v/>
      </c>
      <c r="K887" s="6" t="str">
        <f aca="false">IF(C887&lt;Outliers!$E$8,"Low",IF(C887&gt;Outliers!$F$8,"High",""))</f>
        <v/>
      </c>
      <c r="L887" s="6" t="str">
        <f aca="false">A887&amp;";"&amp;B887&amp;";"&amp;C887</f>
        <v>21.79792649;46.62370222;19.0522868491579</v>
      </c>
      <c r="M887" s="6" t="n">
        <f aca="false">IF(COUNTIF($L$2:$L$2201,L887)&gt;1,1,0)</f>
        <v>0</v>
      </c>
      <c r="N887" s="6" t="str">
        <f aca="false">IF(AND(C887&lt;Assumptions!$B$9,B887&lt;Assumptions!$B$10),"Irrigate Now",IF(AND(C887&gt;=Assumptions!$B$11,B887&gt;=Assumptions!$B$12),"No Irrigation Needed","Monitor"))</f>
        <v>Monitor</v>
      </c>
      <c r="O887" s="6" t="n">
        <f aca="false">IF(N887=G887,1,0)</f>
        <v>1</v>
      </c>
    </row>
    <row r="888" customFormat="false" ht="15" hidden="false" customHeight="false" outlineLevel="0" collapsed="false">
      <c r="A888" s="16" t="n">
        <v>24.70626432</v>
      </c>
      <c r="B888" s="16" t="n">
        <v>53.12442925</v>
      </c>
      <c r="C888" s="16" t="n">
        <v>27.421001812255</v>
      </c>
      <c r="D888" s="6" t="s">
        <v>57</v>
      </c>
      <c r="E888" s="6" t="s">
        <v>57</v>
      </c>
      <c r="F888" s="6" t="s">
        <v>23</v>
      </c>
      <c r="G888" s="6" t="s">
        <v>61</v>
      </c>
      <c r="H888" s="6" t="s">
        <v>63</v>
      </c>
      <c r="I888" s="6" t="str">
        <f aca="false">IF(A888&lt;Outliers!$E$6,"Low",IF(A888&gt;Outliers!$F$6,"High",""))</f>
        <v/>
      </c>
      <c r="J888" s="6" t="str">
        <f aca="false">IF(B888&lt;Outliers!$E$7,"Low",IF(B888&gt;Outliers!$F$7,"High",""))</f>
        <v/>
      </c>
      <c r="K888" s="6" t="str">
        <f aca="false">IF(C888&lt;Outliers!$E$8,"Low",IF(C888&gt;Outliers!$F$8,"High",""))</f>
        <v/>
      </c>
      <c r="L888" s="6" t="str">
        <f aca="false">A888&amp;";"&amp;B888&amp;";"&amp;C888</f>
        <v>24.70626432;53.12442925;27.421001812255</v>
      </c>
      <c r="M888" s="6" t="n">
        <f aca="false">IF(COUNTIF($L$2:$L$2201,L888)&gt;1,1,0)</f>
        <v>0</v>
      </c>
      <c r="N888" s="6" t="str">
        <f aca="false">IF(AND(C888&lt;Assumptions!$B$9,B888&lt;Assumptions!$B$10),"Irrigate Now",IF(AND(C888&gt;=Assumptions!$B$11,B888&gt;=Assumptions!$B$12),"No Irrigation Needed","Monitor"))</f>
        <v>Monitor</v>
      </c>
      <c r="O888" s="6" t="n">
        <f aca="false">IF(N888=G888,1,0)</f>
        <v>1</v>
      </c>
    </row>
    <row r="889" customFormat="false" ht="15" hidden="false" customHeight="false" outlineLevel="0" collapsed="false">
      <c r="A889" s="16" t="n">
        <v>20.94981756</v>
      </c>
      <c r="B889" s="16" t="n">
        <v>44.23913012</v>
      </c>
      <c r="C889" s="16" t="n">
        <v>26.5672039515067</v>
      </c>
      <c r="D889" s="6" t="s">
        <v>57</v>
      </c>
      <c r="E889" s="6" t="s">
        <v>23</v>
      </c>
      <c r="F889" s="6" t="s">
        <v>23</v>
      </c>
      <c r="G889" s="6" t="s">
        <v>61</v>
      </c>
      <c r="H889" s="6" t="s">
        <v>63</v>
      </c>
      <c r="I889" s="6" t="str">
        <f aca="false">IF(A889&lt;Outliers!$E$6,"Low",IF(A889&gt;Outliers!$F$6,"High",""))</f>
        <v/>
      </c>
      <c r="J889" s="6" t="str">
        <f aca="false">IF(B889&lt;Outliers!$E$7,"Low",IF(B889&gt;Outliers!$F$7,"High",""))</f>
        <v/>
      </c>
      <c r="K889" s="6" t="str">
        <f aca="false">IF(C889&lt;Outliers!$E$8,"Low",IF(C889&gt;Outliers!$F$8,"High",""))</f>
        <v/>
      </c>
      <c r="L889" s="6" t="str">
        <f aca="false">A889&amp;";"&amp;B889&amp;";"&amp;C889</f>
        <v>20.94981756;44.23913012;26.5672039515067</v>
      </c>
      <c r="M889" s="6" t="n">
        <f aca="false">IF(COUNTIF($L$2:$L$2201,L889)&gt;1,1,0)</f>
        <v>0</v>
      </c>
      <c r="N889" s="6" t="str">
        <f aca="false">IF(AND(C889&lt;Assumptions!$B$9,B889&lt;Assumptions!$B$10),"Irrigate Now",IF(AND(C889&gt;=Assumptions!$B$11,B889&gt;=Assumptions!$B$12),"No Irrigation Needed","Monitor"))</f>
        <v>Monitor</v>
      </c>
      <c r="O889" s="6" t="n">
        <f aca="false">IF(N889=G889,1,0)</f>
        <v>1</v>
      </c>
    </row>
    <row r="890" customFormat="false" ht="15" hidden="false" customHeight="false" outlineLevel="0" collapsed="false">
      <c r="A890" s="16" t="n">
        <v>24.84918386</v>
      </c>
      <c r="B890" s="16" t="n">
        <v>41.61080544</v>
      </c>
      <c r="C890" s="16" t="n">
        <v>16.2245927543139</v>
      </c>
      <c r="D890" s="6" t="s">
        <v>57</v>
      </c>
      <c r="E890" s="6" t="s">
        <v>23</v>
      </c>
      <c r="F890" s="6" t="s">
        <v>24</v>
      </c>
      <c r="G890" s="6" t="s">
        <v>64</v>
      </c>
      <c r="H890" s="6" t="s">
        <v>65</v>
      </c>
      <c r="I890" s="6" t="str">
        <f aca="false">IF(A890&lt;Outliers!$E$6,"Low",IF(A890&gt;Outliers!$F$6,"High",""))</f>
        <v/>
      </c>
      <c r="J890" s="6" t="str">
        <f aca="false">IF(B890&lt;Outliers!$E$7,"Low",IF(B890&gt;Outliers!$F$7,"High",""))</f>
        <v/>
      </c>
      <c r="K890" s="6" t="str">
        <f aca="false">IF(C890&lt;Outliers!$E$8,"Low",IF(C890&gt;Outliers!$F$8,"High",""))</f>
        <v/>
      </c>
      <c r="L890" s="6" t="str">
        <f aca="false">A890&amp;";"&amp;B890&amp;";"&amp;C890</f>
        <v>24.84918386;41.61080544;16.2245927543139</v>
      </c>
      <c r="M890" s="6" t="n">
        <f aca="false">IF(COUNTIF($L$2:$L$2201,L890)&gt;1,1,0)</f>
        <v>0</v>
      </c>
      <c r="N890" s="6" t="str">
        <f aca="false">IF(AND(C890&lt;Assumptions!$B$9,B890&lt;Assumptions!$B$10),"Irrigate Now",IF(AND(C890&gt;=Assumptions!$B$11,B890&gt;=Assumptions!$B$12),"No Irrigation Needed","Monitor"))</f>
        <v>Irrigate Now</v>
      </c>
      <c r="O890" s="6" t="n">
        <f aca="false">IF(N890=G890,1,0)</f>
        <v>1</v>
      </c>
    </row>
    <row r="891" customFormat="false" ht="15" hidden="false" customHeight="false" outlineLevel="0" collapsed="false">
      <c r="A891" s="16" t="n">
        <v>21.91041045</v>
      </c>
      <c r="B891" s="16" t="n">
        <v>36.10211371</v>
      </c>
      <c r="C891" s="16" t="n">
        <v>15.7415506204976</v>
      </c>
      <c r="D891" s="6" t="s">
        <v>57</v>
      </c>
      <c r="E891" s="6" t="s">
        <v>23</v>
      </c>
      <c r="F891" s="6" t="s">
        <v>24</v>
      </c>
      <c r="G891" s="6" t="s">
        <v>64</v>
      </c>
      <c r="H891" s="6" t="s">
        <v>65</v>
      </c>
      <c r="I891" s="6" t="str">
        <f aca="false">IF(A891&lt;Outliers!$E$6,"Low",IF(A891&gt;Outliers!$F$6,"High",""))</f>
        <v/>
      </c>
      <c r="J891" s="6" t="str">
        <f aca="false">IF(B891&lt;Outliers!$E$7,"Low",IF(B891&gt;Outliers!$F$7,"High",""))</f>
        <v/>
      </c>
      <c r="K891" s="6" t="str">
        <f aca="false">IF(C891&lt;Outliers!$E$8,"Low",IF(C891&gt;Outliers!$F$8,"High",""))</f>
        <v/>
      </c>
      <c r="L891" s="6" t="str">
        <f aca="false">A891&amp;";"&amp;B891&amp;";"&amp;C891</f>
        <v>21.91041045;36.10211371;15.7415506204976</v>
      </c>
      <c r="M891" s="6" t="n">
        <f aca="false">IF(COUNTIF($L$2:$L$2201,L891)&gt;1,1,0)</f>
        <v>0</v>
      </c>
      <c r="N891" s="6" t="str">
        <f aca="false">IF(AND(C891&lt;Assumptions!$B$9,B891&lt;Assumptions!$B$10),"Irrigate Now",IF(AND(C891&gt;=Assumptions!$B$11,B891&gt;=Assumptions!$B$12),"No Irrigation Needed","Monitor"))</f>
        <v>Irrigate Now</v>
      </c>
      <c r="O891" s="6" t="n">
        <f aca="false">IF(N891=G891,1,0)</f>
        <v>1</v>
      </c>
    </row>
    <row r="892" customFormat="false" ht="15" hidden="false" customHeight="false" outlineLevel="0" collapsed="false">
      <c r="A892" s="16" t="n">
        <v>25.93381964</v>
      </c>
      <c r="B892" s="16" t="n">
        <v>51.02372773</v>
      </c>
      <c r="C892" s="16" t="n">
        <v>27.8431236628885</v>
      </c>
      <c r="D892" s="6" t="s">
        <v>57</v>
      </c>
      <c r="E892" s="6" t="s">
        <v>57</v>
      </c>
      <c r="F892" s="6" t="s">
        <v>23</v>
      </c>
      <c r="G892" s="6" t="s">
        <v>61</v>
      </c>
      <c r="H892" s="6" t="s">
        <v>63</v>
      </c>
      <c r="I892" s="6" t="str">
        <f aca="false">IF(A892&lt;Outliers!$E$6,"Low",IF(A892&gt;Outliers!$F$6,"High",""))</f>
        <v/>
      </c>
      <c r="J892" s="6" t="str">
        <f aca="false">IF(B892&lt;Outliers!$E$7,"Low",IF(B892&gt;Outliers!$F$7,"High",""))</f>
        <v/>
      </c>
      <c r="K892" s="6" t="str">
        <f aca="false">IF(C892&lt;Outliers!$E$8,"Low",IF(C892&gt;Outliers!$F$8,"High",""))</f>
        <v/>
      </c>
      <c r="L892" s="6" t="str">
        <f aca="false">A892&amp;";"&amp;B892&amp;";"&amp;C892</f>
        <v>25.93381964;51.02372773;27.8431236628885</v>
      </c>
      <c r="M892" s="6" t="n">
        <f aca="false">IF(COUNTIF($L$2:$L$2201,L892)&gt;1,1,0)</f>
        <v>0</v>
      </c>
      <c r="N892" s="6" t="str">
        <f aca="false">IF(AND(C892&lt;Assumptions!$B$9,B892&lt;Assumptions!$B$10),"Irrigate Now",IF(AND(C892&gt;=Assumptions!$B$11,B892&gt;=Assumptions!$B$12),"No Irrigation Needed","Monitor"))</f>
        <v>Monitor</v>
      </c>
      <c r="O892" s="6" t="n">
        <f aca="false">IF(N892=G892,1,0)</f>
        <v>1</v>
      </c>
    </row>
    <row r="893" customFormat="false" ht="15" hidden="false" customHeight="false" outlineLevel="0" collapsed="false">
      <c r="A893" s="16" t="n">
        <v>29.82112112</v>
      </c>
      <c r="B893" s="16" t="n">
        <v>51.56461082</v>
      </c>
      <c r="C893" s="16" t="n">
        <v>23.6216142348693</v>
      </c>
      <c r="D893" s="6" t="s">
        <v>57</v>
      </c>
      <c r="E893" s="6" t="s">
        <v>57</v>
      </c>
      <c r="F893" s="6" t="s">
        <v>60</v>
      </c>
      <c r="G893" s="6" t="s">
        <v>61</v>
      </c>
      <c r="H893" s="6" t="s">
        <v>63</v>
      </c>
      <c r="I893" s="6" t="str">
        <f aca="false">IF(A893&lt;Outliers!$E$6,"Low",IF(A893&gt;Outliers!$F$6,"High",""))</f>
        <v/>
      </c>
      <c r="J893" s="6" t="str">
        <f aca="false">IF(B893&lt;Outliers!$E$7,"Low",IF(B893&gt;Outliers!$F$7,"High",""))</f>
        <v/>
      </c>
      <c r="K893" s="6" t="str">
        <f aca="false">IF(C893&lt;Outliers!$E$8,"Low",IF(C893&gt;Outliers!$F$8,"High",""))</f>
        <v/>
      </c>
      <c r="L893" s="6" t="str">
        <f aca="false">A893&amp;";"&amp;B893&amp;";"&amp;C893</f>
        <v>29.82112112;51.56461082;23.6216142348693</v>
      </c>
      <c r="M893" s="6" t="n">
        <f aca="false">IF(COUNTIF($L$2:$L$2201,L893)&gt;1,1,0)</f>
        <v>0</v>
      </c>
      <c r="N893" s="6" t="str">
        <f aca="false">IF(AND(C893&lt;Assumptions!$B$9,B893&lt;Assumptions!$B$10),"Irrigate Now",IF(AND(C893&gt;=Assumptions!$B$11,B893&gt;=Assumptions!$B$12),"No Irrigation Needed","Monitor"))</f>
        <v>Monitor</v>
      </c>
      <c r="O893" s="6" t="n">
        <f aca="false">IF(N893=G893,1,0)</f>
        <v>1</v>
      </c>
    </row>
    <row r="894" customFormat="false" ht="15" hidden="false" customHeight="false" outlineLevel="0" collapsed="false">
      <c r="A894" s="16" t="n">
        <v>27.52185591</v>
      </c>
      <c r="B894" s="16" t="n">
        <v>45.20841071</v>
      </c>
      <c r="C894" s="16" t="n">
        <v>19.0861628125706</v>
      </c>
      <c r="D894" s="6" t="s">
        <v>57</v>
      </c>
      <c r="E894" s="6" t="s">
        <v>23</v>
      </c>
      <c r="F894" s="6" t="s">
        <v>24</v>
      </c>
      <c r="G894" s="6" t="s">
        <v>61</v>
      </c>
      <c r="H894" s="6" t="s">
        <v>63</v>
      </c>
      <c r="I894" s="6" t="str">
        <f aca="false">IF(A894&lt;Outliers!$E$6,"Low",IF(A894&gt;Outliers!$F$6,"High",""))</f>
        <v/>
      </c>
      <c r="J894" s="6" t="str">
        <f aca="false">IF(B894&lt;Outliers!$E$7,"Low",IF(B894&gt;Outliers!$F$7,"High",""))</f>
        <v/>
      </c>
      <c r="K894" s="6" t="str">
        <f aca="false">IF(C894&lt;Outliers!$E$8,"Low",IF(C894&gt;Outliers!$F$8,"High",""))</f>
        <v/>
      </c>
      <c r="L894" s="6" t="str">
        <f aca="false">A894&amp;";"&amp;B894&amp;";"&amp;C894</f>
        <v>27.52185591;45.20841071;19.0861628125706</v>
      </c>
      <c r="M894" s="6" t="n">
        <f aca="false">IF(COUNTIF($L$2:$L$2201,L894)&gt;1,1,0)</f>
        <v>0</v>
      </c>
      <c r="N894" s="6" t="str">
        <f aca="false">IF(AND(C894&lt;Assumptions!$B$9,B894&lt;Assumptions!$B$10),"Irrigate Now",IF(AND(C894&gt;=Assumptions!$B$11,B894&gt;=Assumptions!$B$12),"No Irrigation Needed","Monitor"))</f>
        <v>Monitor</v>
      </c>
      <c r="O894" s="6" t="n">
        <f aca="false">IF(N894=G894,1,0)</f>
        <v>1</v>
      </c>
    </row>
    <row r="895" customFormat="false" ht="15" hidden="false" customHeight="false" outlineLevel="0" collapsed="false">
      <c r="A895" s="16" t="n">
        <v>27.99627907</v>
      </c>
      <c r="B895" s="16" t="n">
        <v>46.10585191</v>
      </c>
      <c r="C895" s="16" t="n">
        <v>28.9639538246553</v>
      </c>
      <c r="D895" s="6" t="s">
        <v>57</v>
      </c>
      <c r="E895" s="6" t="s">
        <v>23</v>
      </c>
      <c r="F895" s="6" t="s">
        <v>23</v>
      </c>
      <c r="G895" s="6" t="s">
        <v>61</v>
      </c>
      <c r="H895" s="6" t="s">
        <v>63</v>
      </c>
      <c r="I895" s="6" t="str">
        <f aca="false">IF(A895&lt;Outliers!$E$6,"Low",IF(A895&gt;Outliers!$F$6,"High",""))</f>
        <v/>
      </c>
      <c r="J895" s="6" t="str">
        <f aca="false">IF(B895&lt;Outliers!$E$7,"Low",IF(B895&gt;Outliers!$F$7,"High",""))</f>
        <v/>
      </c>
      <c r="K895" s="6" t="str">
        <f aca="false">IF(C895&lt;Outliers!$E$8,"Low",IF(C895&gt;Outliers!$F$8,"High",""))</f>
        <v/>
      </c>
      <c r="L895" s="6" t="str">
        <f aca="false">A895&amp;";"&amp;B895&amp;";"&amp;C895</f>
        <v>27.99627907;46.10585191;28.9639538246553</v>
      </c>
      <c r="M895" s="6" t="n">
        <f aca="false">IF(COUNTIF($L$2:$L$2201,L895)&gt;1,1,0)</f>
        <v>0</v>
      </c>
      <c r="N895" s="6" t="str">
        <f aca="false">IF(AND(C895&lt;Assumptions!$B$9,B895&lt;Assumptions!$B$10),"Irrigate Now",IF(AND(C895&gt;=Assumptions!$B$11,B895&gt;=Assumptions!$B$12),"No Irrigation Needed","Monitor"))</f>
        <v>Monitor</v>
      </c>
      <c r="O895" s="6" t="n">
        <f aca="false">IF(N895=G895,1,0)</f>
        <v>1</v>
      </c>
    </row>
    <row r="896" customFormat="false" ht="15" hidden="false" customHeight="false" outlineLevel="0" collapsed="false">
      <c r="A896" s="16" t="n">
        <v>20.76774783</v>
      </c>
      <c r="B896" s="16" t="n">
        <v>47.9271552</v>
      </c>
      <c r="C896" s="16" t="n">
        <v>14.6228007958164</v>
      </c>
      <c r="D896" s="6" t="s">
        <v>57</v>
      </c>
      <c r="E896" s="6" t="s">
        <v>23</v>
      </c>
      <c r="F896" s="6" t="s">
        <v>24</v>
      </c>
      <c r="G896" s="6" t="s">
        <v>64</v>
      </c>
      <c r="H896" s="6" t="s">
        <v>65</v>
      </c>
      <c r="I896" s="6" t="str">
        <f aca="false">IF(A896&lt;Outliers!$E$6,"Low",IF(A896&gt;Outliers!$F$6,"High",""))</f>
        <v/>
      </c>
      <c r="J896" s="6" t="str">
        <f aca="false">IF(B896&lt;Outliers!$E$7,"Low",IF(B896&gt;Outliers!$F$7,"High",""))</f>
        <v/>
      </c>
      <c r="K896" s="6" t="str">
        <f aca="false">IF(C896&lt;Outliers!$E$8,"Low",IF(C896&gt;Outliers!$F$8,"High",""))</f>
        <v/>
      </c>
      <c r="L896" s="6" t="str">
        <f aca="false">A896&amp;";"&amp;B896&amp;";"&amp;C896</f>
        <v>20.76774783;47.9271552;14.6228007958164</v>
      </c>
      <c r="M896" s="6" t="n">
        <f aca="false">IF(COUNTIF($L$2:$L$2201,L896)&gt;1,1,0)</f>
        <v>0</v>
      </c>
      <c r="N896" s="6" t="str">
        <f aca="false">IF(AND(C896&lt;Assumptions!$B$9,B896&lt;Assumptions!$B$10),"Irrigate Now",IF(AND(C896&gt;=Assumptions!$B$11,B896&gt;=Assumptions!$B$12),"No Irrigation Needed","Monitor"))</f>
        <v>Irrigate Now</v>
      </c>
      <c r="O896" s="6" t="n">
        <f aca="false">IF(N896=G896,1,0)</f>
        <v>1</v>
      </c>
    </row>
    <row r="897" customFormat="false" ht="15" hidden="false" customHeight="false" outlineLevel="0" collapsed="false">
      <c r="A897" s="16" t="n">
        <v>23.05276444</v>
      </c>
      <c r="B897" s="16" t="n">
        <v>52.60285259</v>
      </c>
      <c r="C897" s="16" t="n">
        <v>23.1394385942185</v>
      </c>
      <c r="D897" s="6" t="s">
        <v>57</v>
      </c>
      <c r="E897" s="6" t="s">
        <v>57</v>
      </c>
      <c r="F897" s="6" t="s">
        <v>60</v>
      </c>
      <c r="G897" s="6" t="s">
        <v>61</v>
      </c>
      <c r="H897" s="6" t="s">
        <v>63</v>
      </c>
      <c r="I897" s="6" t="str">
        <f aca="false">IF(A897&lt;Outliers!$E$6,"Low",IF(A897&gt;Outliers!$F$6,"High",""))</f>
        <v/>
      </c>
      <c r="J897" s="6" t="str">
        <f aca="false">IF(B897&lt;Outliers!$E$7,"Low",IF(B897&gt;Outliers!$F$7,"High",""))</f>
        <v/>
      </c>
      <c r="K897" s="6" t="str">
        <f aca="false">IF(C897&lt;Outliers!$E$8,"Low",IF(C897&gt;Outliers!$F$8,"High",""))</f>
        <v/>
      </c>
      <c r="L897" s="6" t="str">
        <f aca="false">A897&amp;";"&amp;B897&amp;";"&amp;C897</f>
        <v>23.05276444;52.60285259;23.1394385942185</v>
      </c>
      <c r="M897" s="6" t="n">
        <f aca="false">IF(COUNTIF($L$2:$L$2201,L897)&gt;1,1,0)</f>
        <v>0</v>
      </c>
      <c r="N897" s="6" t="str">
        <f aca="false">IF(AND(C897&lt;Assumptions!$B$9,B897&lt;Assumptions!$B$10),"Irrigate Now",IF(AND(C897&gt;=Assumptions!$B$11,B897&gt;=Assumptions!$B$12),"No Irrigation Needed","Monitor"))</f>
        <v>Monitor</v>
      </c>
      <c r="O897" s="6" t="n">
        <f aca="false">IF(N897=G897,1,0)</f>
        <v>1</v>
      </c>
    </row>
    <row r="898" customFormat="false" ht="15" hidden="false" customHeight="false" outlineLevel="0" collapsed="false">
      <c r="A898" s="16" t="n">
        <v>21.65845777</v>
      </c>
      <c r="B898" s="16" t="n">
        <v>38.07659414</v>
      </c>
      <c r="C898" s="16" t="n">
        <v>14.9248981175905</v>
      </c>
      <c r="D898" s="6" t="s">
        <v>57</v>
      </c>
      <c r="E898" s="6" t="s">
        <v>23</v>
      </c>
      <c r="F898" s="6" t="s">
        <v>24</v>
      </c>
      <c r="G898" s="6" t="s">
        <v>64</v>
      </c>
      <c r="H898" s="6" t="s">
        <v>65</v>
      </c>
      <c r="I898" s="6" t="str">
        <f aca="false">IF(A898&lt;Outliers!$E$6,"Low",IF(A898&gt;Outliers!$F$6,"High",""))</f>
        <v/>
      </c>
      <c r="J898" s="6" t="str">
        <f aca="false">IF(B898&lt;Outliers!$E$7,"Low",IF(B898&gt;Outliers!$F$7,"High",""))</f>
        <v/>
      </c>
      <c r="K898" s="6" t="str">
        <f aca="false">IF(C898&lt;Outliers!$E$8,"Low",IF(C898&gt;Outliers!$F$8,"High",""))</f>
        <v/>
      </c>
      <c r="L898" s="6" t="str">
        <f aca="false">A898&amp;";"&amp;B898&amp;";"&amp;C898</f>
        <v>21.65845777;38.07659414;14.9248981175905</v>
      </c>
      <c r="M898" s="6" t="n">
        <f aca="false">IF(COUNTIF($L$2:$L$2201,L898)&gt;1,1,0)</f>
        <v>0</v>
      </c>
      <c r="N898" s="6" t="str">
        <f aca="false">IF(AND(C898&lt;Assumptions!$B$9,B898&lt;Assumptions!$B$10),"Irrigate Now",IF(AND(C898&gt;=Assumptions!$B$11,B898&gt;=Assumptions!$B$12),"No Irrigation Needed","Monitor"))</f>
        <v>Irrigate Now</v>
      </c>
      <c r="O898" s="6" t="n">
        <f aca="false">IF(N898=G898,1,0)</f>
        <v>1</v>
      </c>
    </row>
    <row r="899" customFormat="false" ht="15" hidden="false" customHeight="false" outlineLevel="0" collapsed="false">
      <c r="A899" s="16" t="n">
        <v>26.25070298</v>
      </c>
      <c r="B899" s="16" t="n">
        <v>40.8106299</v>
      </c>
      <c r="C899" s="16" t="n">
        <v>23.9890690343971</v>
      </c>
      <c r="D899" s="6" t="s">
        <v>57</v>
      </c>
      <c r="E899" s="6" t="s">
        <v>23</v>
      </c>
      <c r="F899" s="6" t="s">
        <v>60</v>
      </c>
      <c r="G899" s="6" t="s">
        <v>61</v>
      </c>
      <c r="H899" s="6" t="s">
        <v>63</v>
      </c>
      <c r="I899" s="6" t="str">
        <f aca="false">IF(A899&lt;Outliers!$E$6,"Low",IF(A899&gt;Outliers!$F$6,"High",""))</f>
        <v/>
      </c>
      <c r="J899" s="6" t="str">
        <f aca="false">IF(B899&lt;Outliers!$E$7,"Low",IF(B899&gt;Outliers!$F$7,"High",""))</f>
        <v/>
      </c>
      <c r="K899" s="6" t="str">
        <f aca="false">IF(C899&lt;Outliers!$E$8,"Low",IF(C899&gt;Outliers!$F$8,"High",""))</f>
        <v/>
      </c>
      <c r="L899" s="6" t="str">
        <f aca="false">A899&amp;";"&amp;B899&amp;";"&amp;C899</f>
        <v>26.25070298;40.8106299;23.9890690343971</v>
      </c>
      <c r="M899" s="6" t="n">
        <f aca="false">IF(COUNTIF($L$2:$L$2201,L899)&gt;1,1,0)</f>
        <v>0</v>
      </c>
      <c r="N899" s="6" t="str">
        <f aca="false">IF(AND(C899&lt;Assumptions!$B$9,B899&lt;Assumptions!$B$10),"Irrigate Now",IF(AND(C899&gt;=Assumptions!$B$11,B899&gt;=Assumptions!$B$12),"No Irrigation Needed","Monitor"))</f>
        <v>Monitor</v>
      </c>
      <c r="O899" s="6" t="n">
        <f aca="false">IF(N899=G899,1,0)</f>
        <v>1</v>
      </c>
    </row>
    <row r="900" customFormat="false" ht="15" hidden="false" customHeight="false" outlineLevel="0" collapsed="false">
      <c r="A900" s="16" t="n">
        <v>20.97195263</v>
      </c>
      <c r="B900" s="16" t="n">
        <v>53.10207889</v>
      </c>
      <c r="C900" s="16" t="n">
        <v>20.2453984848721</v>
      </c>
      <c r="D900" s="6" t="s">
        <v>57</v>
      </c>
      <c r="E900" s="6" t="s">
        <v>57</v>
      </c>
      <c r="F900" s="6" t="s">
        <v>60</v>
      </c>
      <c r="G900" s="6" t="s">
        <v>61</v>
      </c>
      <c r="H900" s="6" t="s">
        <v>63</v>
      </c>
      <c r="I900" s="6" t="str">
        <f aca="false">IF(A900&lt;Outliers!$E$6,"Low",IF(A900&gt;Outliers!$F$6,"High",""))</f>
        <v/>
      </c>
      <c r="J900" s="6" t="str">
        <f aca="false">IF(B900&lt;Outliers!$E$7,"Low",IF(B900&gt;Outliers!$F$7,"High",""))</f>
        <v/>
      </c>
      <c r="K900" s="6" t="str">
        <f aca="false">IF(C900&lt;Outliers!$E$8,"Low",IF(C900&gt;Outliers!$F$8,"High",""))</f>
        <v/>
      </c>
      <c r="L900" s="6" t="str">
        <f aca="false">A900&amp;";"&amp;B900&amp;";"&amp;C900</f>
        <v>20.97195263;53.10207889;20.2453984848721</v>
      </c>
      <c r="M900" s="6" t="n">
        <f aca="false">IF(COUNTIF($L$2:$L$2201,L900)&gt;1,1,0)</f>
        <v>0</v>
      </c>
      <c r="N900" s="6" t="str">
        <f aca="false">IF(AND(C900&lt;Assumptions!$B$9,B900&lt;Assumptions!$B$10),"Irrigate Now",IF(AND(C900&gt;=Assumptions!$B$11,B900&gt;=Assumptions!$B$12),"No Irrigation Needed","Monitor"))</f>
        <v>Monitor</v>
      </c>
      <c r="O900" s="6" t="n">
        <f aca="false">IF(N900=G900,1,0)</f>
        <v>1</v>
      </c>
    </row>
    <row r="901" customFormat="false" ht="15" hidden="false" customHeight="false" outlineLevel="0" collapsed="false">
      <c r="A901" s="16" t="n">
        <v>23.89736406</v>
      </c>
      <c r="B901" s="16" t="n">
        <v>40.74536757</v>
      </c>
      <c r="C901" s="16" t="n">
        <v>16.843666120791</v>
      </c>
      <c r="D901" s="6" t="s">
        <v>57</v>
      </c>
      <c r="E901" s="6" t="s">
        <v>23</v>
      </c>
      <c r="F901" s="6" t="s">
        <v>24</v>
      </c>
      <c r="G901" s="6" t="s">
        <v>64</v>
      </c>
      <c r="H901" s="6" t="s">
        <v>65</v>
      </c>
      <c r="I901" s="6" t="str">
        <f aca="false">IF(A901&lt;Outliers!$E$6,"Low",IF(A901&gt;Outliers!$F$6,"High",""))</f>
        <v/>
      </c>
      <c r="J901" s="6" t="str">
        <f aca="false">IF(B901&lt;Outliers!$E$7,"Low",IF(B901&gt;Outliers!$F$7,"High",""))</f>
        <v/>
      </c>
      <c r="K901" s="6" t="str">
        <f aca="false">IF(C901&lt;Outliers!$E$8,"Low",IF(C901&gt;Outliers!$F$8,"High",""))</f>
        <v/>
      </c>
      <c r="L901" s="6" t="str">
        <f aca="false">A901&amp;";"&amp;B901&amp;";"&amp;C901</f>
        <v>23.89736406;40.74536757;16.843666120791</v>
      </c>
      <c r="M901" s="6" t="n">
        <f aca="false">IF(COUNTIF($L$2:$L$2201,L901)&gt;1,1,0)</f>
        <v>0</v>
      </c>
      <c r="N901" s="6" t="str">
        <f aca="false">IF(AND(C901&lt;Assumptions!$B$9,B901&lt;Assumptions!$B$10),"Irrigate Now",IF(AND(C901&gt;=Assumptions!$B$11,B901&gt;=Assumptions!$B$12),"No Irrigation Needed","Monitor"))</f>
        <v>Irrigate Now</v>
      </c>
      <c r="O901" s="6" t="n">
        <f aca="false">IF(N901=G901,1,0)</f>
        <v>1</v>
      </c>
    </row>
    <row r="902" customFormat="false" ht="15" hidden="false" customHeight="false" outlineLevel="0" collapsed="false">
      <c r="A902" s="16" t="n">
        <v>24.55981624</v>
      </c>
      <c r="B902" s="16" t="n">
        <v>111.9684622</v>
      </c>
      <c r="C902" s="16" t="n">
        <v>29.8207335806743</v>
      </c>
      <c r="D902" s="6" t="s">
        <v>57</v>
      </c>
      <c r="E902" s="6" t="s">
        <v>57</v>
      </c>
      <c r="F902" s="6" t="s">
        <v>23</v>
      </c>
      <c r="G902" s="6" t="s">
        <v>58</v>
      </c>
      <c r="H902" s="6" t="s">
        <v>59</v>
      </c>
      <c r="I902" s="6" t="str">
        <f aca="false">IF(A902&lt;Outliers!$E$6,"Low",IF(A902&gt;Outliers!$F$6,"High",""))</f>
        <v/>
      </c>
      <c r="J902" s="6" t="str">
        <f aca="false">IF(B902&lt;Outliers!$E$7,"Low",IF(B902&gt;Outliers!$F$7,"High",""))</f>
        <v/>
      </c>
      <c r="K902" s="6" t="str">
        <f aca="false">IF(C902&lt;Outliers!$E$8,"Low",IF(C902&gt;Outliers!$F$8,"High",""))</f>
        <v/>
      </c>
      <c r="L902" s="6" t="str">
        <f aca="false">A902&amp;";"&amp;B902&amp;";"&amp;C902</f>
        <v>24.55981624;111.9684622;29.8207335806743</v>
      </c>
      <c r="M902" s="6" t="n">
        <f aca="false">IF(COUNTIF($L$2:$L$2201,L902)&gt;1,1,0)</f>
        <v>0</v>
      </c>
      <c r="N902" s="6" t="str">
        <f aca="false">IF(AND(C902&lt;Assumptions!$B$9,B902&lt;Assumptions!$B$10),"Irrigate Now",IF(AND(C902&gt;=Assumptions!$B$11,B902&gt;=Assumptions!$B$12),"No Irrigation Needed","Monitor"))</f>
        <v>No Irrigation Needed</v>
      </c>
      <c r="O902" s="6" t="n">
        <f aca="false">IF(N902=G902,1,0)</f>
        <v>1</v>
      </c>
    </row>
    <row r="903" customFormat="false" ht="15" hidden="false" customHeight="false" outlineLevel="0" collapsed="false">
      <c r="A903" s="16" t="n">
        <v>19.65690085</v>
      </c>
      <c r="B903" s="16" t="n">
        <v>108.0458926</v>
      </c>
      <c r="C903" s="16" t="n">
        <v>26.1912761523116</v>
      </c>
      <c r="D903" s="6" t="s">
        <v>66</v>
      </c>
      <c r="E903" s="6" t="s">
        <v>57</v>
      </c>
      <c r="F903" s="6" t="s">
        <v>23</v>
      </c>
      <c r="G903" s="6" t="s">
        <v>58</v>
      </c>
      <c r="H903" s="6" t="s">
        <v>59</v>
      </c>
      <c r="I903" s="6" t="str">
        <f aca="false">IF(A903&lt;Outliers!$E$6,"Low",IF(A903&gt;Outliers!$F$6,"High",""))</f>
        <v/>
      </c>
      <c r="J903" s="6" t="str">
        <f aca="false">IF(B903&lt;Outliers!$E$7,"Low",IF(B903&gt;Outliers!$F$7,"High",""))</f>
        <v/>
      </c>
      <c r="K903" s="6" t="str">
        <f aca="false">IF(C903&lt;Outliers!$E$8,"Low",IF(C903&gt;Outliers!$F$8,"High",""))</f>
        <v/>
      </c>
      <c r="L903" s="6" t="str">
        <f aca="false">A903&amp;";"&amp;B903&amp;";"&amp;C903</f>
        <v>19.65690085;108.0458926;26.1912761523116</v>
      </c>
      <c r="M903" s="6" t="n">
        <f aca="false">IF(COUNTIF($L$2:$L$2201,L903)&gt;1,1,0)</f>
        <v>0</v>
      </c>
      <c r="N903" s="6" t="str">
        <f aca="false">IF(AND(C903&lt;Assumptions!$B$9,B903&lt;Assumptions!$B$10),"Irrigate Now",IF(AND(C903&gt;=Assumptions!$B$11,B903&gt;=Assumptions!$B$12),"No Irrigation Needed","Monitor"))</f>
        <v>No Irrigation Needed</v>
      </c>
      <c r="O903" s="6" t="n">
        <f aca="false">IF(N903=G903,1,0)</f>
        <v>1</v>
      </c>
    </row>
    <row r="904" customFormat="false" ht="15" hidden="false" customHeight="false" outlineLevel="0" collapsed="false">
      <c r="A904" s="16" t="n">
        <v>18.78359608</v>
      </c>
      <c r="B904" s="16" t="n">
        <v>102.5184759</v>
      </c>
      <c r="C904" s="16" t="n">
        <v>16.1764863799386</v>
      </c>
      <c r="D904" s="6" t="s">
        <v>66</v>
      </c>
      <c r="E904" s="6" t="s">
        <v>57</v>
      </c>
      <c r="F904" s="6" t="s">
        <v>24</v>
      </c>
      <c r="G904" s="6" t="s">
        <v>61</v>
      </c>
      <c r="H904" s="6" t="s">
        <v>63</v>
      </c>
      <c r="I904" s="6" t="str">
        <f aca="false">IF(A904&lt;Outliers!$E$6,"Low",IF(A904&gt;Outliers!$F$6,"High",""))</f>
        <v/>
      </c>
      <c r="J904" s="6" t="str">
        <f aca="false">IF(B904&lt;Outliers!$E$7,"Low",IF(B904&gt;Outliers!$F$7,"High",""))</f>
        <v/>
      </c>
      <c r="K904" s="6" t="str">
        <f aca="false">IF(C904&lt;Outliers!$E$8,"Low",IF(C904&gt;Outliers!$F$8,"High",""))</f>
        <v/>
      </c>
      <c r="L904" s="6" t="str">
        <f aca="false">A904&amp;";"&amp;B904&amp;";"&amp;C904</f>
        <v>18.78359608;102.5184759;16.1764863799386</v>
      </c>
      <c r="M904" s="6" t="n">
        <f aca="false">IF(COUNTIF($L$2:$L$2201,L904)&gt;1,1,0)</f>
        <v>0</v>
      </c>
      <c r="N904" s="6" t="str">
        <f aca="false">IF(AND(C904&lt;Assumptions!$B$9,B904&lt;Assumptions!$B$10),"Irrigate Now",IF(AND(C904&gt;=Assumptions!$B$11,B904&gt;=Assumptions!$B$12),"No Irrigation Needed","Monitor"))</f>
        <v>Monitor</v>
      </c>
      <c r="O904" s="6" t="n">
        <f aca="false">IF(N904=G904,1,0)</f>
        <v>1</v>
      </c>
    </row>
    <row r="905" customFormat="false" ht="15" hidden="false" customHeight="false" outlineLevel="0" collapsed="false">
      <c r="A905" s="16" t="n">
        <v>24.1469628</v>
      </c>
      <c r="B905" s="16" t="n">
        <v>110.2316633</v>
      </c>
      <c r="C905" s="16" t="n">
        <v>29.6995803316499</v>
      </c>
      <c r="D905" s="6" t="s">
        <v>57</v>
      </c>
      <c r="E905" s="6" t="s">
        <v>57</v>
      </c>
      <c r="F905" s="6" t="s">
        <v>23</v>
      </c>
      <c r="G905" s="6" t="s">
        <v>58</v>
      </c>
      <c r="H905" s="6" t="s">
        <v>59</v>
      </c>
      <c r="I905" s="6" t="str">
        <f aca="false">IF(A905&lt;Outliers!$E$6,"Low",IF(A905&gt;Outliers!$F$6,"High",""))</f>
        <v/>
      </c>
      <c r="J905" s="6" t="str">
        <f aca="false">IF(B905&lt;Outliers!$E$7,"Low",IF(B905&gt;Outliers!$F$7,"High",""))</f>
        <v/>
      </c>
      <c r="K905" s="6" t="str">
        <f aca="false">IF(C905&lt;Outliers!$E$8,"Low",IF(C905&gt;Outliers!$F$8,"High",""))</f>
        <v/>
      </c>
      <c r="L905" s="6" t="str">
        <f aca="false">A905&amp;";"&amp;B905&amp;";"&amp;C905</f>
        <v>24.1469628;110.2316633;29.6995803316499</v>
      </c>
      <c r="M905" s="6" t="n">
        <f aca="false">IF(COUNTIF($L$2:$L$2201,L905)&gt;1,1,0)</f>
        <v>0</v>
      </c>
      <c r="N905" s="6" t="str">
        <f aca="false">IF(AND(C905&lt;Assumptions!$B$9,B905&lt;Assumptions!$B$10),"Irrigate Now",IF(AND(C905&gt;=Assumptions!$B$11,B905&gt;=Assumptions!$B$12),"No Irrigation Needed","Monitor"))</f>
        <v>No Irrigation Needed</v>
      </c>
      <c r="O905" s="6" t="n">
        <f aca="false">IF(N905=G905,1,0)</f>
        <v>1</v>
      </c>
    </row>
    <row r="906" customFormat="false" ht="15" hidden="false" customHeight="false" outlineLevel="0" collapsed="false">
      <c r="A906" s="16" t="n">
        <v>22.44581266</v>
      </c>
      <c r="B906" s="16" t="n">
        <v>109.3905998</v>
      </c>
      <c r="C906" s="16" t="n">
        <v>22.6760064057745</v>
      </c>
      <c r="D906" s="6" t="s">
        <v>57</v>
      </c>
      <c r="E906" s="6" t="s">
        <v>57</v>
      </c>
      <c r="F906" s="6" t="s">
        <v>60</v>
      </c>
      <c r="G906" s="6" t="s">
        <v>61</v>
      </c>
      <c r="H906" s="6" t="s">
        <v>63</v>
      </c>
      <c r="I906" s="6" t="str">
        <f aca="false">IF(A906&lt;Outliers!$E$6,"Low",IF(A906&gt;Outliers!$F$6,"High",""))</f>
        <v/>
      </c>
      <c r="J906" s="6" t="str">
        <f aca="false">IF(B906&lt;Outliers!$E$7,"Low",IF(B906&gt;Outliers!$F$7,"High",""))</f>
        <v/>
      </c>
      <c r="K906" s="6" t="str">
        <f aca="false">IF(C906&lt;Outliers!$E$8,"Low",IF(C906&gt;Outliers!$F$8,"High",""))</f>
        <v/>
      </c>
      <c r="L906" s="6" t="str">
        <f aca="false">A906&amp;";"&amp;B906&amp;";"&amp;C906</f>
        <v>22.44581266;109.3905998;22.6760064057745</v>
      </c>
      <c r="M906" s="6" t="n">
        <f aca="false">IF(COUNTIF($L$2:$L$2201,L906)&gt;1,1,0)</f>
        <v>0</v>
      </c>
      <c r="N906" s="6" t="str">
        <f aca="false">IF(AND(C906&lt;Assumptions!$B$9,B906&lt;Assumptions!$B$10),"Irrigate Now",IF(AND(C906&gt;=Assumptions!$B$11,B906&gt;=Assumptions!$B$12),"No Irrigation Needed","Monitor"))</f>
        <v>Monitor</v>
      </c>
      <c r="O906" s="6" t="n">
        <f aca="false">IF(N906=G906,1,0)</f>
        <v>1</v>
      </c>
    </row>
    <row r="907" customFormat="false" ht="15" hidden="false" customHeight="false" outlineLevel="0" collapsed="false">
      <c r="A907" s="16" t="n">
        <v>24.96273236</v>
      </c>
      <c r="B907" s="16" t="n">
        <v>109.4169192</v>
      </c>
      <c r="C907" s="16" t="n">
        <v>12.177924300529</v>
      </c>
      <c r="D907" s="6" t="s">
        <v>57</v>
      </c>
      <c r="E907" s="6" t="s">
        <v>57</v>
      </c>
      <c r="F907" s="6" t="s">
        <v>24</v>
      </c>
      <c r="G907" s="6" t="s">
        <v>61</v>
      </c>
      <c r="H907" s="6" t="s">
        <v>63</v>
      </c>
      <c r="I907" s="6" t="str">
        <f aca="false">IF(A907&lt;Outliers!$E$6,"Low",IF(A907&gt;Outliers!$F$6,"High",""))</f>
        <v/>
      </c>
      <c r="J907" s="6" t="str">
        <f aca="false">IF(B907&lt;Outliers!$E$7,"Low",IF(B907&gt;Outliers!$F$7,"High",""))</f>
        <v/>
      </c>
      <c r="K907" s="6" t="str">
        <f aca="false">IF(C907&lt;Outliers!$E$8,"Low",IF(C907&gt;Outliers!$F$8,"High",""))</f>
        <v/>
      </c>
      <c r="L907" s="6" t="str">
        <f aca="false">A907&amp;";"&amp;B907&amp;";"&amp;C907</f>
        <v>24.96273236;109.4169192;12.177924300529</v>
      </c>
      <c r="M907" s="6" t="n">
        <f aca="false">IF(COUNTIF($L$2:$L$2201,L907)&gt;1,1,0)</f>
        <v>0</v>
      </c>
      <c r="N907" s="6" t="str">
        <f aca="false">IF(AND(C907&lt;Assumptions!$B$9,B907&lt;Assumptions!$B$10),"Irrigate Now",IF(AND(C907&gt;=Assumptions!$B$11,B907&gt;=Assumptions!$B$12),"No Irrigation Needed","Monitor"))</f>
        <v>Monitor</v>
      </c>
      <c r="O907" s="6" t="n">
        <f aca="false">IF(N907=G907,1,0)</f>
        <v>1</v>
      </c>
    </row>
    <row r="908" customFormat="false" ht="15" hidden="false" customHeight="false" outlineLevel="0" collapsed="false">
      <c r="A908" s="16" t="n">
        <v>22.5526059</v>
      </c>
      <c r="B908" s="16" t="n">
        <v>104.8955643</v>
      </c>
      <c r="C908" s="16" t="n">
        <v>26.2802147622787</v>
      </c>
      <c r="D908" s="6" t="s">
        <v>57</v>
      </c>
      <c r="E908" s="6" t="s">
        <v>57</v>
      </c>
      <c r="F908" s="6" t="s">
        <v>23</v>
      </c>
      <c r="G908" s="6" t="s">
        <v>58</v>
      </c>
      <c r="H908" s="6" t="s">
        <v>59</v>
      </c>
      <c r="I908" s="6" t="str">
        <f aca="false">IF(A908&lt;Outliers!$E$6,"Low",IF(A908&gt;Outliers!$F$6,"High",""))</f>
        <v/>
      </c>
      <c r="J908" s="6" t="str">
        <f aca="false">IF(B908&lt;Outliers!$E$7,"Low",IF(B908&gt;Outliers!$F$7,"High",""))</f>
        <v/>
      </c>
      <c r="K908" s="6" t="str">
        <f aca="false">IF(C908&lt;Outliers!$E$8,"Low",IF(C908&gt;Outliers!$F$8,"High",""))</f>
        <v/>
      </c>
      <c r="L908" s="6" t="str">
        <f aca="false">A908&amp;";"&amp;B908&amp;";"&amp;C908</f>
        <v>22.5526059;104.8955643;26.2802147622787</v>
      </c>
      <c r="M908" s="6" t="n">
        <f aca="false">IF(COUNTIF($L$2:$L$2201,L908)&gt;1,1,0)</f>
        <v>0</v>
      </c>
      <c r="N908" s="6" t="str">
        <f aca="false">IF(AND(C908&lt;Assumptions!$B$9,B908&lt;Assumptions!$B$10),"Irrigate Now",IF(AND(C908&gt;=Assumptions!$B$11,B908&gt;=Assumptions!$B$12),"No Irrigation Needed","Monitor"))</f>
        <v>No Irrigation Needed</v>
      </c>
      <c r="O908" s="6" t="n">
        <f aca="false">IF(N908=G908,1,0)</f>
        <v>1</v>
      </c>
    </row>
    <row r="909" customFormat="false" ht="15" hidden="false" customHeight="false" outlineLevel="0" collapsed="false">
      <c r="A909" s="16" t="n">
        <v>22.77035608</v>
      </c>
      <c r="B909" s="16" t="n">
        <v>106.9659201</v>
      </c>
      <c r="C909" s="16" t="n">
        <v>23.7073112796005</v>
      </c>
      <c r="D909" s="6" t="s">
        <v>57</v>
      </c>
      <c r="E909" s="6" t="s">
        <v>57</v>
      </c>
      <c r="F909" s="6" t="s">
        <v>23</v>
      </c>
      <c r="G909" s="6" t="s">
        <v>61</v>
      </c>
      <c r="H909" s="6" t="s">
        <v>63</v>
      </c>
      <c r="I909" s="6" t="str">
        <f aca="false">IF(A909&lt;Outliers!$E$6,"Low",IF(A909&gt;Outliers!$F$6,"High",""))</f>
        <v/>
      </c>
      <c r="J909" s="6" t="str">
        <f aca="false">IF(B909&lt;Outliers!$E$7,"Low",IF(B909&gt;Outliers!$F$7,"High",""))</f>
        <v/>
      </c>
      <c r="K909" s="6" t="str">
        <f aca="false">IF(C909&lt;Outliers!$E$8,"Low",IF(C909&gt;Outliers!$F$8,"High",""))</f>
        <v/>
      </c>
      <c r="L909" s="6" t="str">
        <f aca="false">A909&amp;";"&amp;B909&amp;";"&amp;C909</f>
        <v>22.77035608;106.9659201;23.7073112796005</v>
      </c>
      <c r="M909" s="6" t="n">
        <f aca="false">IF(COUNTIF($L$2:$L$2201,L909)&gt;1,1,0)</f>
        <v>0</v>
      </c>
      <c r="N909" s="6" t="str">
        <f aca="false">IF(AND(C909&lt;Assumptions!$B$9,B909&lt;Assumptions!$B$10),"Irrigate Now",IF(AND(C909&gt;=Assumptions!$B$11,B909&gt;=Assumptions!$B$12),"No Irrigation Needed","Monitor"))</f>
        <v>Monitor</v>
      </c>
      <c r="O909" s="6" t="n">
        <f aca="false">IF(N909=G909,1,0)</f>
        <v>1</v>
      </c>
    </row>
    <row r="910" customFormat="false" ht="15" hidden="false" customHeight="false" outlineLevel="0" collapsed="false">
      <c r="A910" s="16" t="n">
        <v>19.20090378</v>
      </c>
      <c r="B910" s="16" t="n">
        <v>108.0423555</v>
      </c>
      <c r="C910" s="16" t="n">
        <v>10.8066680331774</v>
      </c>
      <c r="D910" s="6" t="s">
        <v>66</v>
      </c>
      <c r="E910" s="6" t="s">
        <v>57</v>
      </c>
      <c r="F910" s="6" t="s">
        <v>24</v>
      </c>
      <c r="G910" s="6" t="s">
        <v>61</v>
      </c>
      <c r="H910" s="6" t="s">
        <v>63</v>
      </c>
      <c r="I910" s="6" t="str">
        <f aca="false">IF(A910&lt;Outliers!$E$6,"Low",IF(A910&gt;Outliers!$F$6,"High",""))</f>
        <v/>
      </c>
      <c r="J910" s="6" t="str">
        <f aca="false">IF(B910&lt;Outliers!$E$7,"Low",IF(B910&gt;Outliers!$F$7,"High",""))</f>
        <v/>
      </c>
      <c r="K910" s="6" t="str">
        <f aca="false">IF(C910&lt;Outliers!$E$8,"Low",IF(C910&gt;Outliers!$F$8,"High",""))</f>
        <v/>
      </c>
      <c r="L910" s="6" t="str">
        <f aca="false">A910&amp;";"&amp;B910&amp;";"&amp;C910</f>
        <v>19.20090378;108.0423555;10.8066680331774</v>
      </c>
      <c r="M910" s="6" t="n">
        <f aca="false">IF(COUNTIF($L$2:$L$2201,L910)&gt;1,1,0)</f>
        <v>0</v>
      </c>
      <c r="N910" s="6" t="str">
        <f aca="false">IF(AND(C910&lt;Assumptions!$B$9,B910&lt;Assumptions!$B$10),"Irrigate Now",IF(AND(C910&gt;=Assumptions!$B$11,B910&gt;=Assumptions!$B$12),"No Irrigation Needed","Monitor"))</f>
        <v>Monitor</v>
      </c>
      <c r="O910" s="6" t="n">
        <f aca="false">IF(N910=G910,1,0)</f>
        <v>1</v>
      </c>
    </row>
    <row r="911" customFormat="false" ht="15" hidden="false" customHeight="false" outlineLevel="0" collapsed="false">
      <c r="A911" s="16" t="n">
        <v>23.12808226</v>
      </c>
      <c r="B911" s="16" t="n">
        <v>109.3930157</v>
      </c>
      <c r="C911" s="16" t="n">
        <v>24.4032041801566</v>
      </c>
      <c r="D911" s="6" t="s">
        <v>57</v>
      </c>
      <c r="E911" s="6" t="s">
        <v>57</v>
      </c>
      <c r="F911" s="6" t="s">
        <v>23</v>
      </c>
      <c r="G911" s="6" t="s">
        <v>61</v>
      </c>
      <c r="H911" s="6" t="s">
        <v>63</v>
      </c>
      <c r="I911" s="6" t="str">
        <f aca="false">IF(A911&lt;Outliers!$E$6,"Low",IF(A911&gt;Outliers!$F$6,"High",""))</f>
        <v/>
      </c>
      <c r="J911" s="6" t="str">
        <f aca="false">IF(B911&lt;Outliers!$E$7,"Low",IF(B911&gt;Outliers!$F$7,"High",""))</f>
        <v/>
      </c>
      <c r="K911" s="6" t="str">
        <f aca="false">IF(C911&lt;Outliers!$E$8,"Low",IF(C911&gt;Outliers!$F$8,"High",""))</f>
        <v/>
      </c>
      <c r="L911" s="6" t="str">
        <f aca="false">A911&amp;";"&amp;B911&amp;";"&amp;C911</f>
        <v>23.12808226;109.3930157;24.4032041801566</v>
      </c>
      <c r="M911" s="6" t="n">
        <f aca="false">IF(COUNTIF($L$2:$L$2201,L911)&gt;1,1,0)</f>
        <v>0</v>
      </c>
      <c r="N911" s="6" t="str">
        <f aca="false">IF(AND(C911&lt;Assumptions!$B$9,B911&lt;Assumptions!$B$10),"Irrigate Now",IF(AND(C911&gt;=Assumptions!$B$11,B911&gt;=Assumptions!$B$12),"No Irrigation Needed","Monitor"))</f>
        <v>Monitor</v>
      </c>
      <c r="O911" s="6" t="n">
        <f aca="false">IF(N911=G911,1,0)</f>
        <v>1</v>
      </c>
    </row>
    <row r="912" customFormat="false" ht="15" hidden="false" customHeight="false" outlineLevel="0" collapsed="false">
      <c r="A912" s="16" t="n">
        <v>24.92639065</v>
      </c>
      <c r="B912" s="16" t="n">
        <v>104.7693804</v>
      </c>
      <c r="C912" s="16" t="n">
        <v>16.8544705458468</v>
      </c>
      <c r="D912" s="6" t="s">
        <v>57</v>
      </c>
      <c r="E912" s="6" t="s">
        <v>57</v>
      </c>
      <c r="F912" s="6" t="s">
        <v>60</v>
      </c>
      <c r="G912" s="6" t="s">
        <v>61</v>
      </c>
      <c r="H912" s="6" t="s">
        <v>63</v>
      </c>
      <c r="I912" s="6" t="str">
        <f aca="false">IF(A912&lt;Outliers!$E$6,"Low",IF(A912&gt;Outliers!$F$6,"High",""))</f>
        <v/>
      </c>
      <c r="J912" s="6" t="str">
        <f aca="false">IF(B912&lt;Outliers!$E$7,"Low",IF(B912&gt;Outliers!$F$7,"High",""))</f>
        <v/>
      </c>
      <c r="K912" s="6" t="str">
        <f aca="false">IF(C912&lt;Outliers!$E$8,"Low",IF(C912&gt;Outliers!$F$8,"High",""))</f>
        <v/>
      </c>
      <c r="L912" s="6" t="str">
        <f aca="false">A912&amp;";"&amp;B912&amp;";"&amp;C912</f>
        <v>24.92639065;104.7693804;16.8544705458468</v>
      </c>
      <c r="M912" s="6" t="n">
        <f aca="false">IF(COUNTIF($L$2:$L$2201,L912)&gt;1,1,0)</f>
        <v>0</v>
      </c>
      <c r="N912" s="6" t="str">
        <f aca="false">IF(AND(C912&lt;Assumptions!$B$9,B912&lt;Assumptions!$B$10),"Irrigate Now",IF(AND(C912&gt;=Assumptions!$B$11,B912&gt;=Assumptions!$B$12),"No Irrigation Needed","Monitor"))</f>
        <v>Monitor</v>
      </c>
      <c r="O912" s="6" t="n">
        <f aca="false">IF(N912=G912,1,0)</f>
        <v>1</v>
      </c>
    </row>
    <row r="913" customFormat="false" ht="15" hidden="false" customHeight="false" outlineLevel="0" collapsed="false">
      <c r="A913" s="16" t="n">
        <v>24.77464458</v>
      </c>
      <c r="B913" s="16" t="n">
        <v>105.7595811</v>
      </c>
      <c r="C913" s="16" t="n">
        <v>25.1540447810393</v>
      </c>
      <c r="D913" s="6" t="s">
        <v>57</v>
      </c>
      <c r="E913" s="6" t="s">
        <v>57</v>
      </c>
      <c r="F913" s="6" t="s">
        <v>23</v>
      </c>
      <c r="G913" s="6" t="s">
        <v>58</v>
      </c>
      <c r="H913" s="6" t="s">
        <v>59</v>
      </c>
      <c r="I913" s="6" t="str">
        <f aca="false">IF(A913&lt;Outliers!$E$6,"Low",IF(A913&gt;Outliers!$F$6,"High",""))</f>
        <v/>
      </c>
      <c r="J913" s="6" t="str">
        <f aca="false">IF(B913&lt;Outliers!$E$7,"Low",IF(B913&gt;Outliers!$F$7,"High",""))</f>
        <v/>
      </c>
      <c r="K913" s="6" t="str">
        <f aca="false">IF(C913&lt;Outliers!$E$8,"Low",IF(C913&gt;Outliers!$F$8,"High",""))</f>
        <v/>
      </c>
      <c r="L913" s="6" t="str">
        <f aca="false">A913&amp;";"&amp;B913&amp;";"&amp;C913</f>
        <v>24.77464458;105.7595811;25.1540447810393</v>
      </c>
      <c r="M913" s="6" t="n">
        <f aca="false">IF(COUNTIF($L$2:$L$2201,L913)&gt;1,1,0)</f>
        <v>0</v>
      </c>
      <c r="N913" s="6" t="str">
        <f aca="false">IF(AND(C913&lt;Assumptions!$B$9,B913&lt;Assumptions!$B$10),"Irrigate Now",IF(AND(C913&gt;=Assumptions!$B$11,B913&gt;=Assumptions!$B$12),"No Irrigation Needed","Monitor"))</f>
        <v>No Irrigation Needed</v>
      </c>
      <c r="O913" s="6" t="n">
        <f aca="false">IF(N913=G913,1,0)</f>
        <v>1</v>
      </c>
    </row>
    <row r="914" customFormat="false" ht="15" hidden="false" customHeight="false" outlineLevel="0" collapsed="false">
      <c r="A914" s="16" t="n">
        <v>19.8671184</v>
      </c>
      <c r="B914" s="16" t="n">
        <v>108.3168858</v>
      </c>
      <c r="C914" s="16" t="n">
        <v>27.7530033096897</v>
      </c>
      <c r="D914" s="6" t="s">
        <v>66</v>
      </c>
      <c r="E914" s="6" t="s">
        <v>57</v>
      </c>
      <c r="F914" s="6" t="s">
        <v>23</v>
      </c>
      <c r="G914" s="6" t="s">
        <v>58</v>
      </c>
      <c r="H914" s="6" t="s">
        <v>59</v>
      </c>
      <c r="I914" s="6" t="str">
        <f aca="false">IF(A914&lt;Outliers!$E$6,"Low",IF(A914&gt;Outliers!$F$6,"High",""))</f>
        <v/>
      </c>
      <c r="J914" s="6" t="str">
        <f aca="false">IF(B914&lt;Outliers!$E$7,"Low",IF(B914&gt;Outliers!$F$7,"High",""))</f>
        <v/>
      </c>
      <c r="K914" s="6" t="str">
        <f aca="false">IF(C914&lt;Outliers!$E$8,"Low",IF(C914&gt;Outliers!$F$8,"High",""))</f>
        <v/>
      </c>
      <c r="L914" s="6" t="str">
        <f aca="false">A914&amp;";"&amp;B914&amp;";"&amp;C914</f>
        <v>19.8671184;108.3168858;27.7530033096897</v>
      </c>
      <c r="M914" s="6" t="n">
        <f aca="false">IF(COUNTIF($L$2:$L$2201,L914)&gt;1,1,0)</f>
        <v>0</v>
      </c>
      <c r="N914" s="6" t="str">
        <f aca="false">IF(AND(C914&lt;Assumptions!$B$9,B914&lt;Assumptions!$B$10),"Irrigate Now",IF(AND(C914&gt;=Assumptions!$B$11,B914&gt;=Assumptions!$B$12),"No Irrigation Needed","Monitor"))</f>
        <v>No Irrigation Needed</v>
      </c>
      <c r="O914" s="6" t="n">
        <f aca="false">IF(N914=G914,1,0)</f>
        <v>1</v>
      </c>
    </row>
    <row r="915" customFormat="false" ht="15" hidden="false" customHeight="false" outlineLevel="0" collapsed="false">
      <c r="A915" s="16" t="n">
        <v>24.26601316</v>
      </c>
      <c r="B915" s="16" t="n">
        <v>104.5375109</v>
      </c>
      <c r="C915" s="16" t="n">
        <v>15.0120558431459</v>
      </c>
      <c r="D915" s="6" t="s">
        <v>57</v>
      </c>
      <c r="E915" s="6" t="s">
        <v>57</v>
      </c>
      <c r="F915" s="6" t="s">
        <v>24</v>
      </c>
      <c r="G915" s="6" t="s">
        <v>61</v>
      </c>
      <c r="H915" s="6" t="s">
        <v>63</v>
      </c>
      <c r="I915" s="6" t="str">
        <f aca="false">IF(A915&lt;Outliers!$E$6,"Low",IF(A915&gt;Outliers!$F$6,"High",""))</f>
        <v/>
      </c>
      <c r="J915" s="6" t="str">
        <f aca="false">IF(B915&lt;Outliers!$E$7,"Low",IF(B915&gt;Outliers!$F$7,"High",""))</f>
        <v/>
      </c>
      <c r="K915" s="6" t="str">
        <f aca="false">IF(C915&lt;Outliers!$E$8,"Low",IF(C915&gt;Outliers!$F$8,"High",""))</f>
        <v/>
      </c>
      <c r="L915" s="6" t="str">
        <f aca="false">A915&amp;";"&amp;B915&amp;";"&amp;C915</f>
        <v>24.26601316;104.5375109;15.0120558431459</v>
      </c>
      <c r="M915" s="6" t="n">
        <f aca="false">IF(COUNTIF($L$2:$L$2201,L915)&gt;1,1,0)</f>
        <v>0</v>
      </c>
      <c r="N915" s="6" t="str">
        <f aca="false">IF(AND(C915&lt;Assumptions!$B$9,B915&lt;Assumptions!$B$10),"Irrigate Now",IF(AND(C915&gt;=Assumptions!$B$11,B915&gt;=Assumptions!$B$12),"No Irrigation Needed","Monitor"))</f>
        <v>Monitor</v>
      </c>
      <c r="O915" s="6" t="n">
        <f aca="false">IF(N915=G915,1,0)</f>
        <v>1</v>
      </c>
    </row>
    <row r="916" customFormat="false" ht="15" hidden="false" customHeight="false" outlineLevel="0" collapsed="false">
      <c r="A916" s="16" t="n">
        <v>23.62600218</v>
      </c>
      <c r="B916" s="16" t="n">
        <v>107.6836871</v>
      </c>
      <c r="C916" s="16" t="n">
        <v>26.8387711283252</v>
      </c>
      <c r="D916" s="6" t="s">
        <v>57</v>
      </c>
      <c r="E916" s="6" t="s">
        <v>57</v>
      </c>
      <c r="F916" s="6" t="s">
        <v>23</v>
      </c>
      <c r="G916" s="6" t="s">
        <v>58</v>
      </c>
      <c r="H916" s="6" t="s">
        <v>59</v>
      </c>
      <c r="I916" s="6" t="str">
        <f aca="false">IF(A916&lt;Outliers!$E$6,"Low",IF(A916&gt;Outliers!$F$6,"High",""))</f>
        <v/>
      </c>
      <c r="J916" s="6" t="str">
        <f aca="false">IF(B916&lt;Outliers!$E$7,"Low",IF(B916&gt;Outliers!$F$7,"High",""))</f>
        <v/>
      </c>
      <c r="K916" s="6" t="str">
        <f aca="false">IF(C916&lt;Outliers!$E$8,"Low",IF(C916&gt;Outliers!$F$8,"High",""))</f>
        <v/>
      </c>
      <c r="L916" s="6" t="str">
        <f aca="false">A916&amp;";"&amp;B916&amp;";"&amp;C916</f>
        <v>23.62600218;107.6836871;26.8387711283252</v>
      </c>
      <c r="M916" s="6" t="n">
        <f aca="false">IF(COUNTIF($L$2:$L$2201,L916)&gt;1,1,0)</f>
        <v>0</v>
      </c>
      <c r="N916" s="6" t="str">
        <f aca="false">IF(AND(C916&lt;Assumptions!$B$9,B916&lt;Assumptions!$B$10),"Irrigate Now",IF(AND(C916&gt;=Assumptions!$B$11,B916&gt;=Assumptions!$B$12),"No Irrigation Needed","Monitor"))</f>
        <v>No Irrigation Needed</v>
      </c>
      <c r="O916" s="6" t="n">
        <f aca="false">IF(N916=G916,1,0)</f>
        <v>1</v>
      </c>
    </row>
    <row r="917" customFormat="false" ht="15" hidden="false" customHeight="false" outlineLevel="0" collapsed="false">
      <c r="A917" s="16" t="n">
        <v>19.67832052</v>
      </c>
      <c r="B917" s="16" t="n">
        <v>108.5468633</v>
      </c>
      <c r="C917" s="16" t="n">
        <v>15.4437800350559</v>
      </c>
      <c r="D917" s="6" t="s">
        <v>66</v>
      </c>
      <c r="E917" s="6" t="s">
        <v>57</v>
      </c>
      <c r="F917" s="6" t="s">
        <v>24</v>
      </c>
      <c r="G917" s="6" t="s">
        <v>61</v>
      </c>
      <c r="H917" s="6" t="s">
        <v>63</v>
      </c>
      <c r="I917" s="6" t="str">
        <f aca="false">IF(A917&lt;Outliers!$E$6,"Low",IF(A917&gt;Outliers!$F$6,"High",""))</f>
        <v/>
      </c>
      <c r="J917" s="6" t="str">
        <f aca="false">IF(B917&lt;Outliers!$E$7,"Low",IF(B917&gt;Outliers!$F$7,"High",""))</f>
        <v/>
      </c>
      <c r="K917" s="6" t="str">
        <f aca="false">IF(C917&lt;Outliers!$E$8,"Low",IF(C917&gt;Outliers!$F$8,"High",""))</f>
        <v/>
      </c>
      <c r="L917" s="6" t="str">
        <f aca="false">A917&amp;";"&amp;B917&amp;";"&amp;C917</f>
        <v>19.67832052;108.5468633;15.4437800350559</v>
      </c>
      <c r="M917" s="6" t="n">
        <f aca="false">IF(COUNTIF($L$2:$L$2201,L917)&gt;1,1,0)</f>
        <v>0</v>
      </c>
      <c r="N917" s="6" t="str">
        <f aca="false">IF(AND(C917&lt;Assumptions!$B$9,B917&lt;Assumptions!$B$10),"Irrigate Now",IF(AND(C917&gt;=Assumptions!$B$11,B917&gt;=Assumptions!$B$12),"No Irrigation Needed","Monitor"))</f>
        <v>Monitor</v>
      </c>
      <c r="O917" s="6" t="n">
        <f aca="false">IF(N917=G917,1,0)</f>
        <v>1</v>
      </c>
    </row>
    <row r="918" customFormat="false" ht="15" hidden="false" customHeight="false" outlineLevel="0" collapsed="false">
      <c r="A918" s="16" t="n">
        <v>22.36509395</v>
      </c>
      <c r="B918" s="16" t="n">
        <v>104.8216333</v>
      </c>
      <c r="C918" s="16" t="n">
        <v>24.3222842686055</v>
      </c>
      <c r="D918" s="6" t="s">
        <v>57</v>
      </c>
      <c r="E918" s="6" t="s">
        <v>57</v>
      </c>
      <c r="F918" s="6" t="s">
        <v>23</v>
      </c>
      <c r="G918" s="6" t="s">
        <v>61</v>
      </c>
      <c r="H918" s="6" t="s">
        <v>63</v>
      </c>
      <c r="I918" s="6" t="str">
        <f aca="false">IF(A918&lt;Outliers!$E$6,"Low",IF(A918&gt;Outliers!$F$6,"High",""))</f>
        <v/>
      </c>
      <c r="J918" s="6" t="str">
        <f aca="false">IF(B918&lt;Outliers!$E$7,"Low",IF(B918&gt;Outliers!$F$7,"High",""))</f>
        <v/>
      </c>
      <c r="K918" s="6" t="str">
        <f aca="false">IF(C918&lt;Outliers!$E$8,"Low",IF(C918&gt;Outliers!$F$8,"High",""))</f>
        <v/>
      </c>
      <c r="L918" s="6" t="str">
        <f aca="false">A918&amp;";"&amp;B918&amp;";"&amp;C918</f>
        <v>22.36509395;104.8216333;24.3222842686055</v>
      </c>
      <c r="M918" s="6" t="n">
        <f aca="false">IF(COUNTIF($L$2:$L$2201,L918)&gt;1,1,0)</f>
        <v>0</v>
      </c>
      <c r="N918" s="6" t="str">
        <f aca="false">IF(AND(C918&lt;Assumptions!$B$9,B918&lt;Assumptions!$B$10),"Irrigate Now",IF(AND(C918&gt;=Assumptions!$B$11,B918&gt;=Assumptions!$B$12),"No Irrigation Needed","Monitor"))</f>
        <v>Monitor</v>
      </c>
      <c r="O918" s="6" t="n">
        <f aca="false">IF(N918=G918,1,0)</f>
        <v>1</v>
      </c>
    </row>
    <row r="919" customFormat="false" ht="15" hidden="false" customHeight="false" outlineLevel="0" collapsed="false">
      <c r="A919" s="16" t="n">
        <v>21.57936934</v>
      </c>
      <c r="B919" s="16" t="n">
        <v>102.8593382</v>
      </c>
      <c r="C919" s="16" t="n">
        <v>18.9669477257015</v>
      </c>
      <c r="D919" s="6" t="s">
        <v>57</v>
      </c>
      <c r="E919" s="6" t="s">
        <v>57</v>
      </c>
      <c r="F919" s="6" t="s">
        <v>60</v>
      </c>
      <c r="G919" s="6" t="s">
        <v>61</v>
      </c>
      <c r="H919" s="6" t="s">
        <v>63</v>
      </c>
      <c r="I919" s="6" t="str">
        <f aca="false">IF(A919&lt;Outliers!$E$6,"Low",IF(A919&gt;Outliers!$F$6,"High",""))</f>
        <v/>
      </c>
      <c r="J919" s="6" t="str">
        <f aca="false">IF(B919&lt;Outliers!$E$7,"Low",IF(B919&gt;Outliers!$F$7,"High",""))</f>
        <v/>
      </c>
      <c r="K919" s="6" t="str">
        <f aca="false">IF(C919&lt;Outliers!$E$8,"Low",IF(C919&gt;Outliers!$F$8,"High",""))</f>
        <v/>
      </c>
      <c r="L919" s="6" t="str">
        <f aca="false">A919&amp;";"&amp;B919&amp;";"&amp;C919</f>
        <v>21.57936934;102.8593382;18.9669477257015</v>
      </c>
      <c r="M919" s="6" t="n">
        <f aca="false">IF(COUNTIF($L$2:$L$2201,L919)&gt;1,1,0)</f>
        <v>0</v>
      </c>
      <c r="N919" s="6" t="str">
        <f aca="false">IF(AND(C919&lt;Assumptions!$B$9,B919&lt;Assumptions!$B$10),"Irrigate Now",IF(AND(C919&gt;=Assumptions!$B$11,B919&gt;=Assumptions!$B$12),"No Irrigation Needed","Monitor"))</f>
        <v>Monitor</v>
      </c>
      <c r="O919" s="6" t="n">
        <f aca="false">IF(N919=G919,1,0)</f>
        <v>1</v>
      </c>
    </row>
    <row r="920" customFormat="false" ht="15" hidden="false" customHeight="false" outlineLevel="0" collapsed="false">
      <c r="A920" s="16" t="n">
        <v>18.26233221</v>
      </c>
      <c r="B920" s="16" t="n">
        <v>108.0756727</v>
      </c>
      <c r="C920" s="16" t="n">
        <v>28.7692531008804</v>
      </c>
      <c r="D920" s="6" t="s">
        <v>66</v>
      </c>
      <c r="E920" s="6" t="s">
        <v>57</v>
      </c>
      <c r="F920" s="6" t="s">
        <v>23</v>
      </c>
      <c r="G920" s="6" t="s">
        <v>58</v>
      </c>
      <c r="H920" s="6" t="s">
        <v>59</v>
      </c>
      <c r="I920" s="6" t="str">
        <f aca="false">IF(A920&lt;Outliers!$E$6,"Low",IF(A920&gt;Outliers!$F$6,"High",""))</f>
        <v/>
      </c>
      <c r="J920" s="6" t="str">
        <f aca="false">IF(B920&lt;Outliers!$E$7,"Low",IF(B920&gt;Outliers!$F$7,"High",""))</f>
        <v/>
      </c>
      <c r="K920" s="6" t="str">
        <f aca="false">IF(C920&lt;Outliers!$E$8,"Low",IF(C920&gt;Outliers!$F$8,"High",""))</f>
        <v/>
      </c>
      <c r="L920" s="6" t="str">
        <f aca="false">A920&amp;";"&amp;B920&amp;";"&amp;C920</f>
        <v>18.26233221;108.0756727;28.7692531008804</v>
      </c>
      <c r="M920" s="6" t="n">
        <f aca="false">IF(COUNTIF($L$2:$L$2201,L920)&gt;1,1,0)</f>
        <v>0</v>
      </c>
      <c r="N920" s="6" t="str">
        <f aca="false">IF(AND(C920&lt;Assumptions!$B$9,B920&lt;Assumptions!$B$10),"Irrigate Now",IF(AND(C920&gt;=Assumptions!$B$11,B920&gt;=Assumptions!$B$12),"No Irrigation Needed","Monitor"))</f>
        <v>No Irrigation Needed</v>
      </c>
      <c r="O920" s="6" t="n">
        <f aca="false">IF(N920=G920,1,0)</f>
        <v>1</v>
      </c>
    </row>
    <row r="921" customFormat="false" ht="15" hidden="false" customHeight="false" outlineLevel="0" collapsed="false">
      <c r="A921" s="16" t="n">
        <v>23.71028128</v>
      </c>
      <c r="B921" s="16" t="n">
        <v>105.6499907</v>
      </c>
      <c r="C921" s="16" t="n">
        <v>13.1254736939091</v>
      </c>
      <c r="D921" s="6" t="s">
        <v>57</v>
      </c>
      <c r="E921" s="6" t="s">
        <v>57</v>
      </c>
      <c r="F921" s="6" t="s">
        <v>24</v>
      </c>
      <c r="G921" s="6" t="s">
        <v>61</v>
      </c>
      <c r="H921" s="6" t="s">
        <v>63</v>
      </c>
      <c r="I921" s="6" t="str">
        <f aca="false">IF(A921&lt;Outliers!$E$6,"Low",IF(A921&gt;Outliers!$F$6,"High",""))</f>
        <v/>
      </c>
      <c r="J921" s="6" t="str">
        <f aca="false">IF(B921&lt;Outliers!$E$7,"Low",IF(B921&gt;Outliers!$F$7,"High",""))</f>
        <v/>
      </c>
      <c r="K921" s="6" t="str">
        <f aca="false">IF(C921&lt;Outliers!$E$8,"Low",IF(C921&gt;Outliers!$F$8,"High",""))</f>
        <v/>
      </c>
      <c r="L921" s="6" t="str">
        <f aca="false">A921&amp;";"&amp;B921&amp;";"&amp;C921</f>
        <v>23.71028128;105.6499907;13.1254736939091</v>
      </c>
      <c r="M921" s="6" t="n">
        <f aca="false">IF(COUNTIF($L$2:$L$2201,L921)&gt;1,1,0)</f>
        <v>0</v>
      </c>
      <c r="N921" s="6" t="str">
        <f aca="false">IF(AND(C921&lt;Assumptions!$B$9,B921&lt;Assumptions!$B$10),"Irrigate Now",IF(AND(C921&gt;=Assumptions!$B$11,B921&gt;=Assumptions!$B$12),"No Irrigation Needed","Monitor"))</f>
        <v>Monitor</v>
      </c>
      <c r="O921" s="6" t="n">
        <f aca="false">IF(N921=G921,1,0)</f>
        <v>1</v>
      </c>
    </row>
    <row r="922" customFormat="false" ht="15" hidden="false" customHeight="false" outlineLevel="0" collapsed="false">
      <c r="A922" s="16" t="n">
        <v>22.48720144</v>
      </c>
      <c r="B922" s="16" t="n">
        <v>111.6631582</v>
      </c>
      <c r="C922" s="16" t="n">
        <v>11.7426861495611</v>
      </c>
      <c r="D922" s="6" t="s">
        <v>57</v>
      </c>
      <c r="E922" s="6" t="s">
        <v>57</v>
      </c>
      <c r="F922" s="6" t="s">
        <v>24</v>
      </c>
      <c r="G922" s="6" t="s">
        <v>61</v>
      </c>
      <c r="H922" s="6" t="s">
        <v>63</v>
      </c>
      <c r="I922" s="6" t="str">
        <f aca="false">IF(A922&lt;Outliers!$E$6,"Low",IF(A922&gt;Outliers!$F$6,"High",""))</f>
        <v/>
      </c>
      <c r="J922" s="6" t="str">
        <f aca="false">IF(B922&lt;Outliers!$E$7,"Low",IF(B922&gt;Outliers!$F$7,"High",""))</f>
        <v/>
      </c>
      <c r="K922" s="6" t="str">
        <f aca="false">IF(C922&lt;Outliers!$E$8,"Low",IF(C922&gt;Outliers!$F$8,"High",""))</f>
        <v/>
      </c>
      <c r="L922" s="6" t="str">
        <f aca="false">A922&amp;";"&amp;B922&amp;";"&amp;C922</f>
        <v>22.48720144;111.6631582;11.7426861495611</v>
      </c>
      <c r="M922" s="6" t="n">
        <f aca="false">IF(COUNTIF($L$2:$L$2201,L922)&gt;1,1,0)</f>
        <v>0</v>
      </c>
      <c r="N922" s="6" t="str">
        <f aca="false">IF(AND(C922&lt;Assumptions!$B$9,B922&lt;Assumptions!$B$10),"Irrigate Now",IF(AND(C922&gt;=Assumptions!$B$11,B922&gt;=Assumptions!$B$12),"No Irrigation Needed","Monitor"))</f>
        <v>Monitor</v>
      </c>
      <c r="O922" s="6" t="n">
        <f aca="false">IF(N922=G922,1,0)</f>
        <v>1</v>
      </c>
    </row>
    <row r="923" customFormat="false" ht="15" hidden="false" customHeight="false" outlineLevel="0" collapsed="false">
      <c r="A923" s="16" t="n">
        <v>21.6602498</v>
      </c>
      <c r="B923" s="16" t="n">
        <v>112.4349689</v>
      </c>
      <c r="C923" s="16" t="n">
        <v>25.6241015453199</v>
      </c>
      <c r="D923" s="6" t="s">
        <v>57</v>
      </c>
      <c r="E923" s="6" t="s">
        <v>57</v>
      </c>
      <c r="F923" s="6" t="s">
        <v>23</v>
      </c>
      <c r="G923" s="6" t="s">
        <v>58</v>
      </c>
      <c r="H923" s="6" t="s">
        <v>59</v>
      </c>
      <c r="I923" s="6" t="str">
        <f aca="false">IF(A923&lt;Outliers!$E$6,"Low",IF(A923&gt;Outliers!$F$6,"High",""))</f>
        <v/>
      </c>
      <c r="J923" s="6" t="str">
        <f aca="false">IF(B923&lt;Outliers!$E$7,"Low",IF(B923&gt;Outliers!$F$7,"High",""))</f>
        <v/>
      </c>
      <c r="K923" s="6" t="str">
        <f aca="false">IF(C923&lt;Outliers!$E$8,"Low",IF(C923&gt;Outliers!$F$8,"High",""))</f>
        <v/>
      </c>
      <c r="L923" s="6" t="str">
        <f aca="false">A923&amp;";"&amp;B923&amp;";"&amp;C923</f>
        <v>21.6602498;112.4349689;25.6241015453199</v>
      </c>
      <c r="M923" s="6" t="n">
        <f aca="false">IF(COUNTIF($L$2:$L$2201,L923)&gt;1,1,0)</f>
        <v>0</v>
      </c>
      <c r="N923" s="6" t="str">
        <f aca="false">IF(AND(C923&lt;Assumptions!$B$9,B923&lt;Assumptions!$B$10),"Irrigate Now",IF(AND(C923&gt;=Assumptions!$B$11,B923&gt;=Assumptions!$B$12),"No Irrigation Needed","Monitor"))</f>
        <v>No Irrigation Needed</v>
      </c>
      <c r="O923" s="6" t="n">
        <f aca="false">IF(N923=G923,1,0)</f>
        <v>1</v>
      </c>
    </row>
    <row r="924" customFormat="false" ht="15" hidden="false" customHeight="false" outlineLevel="0" collapsed="false">
      <c r="A924" s="16" t="n">
        <v>20.13037175</v>
      </c>
      <c r="B924" s="16" t="n">
        <v>107.3416913</v>
      </c>
      <c r="C924" s="16" t="n">
        <v>16.5520146539988</v>
      </c>
      <c r="D924" s="6" t="s">
        <v>57</v>
      </c>
      <c r="E924" s="6" t="s">
        <v>57</v>
      </c>
      <c r="F924" s="6" t="s">
        <v>24</v>
      </c>
      <c r="G924" s="6" t="s">
        <v>61</v>
      </c>
      <c r="H924" s="6" t="s">
        <v>63</v>
      </c>
      <c r="I924" s="6" t="str">
        <f aca="false">IF(A924&lt;Outliers!$E$6,"Low",IF(A924&gt;Outliers!$F$6,"High",""))</f>
        <v/>
      </c>
      <c r="J924" s="6" t="str">
        <f aca="false">IF(B924&lt;Outliers!$E$7,"Low",IF(B924&gt;Outliers!$F$7,"High",""))</f>
        <v/>
      </c>
      <c r="K924" s="6" t="str">
        <f aca="false">IF(C924&lt;Outliers!$E$8,"Low",IF(C924&gt;Outliers!$F$8,"High",""))</f>
        <v/>
      </c>
      <c r="L924" s="6" t="str">
        <f aca="false">A924&amp;";"&amp;B924&amp;";"&amp;C924</f>
        <v>20.13037175;107.3416913;16.5520146539988</v>
      </c>
      <c r="M924" s="6" t="n">
        <f aca="false">IF(COUNTIF($L$2:$L$2201,L924)&gt;1,1,0)</f>
        <v>0</v>
      </c>
      <c r="N924" s="6" t="str">
        <f aca="false">IF(AND(C924&lt;Assumptions!$B$9,B924&lt;Assumptions!$B$10),"Irrigate Now",IF(AND(C924&gt;=Assumptions!$B$11,B924&gt;=Assumptions!$B$12),"No Irrigation Needed","Monitor"))</f>
        <v>Monitor</v>
      </c>
      <c r="O924" s="6" t="n">
        <f aca="false">IF(N924=G924,1,0)</f>
        <v>1</v>
      </c>
    </row>
    <row r="925" customFormat="false" ht="15" hidden="false" customHeight="false" outlineLevel="0" collapsed="false">
      <c r="A925" s="16" t="n">
        <v>18.41164435</v>
      </c>
      <c r="B925" s="16" t="n">
        <v>105.1834976</v>
      </c>
      <c r="C925" s="16" t="n">
        <v>28.9342148677569</v>
      </c>
      <c r="D925" s="6" t="s">
        <v>66</v>
      </c>
      <c r="E925" s="6" t="s">
        <v>57</v>
      </c>
      <c r="F925" s="6" t="s">
        <v>23</v>
      </c>
      <c r="G925" s="6" t="s">
        <v>58</v>
      </c>
      <c r="H925" s="6" t="s">
        <v>59</v>
      </c>
      <c r="I925" s="6" t="str">
        <f aca="false">IF(A925&lt;Outliers!$E$6,"Low",IF(A925&gt;Outliers!$F$6,"High",""))</f>
        <v/>
      </c>
      <c r="J925" s="6" t="str">
        <f aca="false">IF(B925&lt;Outliers!$E$7,"Low",IF(B925&gt;Outliers!$F$7,"High",""))</f>
        <v/>
      </c>
      <c r="K925" s="6" t="str">
        <f aca="false">IF(C925&lt;Outliers!$E$8,"Low",IF(C925&gt;Outliers!$F$8,"High",""))</f>
        <v/>
      </c>
      <c r="L925" s="6" t="str">
        <f aca="false">A925&amp;";"&amp;B925&amp;";"&amp;C925</f>
        <v>18.41164435;105.1834976;28.9342148677569</v>
      </c>
      <c r="M925" s="6" t="n">
        <f aca="false">IF(COUNTIF($L$2:$L$2201,L925)&gt;1,1,0)</f>
        <v>0</v>
      </c>
      <c r="N925" s="6" t="str">
        <f aca="false">IF(AND(C925&lt;Assumptions!$B$9,B925&lt;Assumptions!$B$10),"Irrigate Now",IF(AND(C925&gt;=Assumptions!$B$11,B925&gt;=Assumptions!$B$12),"No Irrigation Needed","Monitor"))</f>
        <v>No Irrigation Needed</v>
      </c>
      <c r="O925" s="6" t="n">
        <f aca="false">IF(N925=G925,1,0)</f>
        <v>1</v>
      </c>
    </row>
    <row r="926" customFormat="false" ht="15" hidden="false" customHeight="false" outlineLevel="0" collapsed="false">
      <c r="A926" s="16" t="n">
        <v>19.68291173</v>
      </c>
      <c r="B926" s="16" t="n">
        <v>111.2818551</v>
      </c>
      <c r="C926" s="16" t="n">
        <v>12.7378164459769</v>
      </c>
      <c r="D926" s="6" t="s">
        <v>66</v>
      </c>
      <c r="E926" s="6" t="s">
        <v>57</v>
      </c>
      <c r="F926" s="6" t="s">
        <v>24</v>
      </c>
      <c r="G926" s="6" t="s">
        <v>61</v>
      </c>
      <c r="H926" s="6" t="s">
        <v>63</v>
      </c>
      <c r="I926" s="6" t="str">
        <f aca="false">IF(A926&lt;Outliers!$E$6,"Low",IF(A926&gt;Outliers!$F$6,"High",""))</f>
        <v/>
      </c>
      <c r="J926" s="6" t="str">
        <f aca="false">IF(B926&lt;Outliers!$E$7,"Low",IF(B926&gt;Outliers!$F$7,"High",""))</f>
        <v/>
      </c>
      <c r="K926" s="6" t="str">
        <f aca="false">IF(C926&lt;Outliers!$E$8,"Low",IF(C926&gt;Outliers!$F$8,"High",""))</f>
        <v/>
      </c>
      <c r="L926" s="6" t="str">
        <f aca="false">A926&amp;";"&amp;B926&amp;";"&amp;C926</f>
        <v>19.68291173;111.2818551;12.7378164459769</v>
      </c>
      <c r="M926" s="6" t="n">
        <f aca="false">IF(COUNTIF($L$2:$L$2201,L926)&gt;1,1,0)</f>
        <v>0</v>
      </c>
      <c r="N926" s="6" t="str">
        <f aca="false">IF(AND(C926&lt;Assumptions!$B$9,B926&lt;Assumptions!$B$10),"Irrigate Now",IF(AND(C926&gt;=Assumptions!$B$11,B926&gt;=Assumptions!$B$12),"No Irrigation Needed","Monitor"))</f>
        <v>Monitor</v>
      </c>
      <c r="O926" s="6" t="n">
        <f aca="false">IF(N926=G926,1,0)</f>
        <v>1</v>
      </c>
    </row>
    <row r="927" customFormat="false" ht="15" hidden="false" customHeight="false" outlineLevel="0" collapsed="false">
      <c r="A927" s="16" t="n">
        <v>23.20242586</v>
      </c>
      <c r="B927" s="16" t="n">
        <v>109.0946323</v>
      </c>
      <c r="C927" s="16" t="n">
        <v>10.6073686380784</v>
      </c>
      <c r="D927" s="6" t="s">
        <v>57</v>
      </c>
      <c r="E927" s="6" t="s">
        <v>57</v>
      </c>
      <c r="F927" s="6" t="s">
        <v>24</v>
      </c>
      <c r="G927" s="6" t="s">
        <v>61</v>
      </c>
      <c r="H927" s="6" t="s">
        <v>63</v>
      </c>
      <c r="I927" s="6" t="str">
        <f aca="false">IF(A927&lt;Outliers!$E$6,"Low",IF(A927&gt;Outliers!$F$6,"High",""))</f>
        <v/>
      </c>
      <c r="J927" s="6" t="str">
        <f aca="false">IF(B927&lt;Outliers!$E$7,"Low",IF(B927&gt;Outliers!$F$7,"High",""))</f>
        <v/>
      </c>
      <c r="K927" s="6" t="str">
        <f aca="false">IF(C927&lt;Outliers!$E$8,"Low",IF(C927&gt;Outliers!$F$8,"High",""))</f>
        <v/>
      </c>
      <c r="L927" s="6" t="str">
        <f aca="false">A927&amp;";"&amp;B927&amp;";"&amp;C927</f>
        <v>23.20242586;109.0946323;10.6073686380784</v>
      </c>
      <c r="M927" s="6" t="n">
        <f aca="false">IF(COUNTIF($L$2:$L$2201,L927)&gt;1,1,0)</f>
        <v>0</v>
      </c>
      <c r="N927" s="6" t="str">
        <f aca="false">IF(AND(C927&lt;Assumptions!$B$9,B927&lt;Assumptions!$B$10),"Irrigate Now",IF(AND(C927&gt;=Assumptions!$B$11,B927&gt;=Assumptions!$B$12),"No Irrigation Needed","Monitor"))</f>
        <v>Monitor</v>
      </c>
      <c r="O927" s="6" t="n">
        <f aca="false">IF(N927=G927,1,0)</f>
        <v>1</v>
      </c>
    </row>
    <row r="928" customFormat="false" ht="15" hidden="false" customHeight="false" outlineLevel="0" collapsed="false">
      <c r="A928" s="16" t="n">
        <v>18.92157197</v>
      </c>
      <c r="B928" s="16" t="n">
        <v>102.8013275</v>
      </c>
      <c r="C928" s="16" t="n">
        <v>26.3394835906515</v>
      </c>
      <c r="D928" s="6" t="s">
        <v>66</v>
      </c>
      <c r="E928" s="6" t="s">
        <v>57</v>
      </c>
      <c r="F928" s="6" t="s">
        <v>23</v>
      </c>
      <c r="G928" s="6" t="s">
        <v>58</v>
      </c>
      <c r="H928" s="6" t="s">
        <v>59</v>
      </c>
      <c r="I928" s="6" t="str">
        <f aca="false">IF(A928&lt;Outliers!$E$6,"Low",IF(A928&gt;Outliers!$F$6,"High",""))</f>
        <v/>
      </c>
      <c r="J928" s="6" t="str">
        <f aca="false">IF(B928&lt;Outliers!$E$7,"Low",IF(B928&gt;Outliers!$F$7,"High",""))</f>
        <v/>
      </c>
      <c r="K928" s="6" t="str">
        <f aca="false">IF(C928&lt;Outliers!$E$8,"Low",IF(C928&gt;Outliers!$F$8,"High",""))</f>
        <v/>
      </c>
      <c r="L928" s="6" t="str">
        <f aca="false">A928&amp;";"&amp;B928&amp;";"&amp;C928</f>
        <v>18.92157197;102.8013275;26.3394835906515</v>
      </c>
      <c r="M928" s="6" t="n">
        <f aca="false">IF(COUNTIF($L$2:$L$2201,L928)&gt;1,1,0)</f>
        <v>0</v>
      </c>
      <c r="N928" s="6" t="str">
        <f aca="false">IF(AND(C928&lt;Assumptions!$B$9,B928&lt;Assumptions!$B$10),"Irrigate Now",IF(AND(C928&gt;=Assumptions!$B$11,B928&gt;=Assumptions!$B$12),"No Irrigation Needed","Monitor"))</f>
        <v>No Irrigation Needed</v>
      </c>
      <c r="O928" s="6" t="n">
        <f aca="false">IF(N928=G928,1,0)</f>
        <v>1</v>
      </c>
    </row>
    <row r="929" customFormat="false" ht="15" hidden="false" customHeight="false" outlineLevel="0" collapsed="false">
      <c r="A929" s="16" t="n">
        <v>22.10621387</v>
      </c>
      <c r="B929" s="16" t="n">
        <v>106.8704803</v>
      </c>
      <c r="C929" s="16" t="n">
        <v>18.5484163992435</v>
      </c>
      <c r="D929" s="6" t="s">
        <v>57</v>
      </c>
      <c r="E929" s="6" t="s">
        <v>57</v>
      </c>
      <c r="F929" s="6" t="s">
        <v>60</v>
      </c>
      <c r="G929" s="6" t="s">
        <v>61</v>
      </c>
      <c r="H929" s="6" t="s">
        <v>63</v>
      </c>
      <c r="I929" s="6" t="str">
        <f aca="false">IF(A929&lt;Outliers!$E$6,"Low",IF(A929&gt;Outliers!$F$6,"High",""))</f>
        <v/>
      </c>
      <c r="J929" s="6" t="str">
        <f aca="false">IF(B929&lt;Outliers!$E$7,"Low",IF(B929&gt;Outliers!$F$7,"High",""))</f>
        <v/>
      </c>
      <c r="K929" s="6" t="str">
        <f aca="false">IF(C929&lt;Outliers!$E$8,"Low",IF(C929&gt;Outliers!$F$8,"High",""))</f>
        <v/>
      </c>
      <c r="L929" s="6" t="str">
        <f aca="false">A929&amp;";"&amp;B929&amp;";"&amp;C929</f>
        <v>22.10621387;106.8704803;18.5484163992435</v>
      </c>
      <c r="M929" s="6" t="n">
        <f aca="false">IF(COUNTIF($L$2:$L$2201,L929)&gt;1,1,0)</f>
        <v>0</v>
      </c>
      <c r="N929" s="6" t="str">
        <f aca="false">IF(AND(C929&lt;Assumptions!$B$9,B929&lt;Assumptions!$B$10),"Irrigate Now",IF(AND(C929&gt;=Assumptions!$B$11,B929&gt;=Assumptions!$B$12),"No Irrigation Needed","Monitor"))</f>
        <v>Monitor</v>
      </c>
      <c r="O929" s="6" t="n">
        <f aca="false">IF(N929=G929,1,0)</f>
        <v>1</v>
      </c>
    </row>
    <row r="930" customFormat="false" ht="15" hidden="false" customHeight="false" outlineLevel="0" collapsed="false">
      <c r="A930" s="16" t="n">
        <v>18.47412402</v>
      </c>
      <c r="B930" s="16" t="n">
        <v>108.4758509</v>
      </c>
      <c r="C930" s="16" t="n">
        <v>28.3765255352577</v>
      </c>
      <c r="D930" s="6" t="s">
        <v>66</v>
      </c>
      <c r="E930" s="6" t="s">
        <v>57</v>
      </c>
      <c r="F930" s="6" t="s">
        <v>23</v>
      </c>
      <c r="G930" s="6" t="s">
        <v>58</v>
      </c>
      <c r="H930" s="6" t="s">
        <v>59</v>
      </c>
      <c r="I930" s="6" t="str">
        <f aca="false">IF(A930&lt;Outliers!$E$6,"Low",IF(A930&gt;Outliers!$F$6,"High",""))</f>
        <v/>
      </c>
      <c r="J930" s="6" t="str">
        <f aca="false">IF(B930&lt;Outliers!$E$7,"Low",IF(B930&gt;Outliers!$F$7,"High",""))</f>
        <v/>
      </c>
      <c r="K930" s="6" t="str">
        <f aca="false">IF(C930&lt;Outliers!$E$8,"Low",IF(C930&gt;Outliers!$F$8,"High",""))</f>
        <v/>
      </c>
      <c r="L930" s="6" t="str">
        <f aca="false">A930&amp;";"&amp;B930&amp;";"&amp;C930</f>
        <v>18.47412402;108.4758509;28.3765255352577</v>
      </c>
      <c r="M930" s="6" t="n">
        <f aca="false">IF(COUNTIF($L$2:$L$2201,L930)&gt;1,1,0)</f>
        <v>0</v>
      </c>
      <c r="N930" s="6" t="str">
        <f aca="false">IF(AND(C930&lt;Assumptions!$B$9,B930&lt;Assumptions!$B$10),"Irrigate Now",IF(AND(C930&gt;=Assumptions!$B$11,B930&gt;=Assumptions!$B$12),"No Irrigation Needed","Monitor"))</f>
        <v>No Irrigation Needed</v>
      </c>
      <c r="O930" s="6" t="n">
        <f aca="false">IF(N930=G930,1,0)</f>
        <v>1</v>
      </c>
    </row>
    <row r="931" customFormat="false" ht="15" hidden="false" customHeight="false" outlineLevel="0" collapsed="false">
      <c r="A931" s="16" t="n">
        <v>19.81069447</v>
      </c>
      <c r="B931" s="16" t="n">
        <v>102.860084</v>
      </c>
      <c r="C931" s="16" t="n">
        <v>29.0686251129083</v>
      </c>
      <c r="D931" s="6" t="s">
        <v>66</v>
      </c>
      <c r="E931" s="6" t="s">
        <v>57</v>
      </c>
      <c r="F931" s="6" t="s">
        <v>23</v>
      </c>
      <c r="G931" s="6" t="s">
        <v>58</v>
      </c>
      <c r="H931" s="6" t="s">
        <v>59</v>
      </c>
      <c r="I931" s="6" t="str">
        <f aca="false">IF(A931&lt;Outliers!$E$6,"Low",IF(A931&gt;Outliers!$F$6,"High",""))</f>
        <v/>
      </c>
      <c r="J931" s="6" t="str">
        <f aca="false">IF(B931&lt;Outliers!$E$7,"Low",IF(B931&gt;Outliers!$F$7,"High",""))</f>
        <v/>
      </c>
      <c r="K931" s="6" t="str">
        <f aca="false">IF(C931&lt;Outliers!$E$8,"Low",IF(C931&gt;Outliers!$F$8,"High",""))</f>
        <v/>
      </c>
      <c r="L931" s="6" t="str">
        <f aca="false">A931&amp;";"&amp;B931&amp;";"&amp;C931</f>
        <v>19.81069447;102.860084;29.0686251129083</v>
      </c>
      <c r="M931" s="6" t="n">
        <f aca="false">IF(COUNTIF($L$2:$L$2201,L931)&gt;1,1,0)</f>
        <v>0</v>
      </c>
      <c r="N931" s="6" t="str">
        <f aca="false">IF(AND(C931&lt;Assumptions!$B$9,B931&lt;Assumptions!$B$10),"Irrigate Now",IF(AND(C931&gt;=Assumptions!$B$11,B931&gt;=Assumptions!$B$12),"No Irrigation Needed","Monitor"))</f>
        <v>No Irrigation Needed</v>
      </c>
      <c r="O931" s="6" t="n">
        <f aca="false">IF(N931=G931,1,0)</f>
        <v>1</v>
      </c>
    </row>
    <row r="932" customFormat="false" ht="15" hidden="false" customHeight="false" outlineLevel="0" collapsed="false">
      <c r="A932" s="16" t="n">
        <v>24.4880844</v>
      </c>
      <c r="B932" s="16" t="n">
        <v>103.1969341</v>
      </c>
      <c r="C932" s="16" t="n">
        <v>16.9975056656945</v>
      </c>
      <c r="D932" s="6" t="s">
        <v>57</v>
      </c>
      <c r="E932" s="6" t="s">
        <v>57</v>
      </c>
      <c r="F932" s="6" t="s">
        <v>60</v>
      </c>
      <c r="G932" s="6" t="s">
        <v>61</v>
      </c>
      <c r="H932" s="6" t="s">
        <v>63</v>
      </c>
      <c r="I932" s="6" t="str">
        <f aca="false">IF(A932&lt;Outliers!$E$6,"Low",IF(A932&gt;Outliers!$F$6,"High",""))</f>
        <v/>
      </c>
      <c r="J932" s="6" t="str">
        <f aca="false">IF(B932&lt;Outliers!$E$7,"Low",IF(B932&gt;Outliers!$F$7,"High",""))</f>
        <v/>
      </c>
      <c r="K932" s="6" t="str">
        <f aca="false">IF(C932&lt;Outliers!$E$8,"Low",IF(C932&gt;Outliers!$F$8,"High",""))</f>
        <v/>
      </c>
      <c r="L932" s="6" t="str">
        <f aca="false">A932&amp;";"&amp;B932&amp;";"&amp;C932</f>
        <v>24.4880844;103.1969341;16.9975056656945</v>
      </c>
      <c r="M932" s="6" t="n">
        <f aca="false">IF(COUNTIF($L$2:$L$2201,L932)&gt;1,1,0)</f>
        <v>0</v>
      </c>
      <c r="N932" s="6" t="str">
        <f aca="false">IF(AND(C932&lt;Assumptions!$B$9,B932&lt;Assumptions!$B$10),"Irrigate Now",IF(AND(C932&gt;=Assumptions!$B$11,B932&gt;=Assumptions!$B$12),"No Irrigation Needed","Monitor"))</f>
        <v>Monitor</v>
      </c>
      <c r="O932" s="6" t="n">
        <f aca="false">IF(N932=G932,1,0)</f>
        <v>1</v>
      </c>
    </row>
    <row r="933" customFormat="false" ht="15" hidden="false" customHeight="false" outlineLevel="0" collapsed="false">
      <c r="A933" s="16" t="n">
        <v>18.75927679</v>
      </c>
      <c r="B933" s="16" t="n">
        <v>111.0196744</v>
      </c>
      <c r="C933" s="16" t="n">
        <v>16.9683215081481</v>
      </c>
      <c r="D933" s="6" t="s">
        <v>66</v>
      </c>
      <c r="E933" s="6" t="s">
        <v>57</v>
      </c>
      <c r="F933" s="6" t="s">
        <v>60</v>
      </c>
      <c r="G933" s="6" t="s">
        <v>61</v>
      </c>
      <c r="H933" s="6" t="s">
        <v>63</v>
      </c>
      <c r="I933" s="6" t="str">
        <f aca="false">IF(A933&lt;Outliers!$E$6,"Low",IF(A933&gt;Outliers!$F$6,"High",""))</f>
        <v/>
      </c>
      <c r="J933" s="6" t="str">
        <f aca="false">IF(B933&lt;Outliers!$E$7,"Low",IF(B933&gt;Outliers!$F$7,"High",""))</f>
        <v/>
      </c>
      <c r="K933" s="6" t="str">
        <f aca="false">IF(C933&lt;Outliers!$E$8,"Low",IF(C933&gt;Outliers!$F$8,"High",""))</f>
        <v/>
      </c>
      <c r="L933" s="6" t="str">
        <f aca="false">A933&amp;";"&amp;B933&amp;";"&amp;C933</f>
        <v>18.75927679;111.0196744;16.9683215081481</v>
      </c>
      <c r="M933" s="6" t="n">
        <f aca="false">IF(COUNTIF($L$2:$L$2201,L933)&gt;1,1,0)</f>
        <v>0</v>
      </c>
      <c r="N933" s="6" t="str">
        <f aca="false">IF(AND(C933&lt;Assumptions!$B$9,B933&lt;Assumptions!$B$10),"Irrigate Now",IF(AND(C933&gt;=Assumptions!$B$11,B933&gt;=Assumptions!$B$12),"No Irrigation Needed","Monitor"))</f>
        <v>Monitor</v>
      </c>
      <c r="O933" s="6" t="n">
        <f aca="false">IF(N933=G933,1,0)</f>
        <v>1</v>
      </c>
    </row>
    <row r="934" customFormat="false" ht="15" hidden="false" customHeight="false" outlineLevel="0" collapsed="false">
      <c r="A934" s="16" t="n">
        <v>19.54128063</v>
      </c>
      <c r="B934" s="16" t="n">
        <v>104.3739878</v>
      </c>
      <c r="C934" s="16" t="n">
        <v>27.2132304461978</v>
      </c>
      <c r="D934" s="6" t="s">
        <v>66</v>
      </c>
      <c r="E934" s="6" t="s">
        <v>57</v>
      </c>
      <c r="F934" s="6" t="s">
        <v>23</v>
      </c>
      <c r="G934" s="6" t="s">
        <v>58</v>
      </c>
      <c r="H934" s="6" t="s">
        <v>59</v>
      </c>
      <c r="I934" s="6" t="str">
        <f aca="false">IF(A934&lt;Outliers!$E$6,"Low",IF(A934&gt;Outliers!$F$6,"High",""))</f>
        <v/>
      </c>
      <c r="J934" s="6" t="str">
        <f aca="false">IF(B934&lt;Outliers!$E$7,"Low",IF(B934&gt;Outliers!$F$7,"High",""))</f>
        <v/>
      </c>
      <c r="K934" s="6" t="str">
        <f aca="false">IF(C934&lt;Outliers!$E$8,"Low",IF(C934&gt;Outliers!$F$8,"High",""))</f>
        <v/>
      </c>
      <c r="L934" s="6" t="str">
        <f aca="false">A934&amp;";"&amp;B934&amp;";"&amp;C934</f>
        <v>19.54128063;104.3739878;27.2132304461978</v>
      </c>
      <c r="M934" s="6" t="n">
        <f aca="false">IF(COUNTIF($L$2:$L$2201,L934)&gt;1,1,0)</f>
        <v>0</v>
      </c>
      <c r="N934" s="6" t="str">
        <f aca="false">IF(AND(C934&lt;Assumptions!$B$9,B934&lt;Assumptions!$B$10),"Irrigate Now",IF(AND(C934&gt;=Assumptions!$B$11,B934&gt;=Assumptions!$B$12),"No Irrigation Needed","Monitor"))</f>
        <v>No Irrigation Needed</v>
      </c>
      <c r="O934" s="6" t="n">
        <f aca="false">IF(N934=G934,1,0)</f>
        <v>1</v>
      </c>
    </row>
    <row r="935" customFormat="false" ht="15" hidden="false" customHeight="false" outlineLevel="0" collapsed="false">
      <c r="A935" s="16" t="n">
        <v>18.91251245</v>
      </c>
      <c r="B935" s="16" t="n">
        <v>111.2800516</v>
      </c>
      <c r="C935" s="16" t="n">
        <v>19.2775534327274</v>
      </c>
      <c r="D935" s="6" t="s">
        <v>66</v>
      </c>
      <c r="E935" s="6" t="s">
        <v>57</v>
      </c>
      <c r="F935" s="6" t="s">
        <v>60</v>
      </c>
      <c r="G935" s="6" t="s">
        <v>61</v>
      </c>
      <c r="H935" s="6" t="s">
        <v>63</v>
      </c>
      <c r="I935" s="6" t="str">
        <f aca="false">IF(A935&lt;Outliers!$E$6,"Low",IF(A935&gt;Outliers!$F$6,"High",""))</f>
        <v/>
      </c>
      <c r="J935" s="6" t="str">
        <f aca="false">IF(B935&lt;Outliers!$E$7,"Low",IF(B935&gt;Outliers!$F$7,"High",""))</f>
        <v/>
      </c>
      <c r="K935" s="6" t="str">
        <f aca="false">IF(C935&lt;Outliers!$E$8,"Low",IF(C935&gt;Outliers!$F$8,"High",""))</f>
        <v/>
      </c>
      <c r="L935" s="6" t="str">
        <f aca="false">A935&amp;";"&amp;B935&amp;";"&amp;C935</f>
        <v>18.91251245;111.2800516;19.2775534327274</v>
      </c>
      <c r="M935" s="6" t="n">
        <f aca="false">IF(COUNTIF($L$2:$L$2201,L935)&gt;1,1,0)</f>
        <v>0</v>
      </c>
      <c r="N935" s="6" t="str">
        <f aca="false">IF(AND(C935&lt;Assumptions!$B$9,B935&lt;Assumptions!$B$10),"Irrigate Now",IF(AND(C935&gt;=Assumptions!$B$11,B935&gt;=Assumptions!$B$12),"No Irrigation Needed","Monitor"))</f>
        <v>Monitor</v>
      </c>
      <c r="O935" s="6" t="n">
        <f aca="false">IF(N935=G935,1,0)</f>
        <v>1</v>
      </c>
    </row>
    <row r="936" customFormat="false" ht="15" hidden="false" customHeight="false" outlineLevel="0" collapsed="false">
      <c r="A936" s="16" t="n">
        <v>19.91330523</v>
      </c>
      <c r="B936" s="16" t="n">
        <v>104.0277061</v>
      </c>
      <c r="C936" s="16" t="n">
        <v>19.6057031283501</v>
      </c>
      <c r="D936" s="6" t="s">
        <v>66</v>
      </c>
      <c r="E936" s="6" t="s">
        <v>57</v>
      </c>
      <c r="F936" s="6" t="s">
        <v>60</v>
      </c>
      <c r="G936" s="6" t="s">
        <v>61</v>
      </c>
      <c r="H936" s="6" t="s">
        <v>63</v>
      </c>
      <c r="I936" s="6" t="str">
        <f aca="false">IF(A936&lt;Outliers!$E$6,"Low",IF(A936&gt;Outliers!$F$6,"High",""))</f>
        <v/>
      </c>
      <c r="J936" s="6" t="str">
        <f aca="false">IF(B936&lt;Outliers!$E$7,"Low",IF(B936&gt;Outliers!$F$7,"High",""))</f>
        <v/>
      </c>
      <c r="K936" s="6" t="str">
        <f aca="false">IF(C936&lt;Outliers!$E$8,"Low",IF(C936&gt;Outliers!$F$8,"High",""))</f>
        <v/>
      </c>
      <c r="L936" s="6" t="str">
        <f aca="false">A936&amp;";"&amp;B936&amp;";"&amp;C936</f>
        <v>19.91330523;104.0277061;19.6057031283501</v>
      </c>
      <c r="M936" s="6" t="n">
        <f aca="false">IF(COUNTIF($L$2:$L$2201,L936)&gt;1,1,0)</f>
        <v>0</v>
      </c>
      <c r="N936" s="6" t="str">
        <f aca="false">IF(AND(C936&lt;Assumptions!$B$9,B936&lt;Assumptions!$B$10),"Irrigate Now",IF(AND(C936&gt;=Assumptions!$B$11,B936&gt;=Assumptions!$B$12),"No Irrigation Needed","Monitor"))</f>
        <v>Monitor</v>
      </c>
      <c r="O936" s="6" t="n">
        <f aca="false">IF(N936=G936,1,0)</f>
        <v>1</v>
      </c>
    </row>
    <row r="937" customFormat="false" ht="15" hidden="false" customHeight="false" outlineLevel="0" collapsed="false">
      <c r="A937" s="16" t="n">
        <v>19.72620525</v>
      </c>
      <c r="B937" s="16" t="n">
        <v>108.2287276</v>
      </c>
      <c r="C937" s="16" t="n">
        <v>21.1380972643507</v>
      </c>
      <c r="D937" s="6" t="s">
        <v>66</v>
      </c>
      <c r="E937" s="6" t="s">
        <v>57</v>
      </c>
      <c r="F937" s="6" t="s">
        <v>60</v>
      </c>
      <c r="G937" s="6" t="s">
        <v>61</v>
      </c>
      <c r="H937" s="6" t="s">
        <v>63</v>
      </c>
      <c r="I937" s="6" t="str">
        <f aca="false">IF(A937&lt;Outliers!$E$6,"Low",IF(A937&gt;Outliers!$F$6,"High",""))</f>
        <v/>
      </c>
      <c r="J937" s="6" t="str">
        <f aca="false">IF(B937&lt;Outliers!$E$7,"Low",IF(B937&gt;Outliers!$F$7,"High",""))</f>
        <v/>
      </c>
      <c r="K937" s="6" t="str">
        <f aca="false">IF(C937&lt;Outliers!$E$8,"Low",IF(C937&gt;Outliers!$F$8,"High",""))</f>
        <v/>
      </c>
      <c r="L937" s="6" t="str">
        <f aca="false">A937&amp;";"&amp;B937&amp;";"&amp;C937</f>
        <v>19.72620525;108.2287276;21.1380972643507</v>
      </c>
      <c r="M937" s="6" t="n">
        <f aca="false">IF(COUNTIF($L$2:$L$2201,L937)&gt;1,1,0)</f>
        <v>0</v>
      </c>
      <c r="N937" s="6" t="str">
        <f aca="false">IF(AND(C937&lt;Assumptions!$B$9,B937&lt;Assumptions!$B$10),"Irrigate Now",IF(AND(C937&gt;=Assumptions!$B$11,B937&gt;=Assumptions!$B$12),"No Irrigation Needed","Monitor"))</f>
        <v>Monitor</v>
      </c>
      <c r="O937" s="6" t="n">
        <f aca="false">IF(N937=G937,1,0)</f>
        <v>1</v>
      </c>
    </row>
    <row r="938" customFormat="false" ht="15" hidden="false" customHeight="false" outlineLevel="0" collapsed="false">
      <c r="A938" s="16" t="n">
        <v>23.83185873</v>
      </c>
      <c r="B938" s="16" t="n">
        <v>111.2232716</v>
      </c>
      <c r="C938" s="16" t="n">
        <v>26.3920655232502</v>
      </c>
      <c r="D938" s="6" t="s">
        <v>57</v>
      </c>
      <c r="E938" s="6" t="s">
        <v>57</v>
      </c>
      <c r="F938" s="6" t="s">
        <v>23</v>
      </c>
      <c r="G938" s="6" t="s">
        <v>58</v>
      </c>
      <c r="H938" s="6" t="s">
        <v>59</v>
      </c>
      <c r="I938" s="6" t="str">
        <f aca="false">IF(A938&lt;Outliers!$E$6,"Low",IF(A938&gt;Outliers!$F$6,"High",""))</f>
        <v/>
      </c>
      <c r="J938" s="6" t="str">
        <f aca="false">IF(B938&lt;Outliers!$E$7,"Low",IF(B938&gt;Outliers!$F$7,"High",""))</f>
        <v/>
      </c>
      <c r="K938" s="6" t="str">
        <f aca="false">IF(C938&lt;Outliers!$E$8,"Low",IF(C938&gt;Outliers!$F$8,"High",""))</f>
        <v/>
      </c>
      <c r="L938" s="6" t="str">
        <f aca="false">A938&amp;";"&amp;B938&amp;";"&amp;C938</f>
        <v>23.83185873;111.2232716;26.3920655232502</v>
      </c>
      <c r="M938" s="6" t="n">
        <f aca="false">IF(COUNTIF($L$2:$L$2201,L938)&gt;1,1,0)</f>
        <v>0</v>
      </c>
      <c r="N938" s="6" t="str">
        <f aca="false">IF(AND(C938&lt;Assumptions!$B$9,B938&lt;Assumptions!$B$10),"Irrigate Now",IF(AND(C938&gt;=Assumptions!$B$11,B938&gt;=Assumptions!$B$12),"No Irrigation Needed","Monitor"))</f>
        <v>No Irrigation Needed</v>
      </c>
      <c r="O938" s="6" t="n">
        <f aca="false">IF(N938=G938,1,0)</f>
        <v>1</v>
      </c>
    </row>
    <row r="939" customFormat="false" ht="15" hidden="false" customHeight="false" outlineLevel="0" collapsed="false">
      <c r="A939" s="16" t="n">
        <v>24.94467632</v>
      </c>
      <c r="B939" s="16" t="n">
        <v>103.8799347</v>
      </c>
      <c r="C939" s="16" t="n">
        <v>12.6732663121381</v>
      </c>
      <c r="D939" s="6" t="s">
        <v>57</v>
      </c>
      <c r="E939" s="6" t="s">
        <v>57</v>
      </c>
      <c r="F939" s="6" t="s">
        <v>24</v>
      </c>
      <c r="G939" s="6" t="s">
        <v>61</v>
      </c>
      <c r="H939" s="6" t="s">
        <v>63</v>
      </c>
      <c r="I939" s="6" t="str">
        <f aca="false">IF(A939&lt;Outliers!$E$6,"Low",IF(A939&gt;Outliers!$F$6,"High",""))</f>
        <v/>
      </c>
      <c r="J939" s="6" t="str">
        <f aca="false">IF(B939&lt;Outliers!$E$7,"Low",IF(B939&gt;Outliers!$F$7,"High",""))</f>
        <v/>
      </c>
      <c r="K939" s="6" t="str">
        <f aca="false">IF(C939&lt;Outliers!$E$8,"Low",IF(C939&gt;Outliers!$F$8,"High",""))</f>
        <v/>
      </c>
      <c r="L939" s="6" t="str">
        <f aca="false">A939&amp;";"&amp;B939&amp;";"&amp;C939</f>
        <v>24.94467632;103.8799347;12.6732663121381</v>
      </c>
      <c r="M939" s="6" t="n">
        <f aca="false">IF(COUNTIF($L$2:$L$2201,L939)&gt;1,1,0)</f>
        <v>0</v>
      </c>
      <c r="N939" s="6" t="str">
        <f aca="false">IF(AND(C939&lt;Assumptions!$B$9,B939&lt;Assumptions!$B$10),"Irrigate Now",IF(AND(C939&gt;=Assumptions!$B$11,B939&gt;=Assumptions!$B$12),"No Irrigation Needed","Monitor"))</f>
        <v>Monitor</v>
      </c>
      <c r="O939" s="6" t="n">
        <f aca="false">IF(N939=G939,1,0)</f>
        <v>1</v>
      </c>
    </row>
    <row r="940" customFormat="false" ht="15" hidden="false" customHeight="false" outlineLevel="0" collapsed="false">
      <c r="A940" s="16" t="n">
        <v>24.692258</v>
      </c>
      <c r="B940" s="16" t="n">
        <v>104.6735454</v>
      </c>
      <c r="C940" s="16" t="n">
        <v>16.0046228112915</v>
      </c>
      <c r="D940" s="6" t="s">
        <v>57</v>
      </c>
      <c r="E940" s="6" t="s">
        <v>57</v>
      </c>
      <c r="F940" s="6" t="s">
        <v>24</v>
      </c>
      <c r="G940" s="6" t="s">
        <v>61</v>
      </c>
      <c r="H940" s="6" t="s">
        <v>63</v>
      </c>
      <c r="I940" s="6" t="str">
        <f aca="false">IF(A940&lt;Outliers!$E$6,"Low",IF(A940&gt;Outliers!$F$6,"High",""))</f>
        <v/>
      </c>
      <c r="J940" s="6" t="str">
        <f aca="false">IF(B940&lt;Outliers!$E$7,"Low",IF(B940&gt;Outliers!$F$7,"High",""))</f>
        <v/>
      </c>
      <c r="K940" s="6" t="str">
        <f aca="false">IF(C940&lt;Outliers!$E$8,"Low",IF(C940&gt;Outliers!$F$8,"High",""))</f>
        <v/>
      </c>
      <c r="L940" s="6" t="str">
        <f aca="false">A940&amp;";"&amp;B940&amp;";"&amp;C940</f>
        <v>24.692258;104.6735454;16.0046228112915</v>
      </c>
      <c r="M940" s="6" t="n">
        <f aca="false">IF(COUNTIF($L$2:$L$2201,L940)&gt;1,1,0)</f>
        <v>0</v>
      </c>
      <c r="N940" s="6" t="str">
        <f aca="false">IF(AND(C940&lt;Assumptions!$B$9,B940&lt;Assumptions!$B$10),"Irrigate Now",IF(AND(C940&gt;=Assumptions!$B$11,B940&gt;=Assumptions!$B$12),"No Irrigation Needed","Monitor"))</f>
        <v>Monitor</v>
      </c>
      <c r="O940" s="6" t="n">
        <f aca="false">IF(N940=G940,1,0)</f>
        <v>1</v>
      </c>
    </row>
    <row r="941" customFormat="false" ht="15" hidden="false" customHeight="false" outlineLevel="0" collapsed="false">
      <c r="A941" s="16" t="n">
        <v>24.72485577</v>
      </c>
      <c r="B941" s="16" t="n">
        <v>111.2787584</v>
      </c>
      <c r="C941" s="16" t="n">
        <v>27.3325402997954</v>
      </c>
      <c r="D941" s="6" t="s">
        <v>57</v>
      </c>
      <c r="E941" s="6" t="s">
        <v>57</v>
      </c>
      <c r="F941" s="6" t="s">
        <v>23</v>
      </c>
      <c r="G941" s="6" t="s">
        <v>58</v>
      </c>
      <c r="H941" s="6" t="s">
        <v>59</v>
      </c>
      <c r="I941" s="6" t="str">
        <f aca="false">IF(A941&lt;Outliers!$E$6,"Low",IF(A941&gt;Outliers!$F$6,"High",""))</f>
        <v/>
      </c>
      <c r="J941" s="6" t="str">
        <f aca="false">IF(B941&lt;Outliers!$E$7,"Low",IF(B941&gt;Outliers!$F$7,"High",""))</f>
        <v/>
      </c>
      <c r="K941" s="6" t="str">
        <f aca="false">IF(C941&lt;Outliers!$E$8,"Low",IF(C941&gt;Outliers!$F$8,"High",""))</f>
        <v/>
      </c>
      <c r="L941" s="6" t="str">
        <f aca="false">A941&amp;";"&amp;B941&amp;";"&amp;C941</f>
        <v>24.72485577;111.2787584;27.3325402997954</v>
      </c>
      <c r="M941" s="6" t="n">
        <f aca="false">IF(COUNTIF($L$2:$L$2201,L941)&gt;1,1,0)</f>
        <v>0</v>
      </c>
      <c r="N941" s="6" t="str">
        <f aca="false">IF(AND(C941&lt;Assumptions!$B$9,B941&lt;Assumptions!$B$10),"Irrigate Now",IF(AND(C941&gt;=Assumptions!$B$11,B941&gt;=Assumptions!$B$12),"No Irrigation Needed","Monitor"))</f>
        <v>No Irrigation Needed</v>
      </c>
      <c r="O941" s="6" t="n">
        <f aca="false">IF(N941=G941,1,0)</f>
        <v>1</v>
      </c>
    </row>
    <row r="942" customFormat="false" ht="15" hidden="false" customHeight="false" outlineLevel="0" collapsed="false">
      <c r="A942" s="16" t="n">
        <v>20.12644921</v>
      </c>
      <c r="B942" s="16" t="n">
        <v>108.065579</v>
      </c>
      <c r="C942" s="16" t="n">
        <v>11.1958468470111</v>
      </c>
      <c r="D942" s="6" t="s">
        <v>57</v>
      </c>
      <c r="E942" s="6" t="s">
        <v>57</v>
      </c>
      <c r="F942" s="6" t="s">
        <v>24</v>
      </c>
      <c r="G942" s="6" t="s">
        <v>61</v>
      </c>
      <c r="H942" s="6" t="s">
        <v>63</v>
      </c>
      <c r="I942" s="6" t="str">
        <f aca="false">IF(A942&lt;Outliers!$E$6,"Low",IF(A942&gt;Outliers!$F$6,"High",""))</f>
        <v/>
      </c>
      <c r="J942" s="6" t="str">
        <f aca="false">IF(B942&lt;Outliers!$E$7,"Low",IF(B942&gt;Outliers!$F$7,"High",""))</f>
        <v/>
      </c>
      <c r="K942" s="6" t="str">
        <f aca="false">IF(C942&lt;Outliers!$E$8,"Low",IF(C942&gt;Outliers!$F$8,"High",""))</f>
        <v/>
      </c>
      <c r="L942" s="6" t="str">
        <f aca="false">A942&amp;";"&amp;B942&amp;";"&amp;C942</f>
        <v>20.12644921;108.065579;11.1958468470111</v>
      </c>
      <c r="M942" s="6" t="n">
        <f aca="false">IF(COUNTIF($L$2:$L$2201,L942)&gt;1,1,0)</f>
        <v>0</v>
      </c>
      <c r="N942" s="6" t="str">
        <f aca="false">IF(AND(C942&lt;Assumptions!$B$9,B942&lt;Assumptions!$B$10),"Irrigate Now",IF(AND(C942&gt;=Assumptions!$B$11,B942&gt;=Assumptions!$B$12),"No Irrigation Needed","Monitor"))</f>
        <v>Monitor</v>
      </c>
      <c r="O942" s="6" t="n">
        <f aca="false">IF(N942=G942,1,0)</f>
        <v>1</v>
      </c>
    </row>
    <row r="943" customFormat="false" ht="15" hidden="false" customHeight="false" outlineLevel="0" collapsed="false">
      <c r="A943" s="16" t="n">
        <v>21.02432943</v>
      </c>
      <c r="B943" s="16" t="n">
        <v>104.7847006</v>
      </c>
      <c r="C943" s="16" t="n">
        <v>15.8170990847967</v>
      </c>
      <c r="D943" s="6" t="s">
        <v>57</v>
      </c>
      <c r="E943" s="6" t="s">
        <v>57</v>
      </c>
      <c r="F943" s="6" t="s">
        <v>24</v>
      </c>
      <c r="G943" s="6" t="s">
        <v>61</v>
      </c>
      <c r="H943" s="6" t="s">
        <v>63</v>
      </c>
      <c r="I943" s="6" t="str">
        <f aca="false">IF(A943&lt;Outliers!$E$6,"Low",IF(A943&gt;Outliers!$F$6,"High",""))</f>
        <v/>
      </c>
      <c r="J943" s="6" t="str">
        <f aca="false">IF(B943&lt;Outliers!$E$7,"Low",IF(B943&gt;Outliers!$F$7,"High",""))</f>
        <v/>
      </c>
      <c r="K943" s="6" t="str">
        <f aca="false">IF(C943&lt;Outliers!$E$8,"Low",IF(C943&gt;Outliers!$F$8,"High",""))</f>
        <v/>
      </c>
      <c r="L943" s="6" t="str">
        <f aca="false">A943&amp;";"&amp;B943&amp;";"&amp;C943</f>
        <v>21.02432943;104.7847006;15.8170990847967</v>
      </c>
      <c r="M943" s="6" t="n">
        <f aca="false">IF(COUNTIF($L$2:$L$2201,L943)&gt;1,1,0)</f>
        <v>0</v>
      </c>
      <c r="N943" s="6" t="str">
        <f aca="false">IF(AND(C943&lt;Assumptions!$B$9,B943&lt;Assumptions!$B$10),"Irrigate Now",IF(AND(C943&gt;=Assumptions!$B$11,B943&gt;=Assumptions!$B$12),"No Irrigation Needed","Monitor"))</f>
        <v>Monitor</v>
      </c>
      <c r="O943" s="6" t="n">
        <f aca="false">IF(N943=G943,1,0)</f>
        <v>1</v>
      </c>
    </row>
    <row r="944" customFormat="false" ht="15" hidden="false" customHeight="false" outlineLevel="0" collapsed="false">
      <c r="A944" s="16" t="n">
        <v>22.40423537</v>
      </c>
      <c r="B944" s="16" t="n">
        <v>109.8695196</v>
      </c>
      <c r="C944" s="16" t="n">
        <v>12.8879127217322</v>
      </c>
      <c r="D944" s="6" t="s">
        <v>57</v>
      </c>
      <c r="E944" s="6" t="s">
        <v>57</v>
      </c>
      <c r="F944" s="6" t="s">
        <v>24</v>
      </c>
      <c r="G944" s="6" t="s">
        <v>61</v>
      </c>
      <c r="H944" s="6" t="s">
        <v>63</v>
      </c>
      <c r="I944" s="6" t="str">
        <f aca="false">IF(A944&lt;Outliers!$E$6,"Low",IF(A944&gt;Outliers!$F$6,"High",""))</f>
        <v/>
      </c>
      <c r="J944" s="6" t="str">
        <f aca="false">IF(B944&lt;Outliers!$E$7,"Low",IF(B944&gt;Outliers!$F$7,"High",""))</f>
        <v/>
      </c>
      <c r="K944" s="6" t="str">
        <f aca="false">IF(C944&lt;Outliers!$E$8,"Low",IF(C944&gt;Outliers!$F$8,"High",""))</f>
        <v/>
      </c>
      <c r="L944" s="6" t="str">
        <f aca="false">A944&amp;";"&amp;B944&amp;";"&amp;C944</f>
        <v>22.40423537;109.8695196;12.8879127217322</v>
      </c>
      <c r="M944" s="6" t="n">
        <f aca="false">IF(COUNTIF($L$2:$L$2201,L944)&gt;1,1,0)</f>
        <v>0</v>
      </c>
      <c r="N944" s="6" t="str">
        <f aca="false">IF(AND(C944&lt;Assumptions!$B$9,B944&lt;Assumptions!$B$10),"Irrigate Now",IF(AND(C944&gt;=Assumptions!$B$11,B944&gt;=Assumptions!$B$12),"No Irrigation Needed","Monitor"))</f>
        <v>Monitor</v>
      </c>
      <c r="O944" s="6" t="n">
        <f aca="false">IF(N944=G944,1,0)</f>
        <v>1</v>
      </c>
    </row>
    <row r="945" customFormat="false" ht="15" hidden="false" customHeight="false" outlineLevel="0" collapsed="false">
      <c r="A945" s="16" t="n">
        <v>20.33691147</v>
      </c>
      <c r="B945" s="16" t="n">
        <v>110.9653137</v>
      </c>
      <c r="C945" s="16" t="n">
        <v>21.0257358746208</v>
      </c>
      <c r="D945" s="6" t="s">
        <v>57</v>
      </c>
      <c r="E945" s="6" t="s">
        <v>57</v>
      </c>
      <c r="F945" s="6" t="s">
        <v>60</v>
      </c>
      <c r="G945" s="6" t="s">
        <v>61</v>
      </c>
      <c r="H945" s="6" t="s">
        <v>63</v>
      </c>
      <c r="I945" s="6" t="str">
        <f aca="false">IF(A945&lt;Outliers!$E$6,"Low",IF(A945&gt;Outliers!$F$6,"High",""))</f>
        <v/>
      </c>
      <c r="J945" s="6" t="str">
        <f aca="false">IF(B945&lt;Outliers!$E$7,"Low",IF(B945&gt;Outliers!$F$7,"High",""))</f>
        <v/>
      </c>
      <c r="K945" s="6" t="str">
        <f aca="false">IF(C945&lt;Outliers!$E$8,"Low",IF(C945&gt;Outliers!$F$8,"High",""))</f>
        <v/>
      </c>
      <c r="L945" s="6" t="str">
        <f aca="false">A945&amp;";"&amp;B945&amp;";"&amp;C945</f>
        <v>20.33691147;110.9653137;21.0257358746208</v>
      </c>
      <c r="M945" s="6" t="n">
        <f aca="false">IF(COUNTIF($L$2:$L$2201,L945)&gt;1,1,0)</f>
        <v>0</v>
      </c>
      <c r="N945" s="6" t="str">
        <f aca="false">IF(AND(C945&lt;Assumptions!$B$9,B945&lt;Assumptions!$B$10),"Irrigate Now",IF(AND(C945&gt;=Assumptions!$B$11,B945&gt;=Assumptions!$B$12),"No Irrigation Needed","Monitor"))</f>
        <v>Monitor</v>
      </c>
      <c r="O945" s="6" t="n">
        <f aca="false">IF(N945=G945,1,0)</f>
        <v>1</v>
      </c>
    </row>
    <row r="946" customFormat="false" ht="15" hidden="false" customHeight="false" outlineLevel="0" collapsed="false">
      <c r="A946" s="16" t="n">
        <v>24.24779615</v>
      </c>
      <c r="B946" s="16" t="n">
        <v>106.9216033</v>
      </c>
      <c r="C946" s="16" t="n">
        <v>19.6570587860535</v>
      </c>
      <c r="D946" s="6" t="s">
        <v>57</v>
      </c>
      <c r="E946" s="6" t="s">
        <v>57</v>
      </c>
      <c r="F946" s="6" t="s">
        <v>60</v>
      </c>
      <c r="G946" s="6" t="s">
        <v>61</v>
      </c>
      <c r="H946" s="6" t="s">
        <v>63</v>
      </c>
      <c r="I946" s="6" t="str">
        <f aca="false">IF(A946&lt;Outliers!$E$6,"Low",IF(A946&gt;Outliers!$F$6,"High",""))</f>
        <v/>
      </c>
      <c r="J946" s="6" t="str">
        <f aca="false">IF(B946&lt;Outliers!$E$7,"Low",IF(B946&gt;Outliers!$F$7,"High",""))</f>
        <v/>
      </c>
      <c r="K946" s="6" t="str">
        <f aca="false">IF(C946&lt;Outliers!$E$8,"Low",IF(C946&gt;Outliers!$F$8,"High",""))</f>
        <v/>
      </c>
      <c r="L946" s="6" t="str">
        <f aca="false">A946&amp;";"&amp;B946&amp;";"&amp;C946</f>
        <v>24.24779615;106.9216033;19.6570587860535</v>
      </c>
      <c r="M946" s="6" t="n">
        <f aca="false">IF(COUNTIF($L$2:$L$2201,L946)&gt;1,1,0)</f>
        <v>0</v>
      </c>
      <c r="N946" s="6" t="str">
        <f aca="false">IF(AND(C946&lt;Assumptions!$B$9,B946&lt;Assumptions!$B$10),"Irrigate Now",IF(AND(C946&gt;=Assumptions!$B$11,B946&gt;=Assumptions!$B$12),"No Irrigation Needed","Monitor"))</f>
        <v>Monitor</v>
      </c>
      <c r="O946" s="6" t="n">
        <f aca="false">IF(N946=G946,1,0)</f>
        <v>1</v>
      </c>
    </row>
    <row r="947" customFormat="false" ht="15" hidden="false" customHeight="false" outlineLevel="0" collapsed="false">
      <c r="A947" s="16" t="n">
        <v>24.81530144</v>
      </c>
      <c r="B947" s="16" t="n">
        <v>109.2853418</v>
      </c>
      <c r="C947" s="16" t="n">
        <v>22.0603615266894</v>
      </c>
      <c r="D947" s="6" t="s">
        <v>57</v>
      </c>
      <c r="E947" s="6" t="s">
        <v>57</v>
      </c>
      <c r="F947" s="6" t="s">
        <v>60</v>
      </c>
      <c r="G947" s="6" t="s">
        <v>61</v>
      </c>
      <c r="H947" s="6" t="s">
        <v>63</v>
      </c>
      <c r="I947" s="6" t="str">
        <f aca="false">IF(A947&lt;Outliers!$E$6,"Low",IF(A947&gt;Outliers!$F$6,"High",""))</f>
        <v/>
      </c>
      <c r="J947" s="6" t="str">
        <f aca="false">IF(B947&lt;Outliers!$E$7,"Low",IF(B947&gt;Outliers!$F$7,"High",""))</f>
        <v/>
      </c>
      <c r="K947" s="6" t="str">
        <f aca="false">IF(C947&lt;Outliers!$E$8,"Low",IF(C947&gt;Outliers!$F$8,"High",""))</f>
        <v/>
      </c>
      <c r="L947" s="6" t="str">
        <f aca="false">A947&amp;";"&amp;B947&amp;";"&amp;C947</f>
        <v>24.81530144;109.2853418;22.0603615266894</v>
      </c>
      <c r="M947" s="6" t="n">
        <f aca="false">IF(COUNTIF($L$2:$L$2201,L947)&gt;1,1,0)</f>
        <v>0</v>
      </c>
      <c r="N947" s="6" t="str">
        <f aca="false">IF(AND(C947&lt;Assumptions!$B$9,B947&lt;Assumptions!$B$10),"Irrigate Now",IF(AND(C947&gt;=Assumptions!$B$11,B947&gt;=Assumptions!$B$12),"No Irrigation Needed","Monitor"))</f>
        <v>Monitor</v>
      </c>
      <c r="O947" s="6" t="n">
        <f aca="false">IF(N947=G947,1,0)</f>
        <v>1</v>
      </c>
    </row>
    <row r="948" customFormat="false" ht="15" hidden="false" customHeight="false" outlineLevel="0" collapsed="false">
      <c r="A948" s="16" t="n">
        <v>19.66329768</v>
      </c>
      <c r="B948" s="16" t="n">
        <v>106.0380805</v>
      </c>
      <c r="C948" s="16" t="n">
        <v>29.1976335245046</v>
      </c>
      <c r="D948" s="6" t="s">
        <v>66</v>
      </c>
      <c r="E948" s="6" t="s">
        <v>57</v>
      </c>
      <c r="F948" s="6" t="s">
        <v>23</v>
      </c>
      <c r="G948" s="6" t="s">
        <v>58</v>
      </c>
      <c r="H948" s="6" t="s">
        <v>59</v>
      </c>
      <c r="I948" s="6" t="str">
        <f aca="false">IF(A948&lt;Outliers!$E$6,"Low",IF(A948&gt;Outliers!$F$6,"High",""))</f>
        <v/>
      </c>
      <c r="J948" s="6" t="str">
        <f aca="false">IF(B948&lt;Outliers!$E$7,"Low",IF(B948&gt;Outliers!$F$7,"High",""))</f>
        <v/>
      </c>
      <c r="K948" s="6" t="str">
        <f aca="false">IF(C948&lt;Outliers!$E$8,"Low",IF(C948&gt;Outliers!$F$8,"High",""))</f>
        <v/>
      </c>
      <c r="L948" s="6" t="str">
        <f aca="false">A948&amp;";"&amp;B948&amp;";"&amp;C948</f>
        <v>19.66329768;106.0380805;29.1976335245046</v>
      </c>
      <c r="M948" s="6" t="n">
        <f aca="false">IF(COUNTIF($L$2:$L$2201,L948)&gt;1,1,0)</f>
        <v>0</v>
      </c>
      <c r="N948" s="6" t="str">
        <f aca="false">IF(AND(C948&lt;Assumptions!$B$9,B948&lt;Assumptions!$B$10),"Irrigate Now",IF(AND(C948&gt;=Assumptions!$B$11,B948&gt;=Assumptions!$B$12),"No Irrigation Needed","Monitor"))</f>
        <v>No Irrigation Needed</v>
      </c>
      <c r="O948" s="6" t="n">
        <f aca="false">IF(N948=G948,1,0)</f>
        <v>1</v>
      </c>
    </row>
    <row r="949" customFormat="false" ht="15" hidden="false" customHeight="false" outlineLevel="0" collapsed="false">
      <c r="A949" s="16" t="n">
        <v>22.43377991</v>
      </c>
      <c r="B949" s="16" t="n">
        <v>112.459697</v>
      </c>
      <c r="C949" s="16" t="n">
        <v>16.1548356524182</v>
      </c>
      <c r="D949" s="6" t="s">
        <v>57</v>
      </c>
      <c r="E949" s="6" t="s">
        <v>57</v>
      </c>
      <c r="F949" s="6" t="s">
        <v>24</v>
      </c>
      <c r="G949" s="6" t="s">
        <v>61</v>
      </c>
      <c r="H949" s="6" t="s">
        <v>63</v>
      </c>
      <c r="I949" s="6" t="str">
        <f aca="false">IF(A949&lt;Outliers!$E$6,"Low",IF(A949&gt;Outliers!$F$6,"High",""))</f>
        <v/>
      </c>
      <c r="J949" s="6" t="str">
        <f aca="false">IF(B949&lt;Outliers!$E$7,"Low",IF(B949&gt;Outliers!$F$7,"High",""))</f>
        <v/>
      </c>
      <c r="K949" s="6" t="str">
        <f aca="false">IF(C949&lt;Outliers!$E$8,"Low",IF(C949&gt;Outliers!$F$8,"High",""))</f>
        <v/>
      </c>
      <c r="L949" s="6" t="str">
        <f aca="false">A949&amp;";"&amp;B949&amp;";"&amp;C949</f>
        <v>22.43377991;112.459697;16.1548356524182</v>
      </c>
      <c r="M949" s="6" t="n">
        <f aca="false">IF(COUNTIF($L$2:$L$2201,L949)&gt;1,1,0)</f>
        <v>0</v>
      </c>
      <c r="N949" s="6" t="str">
        <f aca="false">IF(AND(C949&lt;Assumptions!$B$9,B949&lt;Assumptions!$B$10),"Irrigate Now",IF(AND(C949&gt;=Assumptions!$B$11,B949&gt;=Assumptions!$B$12),"No Irrigation Needed","Monitor"))</f>
        <v>Monitor</v>
      </c>
      <c r="O949" s="6" t="n">
        <f aca="false">IF(N949=G949,1,0)</f>
        <v>1</v>
      </c>
    </row>
    <row r="950" customFormat="false" ht="15" hidden="false" customHeight="false" outlineLevel="0" collapsed="false">
      <c r="A950" s="16" t="n">
        <v>22.92052307</v>
      </c>
      <c r="B950" s="16" t="n">
        <v>110.2437841</v>
      </c>
      <c r="C950" s="16" t="n">
        <v>19.365114247135</v>
      </c>
      <c r="D950" s="6" t="s">
        <v>57</v>
      </c>
      <c r="E950" s="6" t="s">
        <v>57</v>
      </c>
      <c r="F950" s="6" t="s">
        <v>60</v>
      </c>
      <c r="G950" s="6" t="s">
        <v>61</v>
      </c>
      <c r="H950" s="6" t="s">
        <v>63</v>
      </c>
      <c r="I950" s="6" t="str">
        <f aca="false">IF(A950&lt;Outliers!$E$6,"Low",IF(A950&gt;Outliers!$F$6,"High",""))</f>
        <v/>
      </c>
      <c r="J950" s="6" t="str">
        <f aca="false">IF(B950&lt;Outliers!$E$7,"Low",IF(B950&gt;Outliers!$F$7,"High",""))</f>
        <v/>
      </c>
      <c r="K950" s="6" t="str">
        <f aca="false">IF(C950&lt;Outliers!$E$8,"Low",IF(C950&gt;Outliers!$F$8,"High",""))</f>
        <v/>
      </c>
      <c r="L950" s="6" t="str">
        <f aca="false">A950&amp;";"&amp;B950&amp;";"&amp;C950</f>
        <v>22.92052307;110.2437841;19.365114247135</v>
      </c>
      <c r="M950" s="6" t="n">
        <f aca="false">IF(COUNTIF($L$2:$L$2201,L950)&gt;1,1,0)</f>
        <v>0</v>
      </c>
      <c r="N950" s="6" t="str">
        <f aca="false">IF(AND(C950&lt;Assumptions!$B$9,B950&lt;Assumptions!$B$10),"Irrigate Now",IF(AND(C950&gt;=Assumptions!$B$11,B950&gt;=Assumptions!$B$12),"No Irrigation Needed","Monitor"))</f>
        <v>Monitor</v>
      </c>
      <c r="O950" s="6" t="n">
        <f aca="false">IF(N950=G950,1,0)</f>
        <v>1</v>
      </c>
    </row>
    <row r="951" customFormat="false" ht="15" hidden="false" customHeight="false" outlineLevel="0" collapsed="false">
      <c r="A951" s="16" t="n">
        <v>22.91843172</v>
      </c>
      <c r="B951" s="16" t="n">
        <v>106.2817706</v>
      </c>
      <c r="C951" s="16" t="n">
        <v>29.6140708019986</v>
      </c>
      <c r="D951" s="6" t="s">
        <v>57</v>
      </c>
      <c r="E951" s="6" t="s">
        <v>57</v>
      </c>
      <c r="F951" s="6" t="s">
        <v>23</v>
      </c>
      <c r="G951" s="6" t="s">
        <v>58</v>
      </c>
      <c r="H951" s="6" t="s">
        <v>59</v>
      </c>
      <c r="I951" s="6" t="str">
        <f aca="false">IF(A951&lt;Outliers!$E$6,"Low",IF(A951&gt;Outliers!$F$6,"High",""))</f>
        <v/>
      </c>
      <c r="J951" s="6" t="str">
        <f aca="false">IF(B951&lt;Outliers!$E$7,"Low",IF(B951&gt;Outliers!$F$7,"High",""))</f>
        <v/>
      </c>
      <c r="K951" s="6" t="str">
        <f aca="false">IF(C951&lt;Outliers!$E$8,"Low",IF(C951&gt;Outliers!$F$8,"High",""))</f>
        <v/>
      </c>
      <c r="L951" s="6" t="str">
        <f aca="false">A951&amp;";"&amp;B951&amp;";"&amp;C951</f>
        <v>22.91843172;106.2817706;29.6140708019986</v>
      </c>
      <c r="M951" s="6" t="n">
        <f aca="false">IF(COUNTIF($L$2:$L$2201,L951)&gt;1,1,0)</f>
        <v>0</v>
      </c>
      <c r="N951" s="6" t="str">
        <f aca="false">IF(AND(C951&lt;Assumptions!$B$9,B951&lt;Assumptions!$B$10),"Irrigate Now",IF(AND(C951&gt;=Assumptions!$B$11,B951&gt;=Assumptions!$B$12),"No Irrigation Needed","Monitor"))</f>
        <v>No Irrigation Needed</v>
      </c>
      <c r="O951" s="6" t="n">
        <f aca="false">IF(N951=G951,1,0)</f>
        <v>1</v>
      </c>
    </row>
    <row r="952" customFormat="false" ht="15" hidden="false" customHeight="false" outlineLevel="0" collapsed="false">
      <c r="A952" s="16" t="n">
        <v>24.88244467</v>
      </c>
      <c r="B952" s="16" t="n">
        <v>107.1951707</v>
      </c>
      <c r="C952" s="16" t="n">
        <v>20.9766181380307</v>
      </c>
      <c r="D952" s="6" t="s">
        <v>57</v>
      </c>
      <c r="E952" s="6" t="s">
        <v>57</v>
      </c>
      <c r="F952" s="6" t="s">
        <v>60</v>
      </c>
      <c r="G952" s="6" t="s">
        <v>61</v>
      </c>
      <c r="H952" s="6" t="s">
        <v>63</v>
      </c>
      <c r="I952" s="6" t="str">
        <f aca="false">IF(A952&lt;Outliers!$E$6,"Low",IF(A952&gt;Outliers!$F$6,"High",""))</f>
        <v/>
      </c>
      <c r="J952" s="6" t="str">
        <f aca="false">IF(B952&lt;Outliers!$E$7,"Low",IF(B952&gt;Outliers!$F$7,"High",""))</f>
        <v/>
      </c>
      <c r="K952" s="6" t="str">
        <f aca="false">IF(C952&lt;Outliers!$E$8,"Low",IF(C952&gt;Outliers!$F$8,"High",""))</f>
        <v/>
      </c>
      <c r="L952" s="6" t="str">
        <f aca="false">A952&amp;";"&amp;B952&amp;";"&amp;C952</f>
        <v>24.88244467;107.1951707;20.9766181380307</v>
      </c>
      <c r="M952" s="6" t="n">
        <f aca="false">IF(COUNTIF($L$2:$L$2201,L952)&gt;1,1,0)</f>
        <v>0</v>
      </c>
      <c r="N952" s="6" t="str">
        <f aca="false">IF(AND(C952&lt;Assumptions!$B$9,B952&lt;Assumptions!$B$10),"Irrigate Now",IF(AND(C952&gt;=Assumptions!$B$11,B952&gt;=Assumptions!$B$12),"No Irrigation Needed","Monitor"))</f>
        <v>Monitor</v>
      </c>
      <c r="O952" s="6" t="n">
        <f aca="false">IF(N952=G952,1,0)</f>
        <v>1</v>
      </c>
    </row>
    <row r="953" customFormat="false" ht="15" hidden="false" customHeight="false" outlineLevel="0" collapsed="false">
      <c r="A953" s="16" t="n">
        <v>23.40981539</v>
      </c>
      <c r="B953" s="16" t="n">
        <v>105.2240743</v>
      </c>
      <c r="C953" s="16" t="n">
        <v>15.9491300188166</v>
      </c>
      <c r="D953" s="6" t="s">
        <v>57</v>
      </c>
      <c r="E953" s="6" t="s">
        <v>57</v>
      </c>
      <c r="F953" s="6" t="s">
        <v>24</v>
      </c>
      <c r="G953" s="6" t="s">
        <v>61</v>
      </c>
      <c r="H953" s="6" t="s">
        <v>63</v>
      </c>
      <c r="I953" s="6" t="str">
        <f aca="false">IF(A953&lt;Outliers!$E$6,"Low",IF(A953&gt;Outliers!$F$6,"High",""))</f>
        <v/>
      </c>
      <c r="J953" s="6" t="str">
        <f aca="false">IF(B953&lt;Outliers!$E$7,"Low",IF(B953&gt;Outliers!$F$7,"High",""))</f>
        <v/>
      </c>
      <c r="K953" s="6" t="str">
        <f aca="false">IF(C953&lt;Outliers!$E$8,"Low",IF(C953&gt;Outliers!$F$8,"High",""))</f>
        <v/>
      </c>
      <c r="L953" s="6" t="str">
        <f aca="false">A953&amp;";"&amp;B953&amp;";"&amp;C953</f>
        <v>23.40981539;105.2240743;15.9491300188166</v>
      </c>
      <c r="M953" s="6" t="n">
        <f aca="false">IF(COUNTIF($L$2:$L$2201,L953)&gt;1,1,0)</f>
        <v>0</v>
      </c>
      <c r="N953" s="6" t="str">
        <f aca="false">IF(AND(C953&lt;Assumptions!$B$9,B953&lt;Assumptions!$B$10),"Irrigate Now",IF(AND(C953&gt;=Assumptions!$B$11,B953&gt;=Assumptions!$B$12),"No Irrigation Needed","Monitor"))</f>
        <v>Monitor</v>
      </c>
      <c r="O953" s="6" t="n">
        <f aca="false">IF(N953=G953,1,0)</f>
        <v>1</v>
      </c>
    </row>
    <row r="954" customFormat="false" ht="15" hidden="false" customHeight="false" outlineLevel="0" collapsed="false">
      <c r="A954" s="16" t="n">
        <v>21.20725375</v>
      </c>
      <c r="B954" s="16" t="n">
        <v>107.5660804</v>
      </c>
      <c r="C954" s="16" t="n">
        <v>28.910970975884</v>
      </c>
      <c r="D954" s="6" t="s">
        <v>57</v>
      </c>
      <c r="E954" s="6" t="s">
        <v>57</v>
      </c>
      <c r="F954" s="6" t="s">
        <v>23</v>
      </c>
      <c r="G954" s="6" t="s">
        <v>58</v>
      </c>
      <c r="H954" s="6" t="s">
        <v>59</v>
      </c>
      <c r="I954" s="6" t="str">
        <f aca="false">IF(A954&lt;Outliers!$E$6,"Low",IF(A954&gt;Outliers!$F$6,"High",""))</f>
        <v/>
      </c>
      <c r="J954" s="6" t="str">
        <f aca="false">IF(B954&lt;Outliers!$E$7,"Low",IF(B954&gt;Outliers!$F$7,"High",""))</f>
        <v/>
      </c>
      <c r="K954" s="6" t="str">
        <f aca="false">IF(C954&lt;Outliers!$E$8,"Low",IF(C954&gt;Outliers!$F$8,"High",""))</f>
        <v/>
      </c>
      <c r="L954" s="6" t="str">
        <f aca="false">A954&amp;";"&amp;B954&amp;";"&amp;C954</f>
        <v>21.20725375;107.5660804;28.910970975884</v>
      </c>
      <c r="M954" s="6" t="n">
        <f aca="false">IF(COUNTIF($L$2:$L$2201,L954)&gt;1,1,0)</f>
        <v>0</v>
      </c>
      <c r="N954" s="6" t="str">
        <f aca="false">IF(AND(C954&lt;Assumptions!$B$9,B954&lt;Assumptions!$B$10),"Irrigate Now",IF(AND(C954&gt;=Assumptions!$B$11,B954&gt;=Assumptions!$B$12),"No Irrigation Needed","Monitor"))</f>
        <v>No Irrigation Needed</v>
      </c>
      <c r="O954" s="6" t="n">
        <f aca="false">IF(N954=G954,1,0)</f>
        <v>1</v>
      </c>
    </row>
    <row r="955" customFormat="false" ht="15" hidden="false" customHeight="false" outlineLevel="0" collapsed="false">
      <c r="A955" s="16" t="n">
        <v>18.20230419</v>
      </c>
      <c r="B955" s="16" t="n">
        <v>109.6623974</v>
      </c>
      <c r="C955" s="16" t="n">
        <v>28.2401492035967</v>
      </c>
      <c r="D955" s="6" t="s">
        <v>66</v>
      </c>
      <c r="E955" s="6" t="s">
        <v>57</v>
      </c>
      <c r="F955" s="6" t="s">
        <v>23</v>
      </c>
      <c r="G955" s="6" t="s">
        <v>58</v>
      </c>
      <c r="H955" s="6" t="s">
        <v>59</v>
      </c>
      <c r="I955" s="6" t="str">
        <f aca="false">IF(A955&lt;Outliers!$E$6,"Low",IF(A955&gt;Outliers!$F$6,"High",""))</f>
        <v/>
      </c>
      <c r="J955" s="6" t="str">
        <f aca="false">IF(B955&lt;Outliers!$E$7,"Low",IF(B955&gt;Outliers!$F$7,"High",""))</f>
        <v/>
      </c>
      <c r="K955" s="6" t="str">
        <f aca="false">IF(C955&lt;Outliers!$E$8,"Low",IF(C955&gt;Outliers!$F$8,"High",""))</f>
        <v/>
      </c>
      <c r="L955" s="6" t="str">
        <f aca="false">A955&amp;";"&amp;B955&amp;";"&amp;C955</f>
        <v>18.20230419;109.6623974;28.2401492035967</v>
      </c>
      <c r="M955" s="6" t="n">
        <f aca="false">IF(COUNTIF($L$2:$L$2201,L955)&gt;1,1,0)</f>
        <v>0</v>
      </c>
      <c r="N955" s="6" t="str">
        <f aca="false">IF(AND(C955&lt;Assumptions!$B$9,B955&lt;Assumptions!$B$10),"Irrigate Now",IF(AND(C955&gt;=Assumptions!$B$11,B955&gt;=Assumptions!$B$12),"No Irrigation Needed","Monitor"))</f>
        <v>No Irrigation Needed</v>
      </c>
      <c r="O955" s="6" t="n">
        <f aca="false">IF(N955=G955,1,0)</f>
        <v>1</v>
      </c>
    </row>
    <row r="956" customFormat="false" ht="15" hidden="false" customHeight="false" outlineLevel="0" collapsed="false">
      <c r="A956" s="16" t="n">
        <v>22.34375696</v>
      </c>
      <c r="B956" s="16" t="n">
        <v>103.3183074</v>
      </c>
      <c r="C956" s="16" t="n">
        <v>11.4423366849118</v>
      </c>
      <c r="D956" s="6" t="s">
        <v>57</v>
      </c>
      <c r="E956" s="6" t="s">
        <v>57</v>
      </c>
      <c r="F956" s="6" t="s">
        <v>24</v>
      </c>
      <c r="G956" s="6" t="s">
        <v>61</v>
      </c>
      <c r="H956" s="6" t="s">
        <v>63</v>
      </c>
      <c r="I956" s="6" t="str">
        <f aca="false">IF(A956&lt;Outliers!$E$6,"Low",IF(A956&gt;Outliers!$F$6,"High",""))</f>
        <v/>
      </c>
      <c r="J956" s="6" t="str">
        <f aca="false">IF(B956&lt;Outliers!$E$7,"Low",IF(B956&gt;Outliers!$F$7,"High",""))</f>
        <v/>
      </c>
      <c r="K956" s="6" t="str">
        <f aca="false">IF(C956&lt;Outliers!$E$8,"Low",IF(C956&gt;Outliers!$F$8,"High",""))</f>
        <v/>
      </c>
      <c r="L956" s="6" t="str">
        <f aca="false">A956&amp;";"&amp;B956&amp;";"&amp;C956</f>
        <v>22.34375696;103.3183074;11.4423366849118</v>
      </c>
      <c r="M956" s="6" t="n">
        <f aca="false">IF(COUNTIF($L$2:$L$2201,L956)&gt;1,1,0)</f>
        <v>0</v>
      </c>
      <c r="N956" s="6" t="str">
        <f aca="false">IF(AND(C956&lt;Assumptions!$B$9,B956&lt;Assumptions!$B$10),"Irrigate Now",IF(AND(C956&gt;=Assumptions!$B$11,B956&gt;=Assumptions!$B$12),"No Irrigation Needed","Monitor"))</f>
        <v>Monitor</v>
      </c>
      <c r="O956" s="6" t="n">
        <f aca="false">IF(N956=G956,1,0)</f>
        <v>1</v>
      </c>
    </row>
    <row r="957" customFormat="false" ht="15" hidden="false" customHeight="false" outlineLevel="0" collapsed="false">
      <c r="A957" s="16" t="n">
        <v>24.32770134</v>
      </c>
      <c r="B957" s="16" t="n">
        <v>110.4606459</v>
      </c>
      <c r="C957" s="16" t="n">
        <v>20.3757396810263</v>
      </c>
      <c r="D957" s="6" t="s">
        <v>57</v>
      </c>
      <c r="E957" s="6" t="s">
        <v>57</v>
      </c>
      <c r="F957" s="6" t="s">
        <v>60</v>
      </c>
      <c r="G957" s="6" t="s">
        <v>61</v>
      </c>
      <c r="H957" s="6" t="s">
        <v>63</v>
      </c>
      <c r="I957" s="6" t="str">
        <f aca="false">IF(A957&lt;Outliers!$E$6,"Low",IF(A957&gt;Outliers!$F$6,"High",""))</f>
        <v/>
      </c>
      <c r="J957" s="6" t="str">
        <f aca="false">IF(B957&lt;Outliers!$E$7,"Low",IF(B957&gt;Outliers!$F$7,"High",""))</f>
        <v/>
      </c>
      <c r="K957" s="6" t="str">
        <f aca="false">IF(C957&lt;Outliers!$E$8,"Low",IF(C957&gt;Outliers!$F$8,"High",""))</f>
        <v/>
      </c>
      <c r="L957" s="6" t="str">
        <f aca="false">A957&amp;";"&amp;B957&amp;";"&amp;C957</f>
        <v>24.32770134;110.4606459;20.3757396810263</v>
      </c>
      <c r="M957" s="6" t="n">
        <f aca="false">IF(COUNTIF($L$2:$L$2201,L957)&gt;1,1,0)</f>
        <v>0</v>
      </c>
      <c r="N957" s="6" t="str">
        <f aca="false">IF(AND(C957&lt;Assumptions!$B$9,B957&lt;Assumptions!$B$10),"Irrigate Now",IF(AND(C957&gt;=Assumptions!$B$11,B957&gt;=Assumptions!$B$12),"No Irrigation Needed","Monitor"))</f>
        <v>Monitor</v>
      </c>
      <c r="O957" s="6" t="n">
        <f aca="false">IF(N957=G957,1,0)</f>
        <v>1</v>
      </c>
    </row>
    <row r="958" customFormat="false" ht="15" hidden="false" customHeight="false" outlineLevel="0" collapsed="false">
      <c r="A958" s="16" t="n">
        <v>19.75088482</v>
      </c>
      <c r="B958" s="16" t="n">
        <v>102.5538035</v>
      </c>
      <c r="C958" s="16" t="n">
        <v>18.8430796707423</v>
      </c>
      <c r="D958" s="6" t="s">
        <v>66</v>
      </c>
      <c r="E958" s="6" t="s">
        <v>57</v>
      </c>
      <c r="F958" s="6" t="s">
        <v>60</v>
      </c>
      <c r="G958" s="6" t="s">
        <v>61</v>
      </c>
      <c r="H958" s="6" t="s">
        <v>63</v>
      </c>
      <c r="I958" s="6" t="str">
        <f aca="false">IF(A958&lt;Outliers!$E$6,"Low",IF(A958&gt;Outliers!$F$6,"High",""))</f>
        <v/>
      </c>
      <c r="J958" s="6" t="str">
        <f aca="false">IF(B958&lt;Outliers!$E$7,"Low",IF(B958&gt;Outliers!$F$7,"High",""))</f>
        <v/>
      </c>
      <c r="K958" s="6" t="str">
        <f aca="false">IF(C958&lt;Outliers!$E$8,"Low",IF(C958&gt;Outliers!$F$8,"High",""))</f>
        <v/>
      </c>
      <c r="L958" s="6" t="str">
        <f aca="false">A958&amp;";"&amp;B958&amp;";"&amp;C958</f>
        <v>19.75088482;102.5538035;18.8430796707423</v>
      </c>
      <c r="M958" s="6" t="n">
        <f aca="false">IF(COUNTIF($L$2:$L$2201,L958)&gt;1,1,0)</f>
        <v>0</v>
      </c>
      <c r="N958" s="6" t="str">
        <f aca="false">IF(AND(C958&lt;Assumptions!$B$9,B958&lt;Assumptions!$B$10),"Irrigate Now",IF(AND(C958&gt;=Assumptions!$B$11,B958&gt;=Assumptions!$B$12),"No Irrigation Needed","Monitor"))</f>
        <v>Monitor</v>
      </c>
      <c r="O958" s="6" t="n">
        <f aca="false">IF(N958=G958,1,0)</f>
        <v>1</v>
      </c>
    </row>
    <row r="959" customFormat="false" ht="15" hidden="false" customHeight="false" outlineLevel="0" collapsed="false">
      <c r="A959" s="16" t="n">
        <v>19.86173586</v>
      </c>
      <c r="B959" s="16" t="n">
        <v>111.0217929</v>
      </c>
      <c r="C959" s="16" t="n">
        <v>19.6799208246442</v>
      </c>
      <c r="D959" s="6" t="s">
        <v>66</v>
      </c>
      <c r="E959" s="6" t="s">
        <v>57</v>
      </c>
      <c r="F959" s="6" t="s">
        <v>60</v>
      </c>
      <c r="G959" s="6" t="s">
        <v>61</v>
      </c>
      <c r="H959" s="6" t="s">
        <v>63</v>
      </c>
      <c r="I959" s="6" t="str">
        <f aca="false">IF(A959&lt;Outliers!$E$6,"Low",IF(A959&gt;Outliers!$F$6,"High",""))</f>
        <v/>
      </c>
      <c r="J959" s="6" t="str">
        <f aca="false">IF(B959&lt;Outliers!$E$7,"Low",IF(B959&gt;Outliers!$F$7,"High",""))</f>
        <v/>
      </c>
      <c r="K959" s="6" t="str">
        <f aca="false">IF(C959&lt;Outliers!$E$8,"Low",IF(C959&gt;Outliers!$F$8,"High",""))</f>
        <v/>
      </c>
      <c r="L959" s="6" t="str">
        <f aca="false">A959&amp;";"&amp;B959&amp;";"&amp;C959</f>
        <v>19.86173586;111.0217929;19.6799208246442</v>
      </c>
      <c r="M959" s="6" t="n">
        <f aca="false">IF(COUNTIF($L$2:$L$2201,L959)&gt;1,1,0)</f>
        <v>0</v>
      </c>
      <c r="N959" s="6" t="str">
        <f aca="false">IF(AND(C959&lt;Assumptions!$B$9,B959&lt;Assumptions!$B$10),"Irrigate Now",IF(AND(C959&gt;=Assumptions!$B$11,B959&gt;=Assumptions!$B$12),"No Irrigation Needed","Monitor"))</f>
        <v>Monitor</v>
      </c>
      <c r="O959" s="6" t="n">
        <f aca="false">IF(N959=G959,1,0)</f>
        <v>1</v>
      </c>
    </row>
    <row r="960" customFormat="false" ht="15" hidden="false" customHeight="false" outlineLevel="0" collapsed="false">
      <c r="A960" s="16" t="n">
        <v>18.07132963</v>
      </c>
      <c r="B960" s="16" t="n">
        <v>106.3602023</v>
      </c>
      <c r="C960" s="16" t="n">
        <v>26.1587361509161</v>
      </c>
      <c r="D960" s="6" t="s">
        <v>66</v>
      </c>
      <c r="E960" s="6" t="s">
        <v>57</v>
      </c>
      <c r="F960" s="6" t="s">
        <v>23</v>
      </c>
      <c r="G960" s="6" t="s">
        <v>58</v>
      </c>
      <c r="H960" s="6" t="s">
        <v>59</v>
      </c>
      <c r="I960" s="6" t="str">
        <f aca="false">IF(A960&lt;Outliers!$E$6,"Low",IF(A960&gt;Outliers!$F$6,"High",""))</f>
        <v/>
      </c>
      <c r="J960" s="6" t="str">
        <f aca="false">IF(B960&lt;Outliers!$E$7,"Low",IF(B960&gt;Outliers!$F$7,"High",""))</f>
        <v/>
      </c>
      <c r="K960" s="6" t="str">
        <f aca="false">IF(C960&lt;Outliers!$E$8,"Low",IF(C960&gt;Outliers!$F$8,"High",""))</f>
        <v/>
      </c>
      <c r="L960" s="6" t="str">
        <f aca="false">A960&amp;";"&amp;B960&amp;";"&amp;C960</f>
        <v>18.07132963;106.3602023;26.1587361509161</v>
      </c>
      <c r="M960" s="6" t="n">
        <f aca="false">IF(COUNTIF($L$2:$L$2201,L960)&gt;1,1,0)</f>
        <v>0</v>
      </c>
      <c r="N960" s="6" t="str">
        <f aca="false">IF(AND(C960&lt;Assumptions!$B$9,B960&lt;Assumptions!$B$10),"Irrigate Now",IF(AND(C960&gt;=Assumptions!$B$11,B960&gt;=Assumptions!$B$12),"No Irrigation Needed","Monitor"))</f>
        <v>No Irrigation Needed</v>
      </c>
      <c r="O960" s="6" t="n">
        <f aca="false">IF(N960=G960,1,0)</f>
        <v>1</v>
      </c>
    </row>
    <row r="961" customFormat="false" ht="15" hidden="false" customHeight="false" outlineLevel="0" collapsed="false">
      <c r="A961" s="16" t="n">
        <v>23.89162561</v>
      </c>
      <c r="B961" s="16" t="n">
        <v>104.617522</v>
      </c>
      <c r="C961" s="16" t="n">
        <v>19.872746998327</v>
      </c>
      <c r="D961" s="6" t="s">
        <v>57</v>
      </c>
      <c r="E961" s="6" t="s">
        <v>57</v>
      </c>
      <c r="F961" s="6" t="s">
        <v>60</v>
      </c>
      <c r="G961" s="6" t="s">
        <v>61</v>
      </c>
      <c r="H961" s="6" t="s">
        <v>63</v>
      </c>
      <c r="I961" s="6" t="str">
        <f aca="false">IF(A961&lt;Outliers!$E$6,"Low",IF(A961&gt;Outliers!$F$6,"High",""))</f>
        <v/>
      </c>
      <c r="J961" s="6" t="str">
        <f aca="false">IF(B961&lt;Outliers!$E$7,"Low",IF(B961&gt;Outliers!$F$7,"High",""))</f>
        <v/>
      </c>
      <c r="K961" s="6" t="str">
        <f aca="false">IF(C961&lt;Outliers!$E$8,"Low",IF(C961&gt;Outliers!$F$8,"High",""))</f>
        <v/>
      </c>
      <c r="L961" s="6" t="str">
        <f aca="false">A961&amp;";"&amp;B961&amp;";"&amp;C961</f>
        <v>23.89162561;104.617522;19.872746998327</v>
      </c>
      <c r="M961" s="6" t="n">
        <f aca="false">IF(COUNTIF($L$2:$L$2201,L961)&gt;1,1,0)</f>
        <v>0</v>
      </c>
      <c r="N961" s="6" t="str">
        <f aca="false">IF(AND(C961&lt;Assumptions!$B$9,B961&lt;Assumptions!$B$10),"Irrigate Now",IF(AND(C961&gt;=Assumptions!$B$11,B961&gt;=Assumptions!$B$12),"No Irrigation Needed","Monitor"))</f>
        <v>Monitor</v>
      </c>
      <c r="O961" s="6" t="n">
        <f aca="false">IF(N961=G961,1,0)</f>
        <v>1</v>
      </c>
    </row>
    <row r="962" customFormat="false" ht="15" hidden="false" customHeight="false" outlineLevel="0" collapsed="false">
      <c r="A962" s="16" t="n">
        <v>23.98598756</v>
      </c>
      <c r="B962" s="16" t="n">
        <v>104.991282</v>
      </c>
      <c r="C962" s="16" t="n">
        <v>28.6562609287594</v>
      </c>
      <c r="D962" s="6" t="s">
        <v>57</v>
      </c>
      <c r="E962" s="6" t="s">
        <v>57</v>
      </c>
      <c r="F962" s="6" t="s">
        <v>23</v>
      </c>
      <c r="G962" s="6" t="s">
        <v>58</v>
      </c>
      <c r="H962" s="6" t="s">
        <v>59</v>
      </c>
      <c r="I962" s="6" t="str">
        <f aca="false">IF(A962&lt;Outliers!$E$6,"Low",IF(A962&gt;Outliers!$F$6,"High",""))</f>
        <v/>
      </c>
      <c r="J962" s="6" t="str">
        <f aca="false">IF(B962&lt;Outliers!$E$7,"Low",IF(B962&gt;Outliers!$F$7,"High",""))</f>
        <v/>
      </c>
      <c r="K962" s="6" t="str">
        <f aca="false">IF(C962&lt;Outliers!$E$8,"Low",IF(C962&gt;Outliers!$F$8,"High",""))</f>
        <v/>
      </c>
      <c r="L962" s="6" t="str">
        <f aca="false">A962&amp;";"&amp;B962&amp;";"&amp;C962</f>
        <v>23.98598756;104.991282;28.6562609287594</v>
      </c>
      <c r="M962" s="6" t="n">
        <f aca="false">IF(COUNTIF($L$2:$L$2201,L962)&gt;1,1,0)</f>
        <v>0</v>
      </c>
      <c r="N962" s="6" t="str">
        <f aca="false">IF(AND(C962&lt;Assumptions!$B$9,B962&lt;Assumptions!$B$10),"Irrigate Now",IF(AND(C962&gt;=Assumptions!$B$11,B962&gt;=Assumptions!$B$12),"No Irrigation Needed","Monitor"))</f>
        <v>No Irrigation Needed</v>
      </c>
      <c r="O962" s="6" t="n">
        <f aca="false">IF(N962=G962,1,0)</f>
        <v>1</v>
      </c>
    </row>
    <row r="963" customFormat="false" ht="15" hidden="false" customHeight="false" outlineLevel="0" collapsed="false">
      <c r="A963" s="16" t="n">
        <v>20.93892916</v>
      </c>
      <c r="B963" s="16" t="n">
        <v>103.0295938</v>
      </c>
      <c r="C963" s="16" t="n">
        <v>25.6495890322347</v>
      </c>
      <c r="D963" s="6" t="s">
        <v>57</v>
      </c>
      <c r="E963" s="6" t="s">
        <v>57</v>
      </c>
      <c r="F963" s="6" t="s">
        <v>23</v>
      </c>
      <c r="G963" s="6" t="s">
        <v>58</v>
      </c>
      <c r="H963" s="6" t="s">
        <v>59</v>
      </c>
      <c r="I963" s="6" t="str">
        <f aca="false">IF(A963&lt;Outliers!$E$6,"Low",IF(A963&gt;Outliers!$F$6,"High",""))</f>
        <v/>
      </c>
      <c r="J963" s="6" t="str">
        <f aca="false">IF(B963&lt;Outliers!$E$7,"Low",IF(B963&gt;Outliers!$F$7,"High",""))</f>
        <v/>
      </c>
      <c r="K963" s="6" t="str">
        <f aca="false">IF(C963&lt;Outliers!$E$8,"Low",IF(C963&gt;Outliers!$F$8,"High",""))</f>
        <v/>
      </c>
      <c r="L963" s="6" t="str">
        <f aca="false">A963&amp;";"&amp;B963&amp;";"&amp;C963</f>
        <v>20.93892916;103.0295938;25.6495890322347</v>
      </c>
      <c r="M963" s="6" t="n">
        <f aca="false">IF(COUNTIF($L$2:$L$2201,L963)&gt;1,1,0)</f>
        <v>0</v>
      </c>
      <c r="N963" s="6" t="str">
        <f aca="false">IF(AND(C963&lt;Assumptions!$B$9,B963&lt;Assumptions!$B$10),"Irrigate Now",IF(AND(C963&gt;=Assumptions!$B$11,B963&gt;=Assumptions!$B$12),"No Irrigation Needed","Monitor"))</f>
        <v>No Irrigation Needed</v>
      </c>
      <c r="O963" s="6" t="n">
        <f aca="false">IF(N963=G963,1,0)</f>
        <v>1</v>
      </c>
    </row>
    <row r="964" customFormat="false" ht="15" hidden="false" customHeight="false" outlineLevel="0" collapsed="false">
      <c r="A964" s="16" t="n">
        <v>20.82210727</v>
      </c>
      <c r="B964" s="16" t="n">
        <v>109.4429934</v>
      </c>
      <c r="C964" s="16" t="n">
        <v>29.8519488681542</v>
      </c>
      <c r="D964" s="6" t="s">
        <v>57</v>
      </c>
      <c r="E964" s="6" t="s">
        <v>57</v>
      </c>
      <c r="F964" s="6" t="s">
        <v>23</v>
      </c>
      <c r="G964" s="6" t="s">
        <v>58</v>
      </c>
      <c r="H964" s="6" t="s">
        <v>59</v>
      </c>
      <c r="I964" s="6" t="str">
        <f aca="false">IF(A964&lt;Outliers!$E$6,"Low",IF(A964&gt;Outliers!$F$6,"High",""))</f>
        <v/>
      </c>
      <c r="J964" s="6" t="str">
        <f aca="false">IF(B964&lt;Outliers!$E$7,"Low",IF(B964&gt;Outliers!$F$7,"High",""))</f>
        <v/>
      </c>
      <c r="K964" s="6" t="str">
        <f aca="false">IF(C964&lt;Outliers!$E$8,"Low",IF(C964&gt;Outliers!$F$8,"High",""))</f>
        <v/>
      </c>
      <c r="L964" s="6" t="str">
        <f aca="false">A964&amp;";"&amp;B964&amp;";"&amp;C964</f>
        <v>20.82210727;109.4429934;29.8519488681542</v>
      </c>
      <c r="M964" s="6" t="n">
        <f aca="false">IF(COUNTIF($L$2:$L$2201,L964)&gt;1,1,0)</f>
        <v>0</v>
      </c>
      <c r="N964" s="6" t="str">
        <f aca="false">IF(AND(C964&lt;Assumptions!$B$9,B964&lt;Assumptions!$B$10),"Irrigate Now",IF(AND(C964&gt;=Assumptions!$B$11,B964&gt;=Assumptions!$B$12),"No Irrigation Needed","Monitor"))</f>
        <v>No Irrigation Needed</v>
      </c>
      <c r="O964" s="6" t="n">
        <f aca="false">IF(N964=G964,1,0)</f>
        <v>1</v>
      </c>
    </row>
    <row r="965" customFormat="false" ht="15" hidden="false" customHeight="false" outlineLevel="0" collapsed="false">
      <c r="A965" s="16" t="n">
        <v>20.86474944</v>
      </c>
      <c r="B965" s="16" t="n">
        <v>106.8685636</v>
      </c>
      <c r="C965" s="16" t="n">
        <v>25.6333268407937</v>
      </c>
      <c r="D965" s="6" t="s">
        <v>57</v>
      </c>
      <c r="E965" s="6" t="s">
        <v>57</v>
      </c>
      <c r="F965" s="6" t="s">
        <v>23</v>
      </c>
      <c r="G965" s="6" t="s">
        <v>58</v>
      </c>
      <c r="H965" s="6" t="s">
        <v>59</v>
      </c>
      <c r="I965" s="6" t="str">
        <f aca="false">IF(A965&lt;Outliers!$E$6,"Low",IF(A965&gt;Outliers!$F$6,"High",""))</f>
        <v/>
      </c>
      <c r="J965" s="6" t="str">
        <f aca="false">IF(B965&lt;Outliers!$E$7,"Low",IF(B965&gt;Outliers!$F$7,"High",""))</f>
        <v/>
      </c>
      <c r="K965" s="6" t="str">
        <f aca="false">IF(C965&lt;Outliers!$E$8,"Low",IF(C965&gt;Outliers!$F$8,"High",""))</f>
        <v/>
      </c>
      <c r="L965" s="6" t="str">
        <f aca="false">A965&amp;";"&amp;B965&amp;";"&amp;C965</f>
        <v>20.86474944;106.8685636;25.6333268407937</v>
      </c>
      <c r="M965" s="6" t="n">
        <f aca="false">IF(COUNTIF($L$2:$L$2201,L965)&gt;1,1,0)</f>
        <v>0</v>
      </c>
      <c r="N965" s="6" t="str">
        <f aca="false">IF(AND(C965&lt;Assumptions!$B$9,B965&lt;Assumptions!$B$10),"Irrigate Now",IF(AND(C965&gt;=Assumptions!$B$11,B965&gt;=Assumptions!$B$12),"No Irrigation Needed","Monitor"))</f>
        <v>No Irrigation Needed</v>
      </c>
      <c r="O965" s="6" t="n">
        <f aca="false">IF(N965=G965,1,0)</f>
        <v>1</v>
      </c>
    </row>
    <row r="966" customFormat="false" ht="15" hidden="false" customHeight="false" outlineLevel="0" collapsed="false">
      <c r="A966" s="16" t="n">
        <v>24.45840036</v>
      </c>
      <c r="B966" s="16" t="n">
        <v>111.3779693</v>
      </c>
      <c r="C966" s="16" t="n">
        <v>29.7075058479675</v>
      </c>
      <c r="D966" s="6" t="s">
        <v>57</v>
      </c>
      <c r="E966" s="6" t="s">
        <v>57</v>
      </c>
      <c r="F966" s="6" t="s">
        <v>23</v>
      </c>
      <c r="G966" s="6" t="s">
        <v>58</v>
      </c>
      <c r="H966" s="6" t="s">
        <v>59</v>
      </c>
      <c r="I966" s="6" t="str">
        <f aca="false">IF(A966&lt;Outliers!$E$6,"Low",IF(A966&gt;Outliers!$F$6,"High",""))</f>
        <v/>
      </c>
      <c r="J966" s="6" t="str">
        <f aca="false">IF(B966&lt;Outliers!$E$7,"Low",IF(B966&gt;Outliers!$F$7,"High",""))</f>
        <v/>
      </c>
      <c r="K966" s="6" t="str">
        <f aca="false">IF(C966&lt;Outliers!$E$8,"Low",IF(C966&gt;Outliers!$F$8,"High",""))</f>
        <v/>
      </c>
      <c r="L966" s="6" t="str">
        <f aca="false">A966&amp;";"&amp;B966&amp;";"&amp;C966</f>
        <v>24.45840036;111.3779693;29.7075058479675</v>
      </c>
      <c r="M966" s="6" t="n">
        <f aca="false">IF(COUNTIF($L$2:$L$2201,L966)&gt;1,1,0)</f>
        <v>0</v>
      </c>
      <c r="N966" s="6" t="str">
        <f aca="false">IF(AND(C966&lt;Assumptions!$B$9,B966&lt;Assumptions!$B$10),"Irrigate Now",IF(AND(C966&gt;=Assumptions!$B$11,B966&gt;=Assumptions!$B$12),"No Irrigation Needed","Monitor"))</f>
        <v>No Irrigation Needed</v>
      </c>
      <c r="O966" s="6" t="n">
        <f aca="false">IF(N966=G966,1,0)</f>
        <v>1</v>
      </c>
    </row>
    <row r="967" customFormat="false" ht="15" hidden="false" customHeight="false" outlineLevel="0" collapsed="false">
      <c r="A967" s="16" t="n">
        <v>24.51147697</v>
      </c>
      <c r="B967" s="16" t="n">
        <v>105.6209954</v>
      </c>
      <c r="C967" s="16" t="n">
        <v>22.5226627000129</v>
      </c>
      <c r="D967" s="6" t="s">
        <v>57</v>
      </c>
      <c r="E967" s="6" t="s">
        <v>57</v>
      </c>
      <c r="F967" s="6" t="s">
        <v>60</v>
      </c>
      <c r="G967" s="6" t="s">
        <v>61</v>
      </c>
      <c r="H967" s="6" t="s">
        <v>63</v>
      </c>
      <c r="I967" s="6" t="str">
        <f aca="false">IF(A967&lt;Outliers!$E$6,"Low",IF(A967&gt;Outliers!$F$6,"High",""))</f>
        <v/>
      </c>
      <c r="J967" s="6" t="str">
        <f aca="false">IF(B967&lt;Outliers!$E$7,"Low",IF(B967&gt;Outliers!$F$7,"High",""))</f>
        <v/>
      </c>
      <c r="K967" s="6" t="str">
        <f aca="false">IF(C967&lt;Outliers!$E$8,"Low",IF(C967&gt;Outliers!$F$8,"High",""))</f>
        <v/>
      </c>
      <c r="L967" s="6" t="str">
        <f aca="false">A967&amp;";"&amp;B967&amp;";"&amp;C967</f>
        <v>24.51147697;105.6209954;22.5226627000129</v>
      </c>
      <c r="M967" s="6" t="n">
        <f aca="false">IF(COUNTIF($L$2:$L$2201,L967)&gt;1,1,0)</f>
        <v>0</v>
      </c>
      <c r="N967" s="6" t="str">
        <f aca="false">IF(AND(C967&lt;Assumptions!$B$9,B967&lt;Assumptions!$B$10),"Irrigate Now",IF(AND(C967&gt;=Assumptions!$B$11,B967&gt;=Assumptions!$B$12),"No Irrigation Needed","Monitor"))</f>
        <v>Monitor</v>
      </c>
      <c r="O967" s="6" t="n">
        <f aca="false">IF(N967=G967,1,0)</f>
        <v>1</v>
      </c>
    </row>
    <row r="968" customFormat="false" ht="15" hidden="false" customHeight="false" outlineLevel="0" collapsed="false">
      <c r="A968" s="16" t="n">
        <v>24.56811204</v>
      </c>
      <c r="B968" s="16" t="n">
        <v>110.9633894</v>
      </c>
      <c r="C968" s="16" t="n">
        <v>25.9454111463186</v>
      </c>
      <c r="D968" s="6" t="s">
        <v>57</v>
      </c>
      <c r="E968" s="6" t="s">
        <v>57</v>
      </c>
      <c r="F968" s="6" t="s">
        <v>23</v>
      </c>
      <c r="G968" s="6" t="s">
        <v>58</v>
      </c>
      <c r="H968" s="6" t="s">
        <v>59</v>
      </c>
      <c r="I968" s="6" t="str">
        <f aca="false">IF(A968&lt;Outliers!$E$6,"Low",IF(A968&gt;Outliers!$F$6,"High",""))</f>
        <v/>
      </c>
      <c r="J968" s="6" t="str">
        <f aca="false">IF(B968&lt;Outliers!$E$7,"Low",IF(B968&gt;Outliers!$F$7,"High",""))</f>
        <v/>
      </c>
      <c r="K968" s="6" t="str">
        <f aca="false">IF(C968&lt;Outliers!$E$8,"Low",IF(C968&gt;Outliers!$F$8,"High",""))</f>
        <v/>
      </c>
      <c r="L968" s="6" t="str">
        <f aca="false">A968&amp;";"&amp;B968&amp;";"&amp;C968</f>
        <v>24.56811204;110.9633894;25.9454111463186</v>
      </c>
      <c r="M968" s="6" t="n">
        <f aca="false">IF(COUNTIF($L$2:$L$2201,L968)&gt;1,1,0)</f>
        <v>0</v>
      </c>
      <c r="N968" s="6" t="str">
        <f aca="false">IF(AND(C968&lt;Assumptions!$B$9,B968&lt;Assumptions!$B$10),"Irrigate Now",IF(AND(C968&gt;=Assumptions!$B$11,B968&gt;=Assumptions!$B$12),"No Irrigation Needed","Monitor"))</f>
        <v>No Irrigation Needed</v>
      </c>
      <c r="O968" s="6" t="n">
        <f aca="false">IF(N968=G968,1,0)</f>
        <v>1</v>
      </c>
    </row>
    <row r="969" customFormat="false" ht="15" hidden="false" customHeight="false" outlineLevel="0" collapsed="false">
      <c r="A969" s="16" t="n">
        <v>24.63228709</v>
      </c>
      <c r="B969" s="16" t="n">
        <v>110.6956184</v>
      </c>
      <c r="C969" s="16" t="n">
        <v>29.0466162766345</v>
      </c>
      <c r="D969" s="6" t="s">
        <v>57</v>
      </c>
      <c r="E969" s="6" t="s">
        <v>57</v>
      </c>
      <c r="F969" s="6" t="s">
        <v>23</v>
      </c>
      <c r="G969" s="6" t="s">
        <v>58</v>
      </c>
      <c r="H969" s="6" t="s">
        <v>59</v>
      </c>
      <c r="I969" s="6" t="str">
        <f aca="false">IF(A969&lt;Outliers!$E$6,"Low",IF(A969&gt;Outliers!$F$6,"High",""))</f>
        <v/>
      </c>
      <c r="J969" s="6" t="str">
        <f aca="false">IF(B969&lt;Outliers!$E$7,"Low",IF(B969&gt;Outliers!$F$7,"High",""))</f>
        <v/>
      </c>
      <c r="K969" s="6" t="str">
        <f aca="false">IF(C969&lt;Outliers!$E$8,"Low",IF(C969&gt;Outliers!$F$8,"High",""))</f>
        <v/>
      </c>
      <c r="L969" s="6" t="str">
        <f aca="false">A969&amp;";"&amp;B969&amp;";"&amp;C969</f>
        <v>24.63228709;110.6956184;29.0466162766345</v>
      </c>
      <c r="M969" s="6" t="n">
        <f aca="false">IF(COUNTIF($L$2:$L$2201,L969)&gt;1,1,0)</f>
        <v>0</v>
      </c>
      <c r="N969" s="6" t="str">
        <f aca="false">IF(AND(C969&lt;Assumptions!$B$9,B969&lt;Assumptions!$B$10),"Irrigate Now",IF(AND(C969&gt;=Assumptions!$B$11,B969&gt;=Assumptions!$B$12),"No Irrigation Needed","Monitor"))</f>
        <v>No Irrigation Needed</v>
      </c>
      <c r="O969" s="6" t="n">
        <f aca="false">IF(N969=G969,1,0)</f>
        <v>1</v>
      </c>
    </row>
    <row r="970" customFormat="false" ht="15" hidden="false" customHeight="false" outlineLevel="0" collapsed="false">
      <c r="A970" s="16" t="n">
        <v>20.07386547</v>
      </c>
      <c r="B970" s="16" t="n">
        <v>103.7084055</v>
      </c>
      <c r="C970" s="16" t="n">
        <v>21.925453917562</v>
      </c>
      <c r="D970" s="6" t="s">
        <v>57</v>
      </c>
      <c r="E970" s="6" t="s">
        <v>57</v>
      </c>
      <c r="F970" s="6" t="s">
        <v>60</v>
      </c>
      <c r="G970" s="6" t="s">
        <v>61</v>
      </c>
      <c r="H970" s="6" t="s">
        <v>63</v>
      </c>
      <c r="I970" s="6" t="str">
        <f aca="false">IF(A970&lt;Outliers!$E$6,"Low",IF(A970&gt;Outliers!$F$6,"High",""))</f>
        <v/>
      </c>
      <c r="J970" s="6" t="str">
        <f aca="false">IF(B970&lt;Outliers!$E$7,"Low",IF(B970&gt;Outliers!$F$7,"High",""))</f>
        <v/>
      </c>
      <c r="K970" s="6" t="str">
        <f aca="false">IF(C970&lt;Outliers!$E$8,"Low",IF(C970&gt;Outliers!$F$8,"High",""))</f>
        <v/>
      </c>
      <c r="L970" s="6" t="str">
        <f aca="false">A970&amp;";"&amp;B970&amp;";"&amp;C970</f>
        <v>20.07386547;103.7084055;21.925453917562</v>
      </c>
      <c r="M970" s="6" t="n">
        <f aca="false">IF(COUNTIF($L$2:$L$2201,L970)&gt;1,1,0)</f>
        <v>0</v>
      </c>
      <c r="N970" s="6" t="str">
        <f aca="false">IF(AND(C970&lt;Assumptions!$B$9,B970&lt;Assumptions!$B$10),"Irrigate Now",IF(AND(C970&gt;=Assumptions!$B$11,B970&gt;=Assumptions!$B$12),"No Irrigation Needed","Monitor"))</f>
        <v>Monitor</v>
      </c>
      <c r="O970" s="6" t="n">
        <f aca="false">IF(N970=G970,1,0)</f>
        <v>1</v>
      </c>
    </row>
    <row r="971" customFormat="false" ht="15" hidden="false" customHeight="false" outlineLevel="0" collapsed="false">
      <c r="A971" s="16" t="n">
        <v>21.80523051</v>
      </c>
      <c r="B971" s="16" t="n">
        <v>102.6488846</v>
      </c>
      <c r="C971" s="16" t="n">
        <v>18.3282478906247</v>
      </c>
      <c r="D971" s="6" t="s">
        <v>57</v>
      </c>
      <c r="E971" s="6" t="s">
        <v>57</v>
      </c>
      <c r="F971" s="6" t="s">
        <v>60</v>
      </c>
      <c r="G971" s="6" t="s">
        <v>61</v>
      </c>
      <c r="H971" s="6" t="s">
        <v>63</v>
      </c>
      <c r="I971" s="6" t="str">
        <f aca="false">IF(A971&lt;Outliers!$E$6,"Low",IF(A971&gt;Outliers!$F$6,"High",""))</f>
        <v/>
      </c>
      <c r="J971" s="6" t="str">
        <f aca="false">IF(B971&lt;Outliers!$E$7,"Low",IF(B971&gt;Outliers!$F$7,"High",""))</f>
        <v/>
      </c>
      <c r="K971" s="6" t="str">
        <f aca="false">IF(C971&lt;Outliers!$E$8,"Low",IF(C971&gt;Outliers!$F$8,"High",""))</f>
        <v/>
      </c>
      <c r="L971" s="6" t="str">
        <f aca="false">A971&amp;";"&amp;B971&amp;";"&amp;C971</f>
        <v>21.80523051;102.6488846;18.3282478906247</v>
      </c>
      <c r="M971" s="6" t="n">
        <f aca="false">IF(COUNTIF($L$2:$L$2201,L971)&gt;1,1,0)</f>
        <v>0</v>
      </c>
      <c r="N971" s="6" t="str">
        <f aca="false">IF(AND(C971&lt;Assumptions!$B$9,B971&lt;Assumptions!$B$10),"Irrigate Now",IF(AND(C971&gt;=Assumptions!$B$11,B971&gt;=Assumptions!$B$12),"No Irrigation Needed","Monitor"))</f>
        <v>Monitor</v>
      </c>
      <c r="O971" s="6" t="n">
        <f aca="false">IF(N971=G971,1,0)</f>
        <v>1</v>
      </c>
    </row>
    <row r="972" customFormat="false" ht="15" hidden="false" customHeight="false" outlineLevel="0" collapsed="false">
      <c r="A972" s="16" t="n">
        <v>22.8122645</v>
      </c>
      <c r="B972" s="16" t="n">
        <v>110.4432293</v>
      </c>
      <c r="C972" s="16" t="n">
        <v>12.5589826114904</v>
      </c>
      <c r="D972" s="6" t="s">
        <v>57</v>
      </c>
      <c r="E972" s="6" t="s">
        <v>57</v>
      </c>
      <c r="F972" s="6" t="s">
        <v>24</v>
      </c>
      <c r="G972" s="6" t="s">
        <v>61</v>
      </c>
      <c r="H972" s="6" t="s">
        <v>63</v>
      </c>
      <c r="I972" s="6" t="str">
        <f aca="false">IF(A972&lt;Outliers!$E$6,"Low",IF(A972&gt;Outliers!$F$6,"High",""))</f>
        <v/>
      </c>
      <c r="J972" s="6" t="str">
        <f aca="false">IF(B972&lt;Outliers!$E$7,"Low",IF(B972&gt;Outliers!$F$7,"High",""))</f>
        <v/>
      </c>
      <c r="K972" s="6" t="str">
        <f aca="false">IF(C972&lt;Outliers!$E$8,"Low",IF(C972&gt;Outliers!$F$8,"High",""))</f>
        <v/>
      </c>
      <c r="L972" s="6" t="str">
        <f aca="false">A972&amp;";"&amp;B972&amp;";"&amp;C972</f>
        <v>22.8122645;110.4432293;12.5589826114904</v>
      </c>
      <c r="M972" s="6" t="n">
        <f aca="false">IF(COUNTIF($L$2:$L$2201,L972)&gt;1,1,0)</f>
        <v>0</v>
      </c>
      <c r="N972" s="6" t="str">
        <f aca="false">IF(AND(C972&lt;Assumptions!$B$9,B972&lt;Assumptions!$B$10),"Irrigate Now",IF(AND(C972&gt;=Assumptions!$B$11,B972&gt;=Assumptions!$B$12),"No Irrigation Needed","Monitor"))</f>
        <v>Monitor</v>
      </c>
      <c r="O972" s="6" t="n">
        <f aca="false">IF(N972=G972,1,0)</f>
        <v>1</v>
      </c>
    </row>
    <row r="973" customFormat="false" ht="15" hidden="false" customHeight="false" outlineLevel="0" collapsed="false">
      <c r="A973" s="16" t="n">
        <v>22.73031253</v>
      </c>
      <c r="B973" s="16" t="n">
        <v>104.6843243</v>
      </c>
      <c r="C973" s="16" t="n">
        <v>17.0997133669289</v>
      </c>
      <c r="D973" s="6" t="s">
        <v>57</v>
      </c>
      <c r="E973" s="6" t="s">
        <v>57</v>
      </c>
      <c r="F973" s="6" t="s">
        <v>60</v>
      </c>
      <c r="G973" s="6" t="s">
        <v>61</v>
      </c>
      <c r="H973" s="6" t="s">
        <v>63</v>
      </c>
      <c r="I973" s="6" t="str">
        <f aca="false">IF(A973&lt;Outliers!$E$6,"Low",IF(A973&gt;Outliers!$F$6,"High",""))</f>
        <v/>
      </c>
      <c r="J973" s="6" t="str">
        <f aca="false">IF(B973&lt;Outliers!$E$7,"Low",IF(B973&gt;Outliers!$F$7,"High",""))</f>
        <v/>
      </c>
      <c r="K973" s="6" t="str">
        <f aca="false">IF(C973&lt;Outliers!$E$8,"Low",IF(C973&gt;Outliers!$F$8,"High",""))</f>
        <v/>
      </c>
      <c r="L973" s="6" t="str">
        <f aca="false">A973&amp;";"&amp;B973&amp;";"&amp;C973</f>
        <v>22.73031253;104.6843243;17.0997133669289</v>
      </c>
      <c r="M973" s="6" t="n">
        <f aca="false">IF(COUNTIF($L$2:$L$2201,L973)&gt;1,1,0)</f>
        <v>0</v>
      </c>
      <c r="N973" s="6" t="str">
        <f aca="false">IF(AND(C973&lt;Assumptions!$B$9,B973&lt;Assumptions!$B$10),"Irrigate Now",IF(AND(C973&gt;=Assumptions!$B$11,B973&gt;=Assumptions!$B$12),"No Irrigation Needed","Monitor"))</f>
        <v>Monitor</v>
      </c>
      <c r="O973" s="6" t="n">
        <f aca="false">IF(N973=G973,1,0)</f>
        <v>1</v>
      </c>
    </row>
    <row r="974" customFormat="false" ht="15" hidden="false" customHeight="false" outlineLevel="0" collapsed="false">
      <c r="A974" s="16" t="n">
        <v>23.2801227</v>
      </c>
      <c r="B974" s="16" t="n">
        <v>111.1382096</v>
      </c>
      <c r="C974" s="16" t="n">
        <v>22.5984525465593</v>
      </c>
      <c r="D974" s="6" t="s">
        <v>57</v>
      </c>
      <c r="E974" s="6" t="s">
        <v>57</v>
      </c>
      <c r="F974" s="6" t="s">
        <v>60</v>
      </c>
      <c r="G974" s="6" t="s">
        <v>61</v>
      </c>
      <c r="H974" s="6" t="s">
        <v>63</v>
      </c>
      <c r="I974" s="6" t="str">
        <f aca="false">IF(A974&lt;Outliers!$E$6,"Low",IF(A974&gt;Outliers!$F$6,"High",""))</f>
        <v/>
      </c>
      <c r="J974" s="6" t="str">
        <f aca="false">IF(B974&lt;Outliers!$E$7,"Low",IF(B974&gt;Outliers!$F$7,"High",""))</f>
        <v/>
      </c>
      <c r="K974" s="6" t="str">
        <f aca="false">IF(C974&lt;Outliers!$E$8,"Low",IF(C974&gt;Outliers!$F$8,"High",""))</f>
        <v/>
      </c>
      <c r="L974" s="6" t="str">
        <f aca="false">A974&amp;";"&amp;B974&amp;";"&amp;C974</f>
        <v>23.2801227;111.1382096;22.5984525465593</v>
      </c>
      <c r="M974" s="6" t="n">
        <f aca="false">IF(COUNTIF($L$2:$L$2201,L974)&gt;1,1,0)</f>
        <v>0</v>
      </c>
      <c r="N974" s="6" t="str">
        <f aca="false">IF(AND(C974&lt;Assumptions!$B$9,B974&lt;Assumptions!$B$10),"Irrigate Now",IF(AND(C974&gt;=Assumptions!$B$11,B974&gt;=Assumptions!$B$12),"No Irrigation Needed","Monitor"))</f>
        <v>Monitor</v>
      </c>
      <c r="O974" s="6" t="n">
        <f aca="false">IF(N974=G974,1,0)</f>
        <v>1</v>
      </c>
    </row>
    <row r="975" customFormat="false" ht="15" hidden="false" customHeight="false" outlineLevel="0" collapsed="false">
      <c r="A975" s="16" t="n">
        <v>19.30106297</v>
      </c>
      <c r="B975" s="16" t="n">
        <v>105.4766591</v>
      </c>
      <c r="C975" s="16" t="n">
        <v>24.9901040351929</v>
      </c>
      <c r="D975" s="6" t="s">
        <v>66</v>
      </c>
      <c r="E975" s="6" t="s">
        <v>57</v>
      </c>
      <c r="F975" s="6" t="s">
        <v>23</v>
      </c>
      <c r="G975" s="6" t="s">
        <v>61</v>
      </c>
      <c r="H975" s="6" t="s">
        <v>63</v>
      </c>
      <c r="I975" s="6" t="str">
        <f aca="false">IF(A975&lt;Outliers!$E$6,"Low",IF(A975&gt;Outliers!$F$6,"High",""))</f>
        <v/>
      </c>
      <c r="J975" s="6" t="str">
        <f aca="false">IF(B975&lt;Outliers!$E$7,"Low",IF(B975&gt;Outliers!$F$7,"High",""))</f>
        <v/>
      </c>
      <c r="K975" s="6" t="str">
        <f aca="false">IF(C975&lt;Outliers!$E$8,"Low",IF(C975&gt;Outliers!$F$8,"High",""))</f>
        <v/>
      </c>
      <c r="L975" s="6" t="str">
        <f aca="false">A975&amp;";"&amp;B975&amp;";"&amp;C975</f>
        <v>19.30106297;105.4766591;24.9901040351929</v>
      </c>
      <c r="M975" s="6" t="n">
        <f aca="false">IF(COUNTIF($L$2:$L$2201,L975)&gt;1,1,0)</f>
        <v>0</v>
      </c>
      <c r="N975" s="6" t="str">
        <f aca="false">IF(AND(C975&lt;Assumptions!$B$9,B975&lt;Assumptions!$B$10),"Irrigate Now",IF(AND(C975&gt;=Assumptions!$B$11,B975&gt;=Assumptions!$B$12),"No Irrigation Needed","Monitor"))</f>
        <v>Monitor</v>
      </c>
      <c r="O975" s="6" t="n">
        <f aca="false">IF(N975=G975,1,0)</f>
        <v>1</v>
      </c>
    </row>
    <row r="976" customFormat="false" ht="15" hidden="false" customHeight="false" outlineLevel="0" collapsed="false">
      <c r="A976" s="16" t="n">
        <v>19.0087067</v>
      </c>
      <c r="B976" s="16" t="n">
        <v>108.6793978</v>
      </c>
      <c r="C976" s="16" t="n">
        <v>14.5192845585677</v>
      </c>
      <c r="D976" s="6" t="s">
        <v>66</v>
      </c>
      <c r="E976" s="6" t="s">
        <v>57</v>
      </c>
      <c r="F976" s="6" t="s">
        <v>24</v>
      </c>
      <c r="G976" s="6" t="s">
        <v>61</v>
      </c>
      <c r="H976" s="6" t="s">
        <v>63</v>
      </c>
      <c r="I976" s="6" t="str">
        <f aca="false">IF(A976&lt;Outliers!$E$6,"Low",IF(A976&gt;Outliers!$F$6,"High",""))</f>
        <v/>
      </c>
      <c r="J976" s="6" t="str">
        <f aca="false">IF(B976&lt;Outliers!$E$7,"Low",IF(B976&gt;Outliers!$F$7,"High",""))</f>
        <v/>
      </c>
      <c r="K976" s="6" t="str">
        <f aca="false">IF(C976&lt;Outliers!$E$8,"Low",IF(C976&gt;Outliers!$F$8,"High",""))</f>
        <v/>
      </c>
      <c r="L976" s="6" t="str">
        <f aca="false">A976&amp;";"&amp;B976&amp;";"&amp;C976</f>
        <v>19.0087067;108.6793978;14.5192845585677</v>
      </c>
      <c r="M976" s="6" t="n">
        <f aca="false">IF(COUNTIF($L$2:$L$2201,L976)&gt;1,1,0)</f>
        <v>0</v>
      </c>
      <c r="N976" s="6" t="str">
        <f aca="false">IF(AND(C976&lt;Assumptions!$B$9,B976&lt;Assumptions!$B$10),"Irrigate Now",IF(AND(C976&gt;=Assumptions!$B$11,B976&gt;=Assumptions!$B$12),"No Irrigation Needed","Monitor"))</f>
        <v>Monitor</v>
      </c>
      <c r="O976" s="6" t="n">
        <f aca="false">IF(N976=G976,1,0)</f>
        <v>1</v>
      </c>
    </row>
    <row r="977" customFormat="false" ht="15" hidden="false" customHeight="false" outlineLevel="0" collapsed="false">
      <c r="A977" s="16" t="n">
        <v>24.35193812</v>
      </c>
      <c r="B977" s="16" t="n">
        <v>105.529185</v>
      </c>
      <c r="C977" s="16" t="n">
        <v>11.5641943117377</v>
      </c>
      <c r="D977" s="6" t="s">
        <v>57</v>
      </c>
      <c r="E977" s="6" t="s">
        <v>57</v>
      </c>
      <c r="F977" s="6" t="s">
        <v>24</v>
      </c>
      <c r="G977" s="6" t="s">
        <v>61</v>
      </c>
      <c r="H977" s="6" t="s">
        <v>63</v>
      </c>
      <c r="I977" s="6" t="str">
        <f aca="false">IF(A977&lt;Outliers!$E$6,"Low",IF(A977&gt;Outliers!$F$6,"High",""))</f>
        <v/>
      </c>
      <c r="J977" s="6" t="str">
        <f aca="false">IF(B977&lt;Outliers!$E$7,"Low",IF(B977&gt;Outliers!$F$7,"High",""))</f>
        <v/>
      </c>
      <c r="K977" s="6" t="str">
        <f aca="false">IF(C977&lt;Outliers!$E$8,"Low",IF(C977&gt;Outliers!$F$8,"High",""))</f>
        <v/>
      </c>
      <c r="L977" s="6" t="str">
        <f aca="false">A977&amp;";"&amp;B977&amp;";"&amp;C977</f>
        <v>24.35193812;105.529185;11.5641943117377</v>
      </c>
      <c r="M977" s="6" t="n">
        <f aca="false">IF(COUNTIF($L$2:$L$2201,L977)&gt;1,1,0)</f>
        <v>0</v>
      </c>
      <c r="N977" s="6" t="str">
        <f aca="false">IF(AND(C977&lt;Assumptions!$B$9,B977&lt;Assumptions!$B$10),"Irrigate Now",IF(AND(C977&gt;=Assumptions!$B$11,B977&gt;=Assumptions!$B$12),"No Irrigation Needed","Monitor"))</f>
        <v>Monitor</v>
      </c>
      <c r="O977" s="6" t="n">
        <f aca="false">IF(N977=G977,1,0)</f>
        <v>1</v>
      </c>
    </row>
    <row r="978" customFormat="false" ht="15" hidden="false" customHeight="false" outlineLevel="0" collapsed="false">
      <c r="A978" s="16" t="n">
        <v>24.72235539</v>
      </c>
      <c r="B978" s="16" t="n">
        <v>112.1926517</v>
      </c>
      <c r="C978" s="16" t="n">
        <v>10.7928551264833</v>
      </c>
      <c r="D978" s="6" t="s">
        <v>57</v>
      </c>
      <c r="E978" s="6" t="s">
        <v>57</v>
      </c>
      <c r="F978" s="6" t="s">
        <v>24</v>
      </c>
      <c r="G978" s="6" t="s">
        <v>61</v>
      </c>
      <c r="H978" s="6" t="s">
        <v>63</v>
      </c>
      <c r="I978" s="6" t="str">
        <f aca="false">IF(A978&lt;Outliers!$E$6,"Low",IF(A978&gt;Outliers!$F$6,"High",""))</f>
        <v/>
      </c>
      <c r="J978" s="6" t="str">
        <f aca="false">IF(B978&lt;Outliers!$E$7,"Low",IF(B978&gt;Outliers!$F$7,"High",""))</f>
        <v/>
      </c>
      <c r="K978" s="6" t="str">
        <f aca="false">IF(C978&lt;Outliers!$E$8,"Low",IF(C978&gt;Outliers!$F$8,"High",""))</f>
        <v/>
      </c>
      <c r="L978" s="6" t="str">
        <f aca="false">A978&amp;";"&amp;B978&amp;";"&amp;C978</f>
        <v>24.72235539;112.1926517;10.7928551264833</v>
      </c>
      <c r="M978" s="6" t="n">
        <f aca="false">IF(COUNTIF($L$2:$L$2201,L978)&gt;1,1,0)</f>
        <v>0</v>
      </c>
      <c r="N978" s="6" t="str">
        <f aca="false">IF(AND(C978&lt;Assumptions!$B$9,B978&lt;Assumptions!$B$10),"Irrigate Now",IF(AND(C978&gt;=Assumptions!$B$11,B978&gt;=Assumptions!$B$12),"No Irrigation Needed","Monitor"))</f>
        <v>Monitor</v>
      </c>
      <c r="O978" s="6" t="n">
        <f aca="false">IF(N978=G978,1,0)</f>
        <v>1</v>
      </c>
    </row>
    <row r="979" customFormat="false" ht="15" hidden="false" customHeight="false" outlineLevel="0" collapsed="false">
      <c r="A979" s="16" t="n">
        <v>21.92513945</v>
      </c>
      <c r="B979" s="16" t="n">
        <v>111.7162016</v>
      </c>
      <c r="C979" s="16" t="n">
        <v>24.5603308332164</v>
      </c>
      <c r="D979" s="6" t="s">
        <v>57</v>
      </c>
      <c r="E979" s="6" t="s">
        <v>57</v>
      </c>
      <c r="F979" s="6" t="s">
        <v>23</v>
      </c>
      <c r="G979" s="6" t="s">
        <v>61</v>
      </c>
      <c r="H979" s="6" t="s">
        <v>63</v>
      </c>
      <c r="I979" s="6" t="str">
        <f aca="false">IF(A979&lt;Outliers!$E$6,"Low",IF(A979&gt;Outliers!$F$6,"High",""))</f>
        <v/>
      </c>
      <c r="J979" s="6" t="str">
        <f aca="false">IF(B979&lt;Outliers!$E$7,"Low",IF(B979&gt;Outliers!$F$7,"High",""))</f>
        <v/>
      </c>
      <c r="K979" s="6" t="str">
        <f aca="false">IF(C979&lt;Outliers!$E$8,"Low",IF(C979&gt;Outliers!$F$8,"High",""))</f>
        <v/>
      </c>
      <c r="L979" s="6" t="str">
        <f aca="false">A979&amp;";"&amp;B979&amp;";"&amp;C979</f>
        <v>21.92513945;111.7162016;24.5603308332164</v>
      </c>
      <c r="M979" s="6" t="n">
        <f aca="false">IF(COUNTIF($L$2:$L$2201,L979)&gt;1,1,0)</f>
        <v>0</v>
      </c>
      <c r="N979" s="6" t="str">
        <f aca="false">IF(AND(C979&lt;Assumptions!$B$9,B979&lt;Assumptions!$B$10),"Irrigate Now",IF(AND(C979&gt;=Assumptions!$B$11,B979&gt;=Assumptions!$B$12),"No Irrigation Needed","Monitor"))</f>
        <v>Monitor</v>
      </c>
      <c r="O979" s="6" t="n">
        <f aca="false">IF(N979=G979,1,0)</f>
        <v>1</v>
      </c>
    </row>
    <row r="980" customFormat="false" ht="15" hidden="false" customHeight="false" outlineLevel="0" collapsed="false">
      <c r="A980" s="16" t="n">
        <v>24.83954414</v>
      </c>
      <c r="B980" s="16" t="n">
        <v>107.6435771</v>
      </c>
      <c r="C980" s="16" t="n">
        <v>15.5816750355477</v>
      </c>
      <c r="D980" s="6" t="s">
        <v>57</v>
      </c>
      <c r="E980" s="6" t="s">
        <v>57</v>
      </c>
      <c r="F980" s="6" t="s">
        <v>24</v>
      </c>
      <c r="G980" s="6" t="s">
        <v>61</v>
      </c>
      <c r="H980" s="6" t="s">
        <v>63</v>
      </c>
      <c r="I980" s="6" t="str">
        <f aca="false">IF(A980&lt;Outliers!$E$6,"Low",IF(A980&gt;Outliers!$F$6,"High",""))</f>
        <v/>
      </c>
      <c r="J980" s="6" t="str">
        <f aca="false">IF(B980&lt;Outliers!$E$7,"Low",IF(B980&gt;Outliers!$F$7,"High",""))</f>
        <v/>
      </c>
      <c r="K980" s="6" t="str">
        <f aca="false">IF(C980&lt;Outliers!$E$8,"Low",IF(C980&gt;Outliers!$F$8,"High",""))</f>
        <v/>
      </c>
      <c r="L980" s="6" t="str">
        <f aca="false">A980&amp;";"&amp;B980&amp;";"&amp;C980</f>
        <v>24.83954414;107.6435771;15.5816750355477</v>
      </c>
      <c r="M980" s="6" t="n">
        <f aca="false">IF(COUNTIF($L$2:$L$2201,L980)&gt;1,1,0)</f>
        <v>0</v>
      </c>
      <c r="N980" s="6" t="str">
        <f aca="false">IF(AND(C980&lt;Assumptions!$B$9,B980&lt;Assumptions!$B$10),"Irrigate Now",IF(AND(C980&gt;=Assumptions!$B$11,B980&gt;=Assumptions!$B$12),"No Irrigation Needed","Monitor"))</f>
        <v>Monitor</v>
      </c>
      <c r="O980" s="6" t="n">
        <f aca="false">IF(N980=G980,1,0)</f>
        <v>1</v>
      </c>
    </row>
    <row r="981" customFormat="false" ht="15" hidden="false" customHeight="false" outlineLevel="0" collapsed="false">
      <c r="A981" s="16" t="n">
        <v>18.09691127</v>
      </c>
      <c r="B981" s="16" t="n">
        <v>104.88189</v>
      </c>
      <c r="C981" s="16" t="n">
        <v>24.7255773805313</v>
      </c>
      <c r="D981" s="6" t="s">
        <v>66</v>
      </c>
      <c r="E981" s="6" t="s">
        <v>57</v>
      </c>
      <c r="F981" s="6" t="s">
        <v>23</v>
      </c>
      <c r="G981" s="6" t="s">
        <v>61</v>
      </c>
      <c r="H981" s="6" t="s">
        <v>63</v>
      </c>
      <c r="I981" s="6" t="str">
        <f aca="false">IF(A981&lt;Outliers!$E$6,"Low",IF(A981&gt;Outliers!$F$6,"High",""))</f>
        <v/>
      </c>
      <c r="J981" s="6" t="str">
        <f aca="false">IF(B981&lt;Outliers!$E$7,"Low",IF(B981&gt;Outliers!$F$7,"High",""))</f>
        <v/>
      </c>
      <c r="K981" s="6" t="str">
        <f aca="false">IF(C981&lt;Outliers!$E$8,"Low",IF(C981&gt;Outliers!$F$8,"High",""))</f>
        <v/>
      </c>
      <c r="L981" s="6" t="str">
        <f aca="false">A981&amp;";"&amp;B981&amp;";"&amp;C981</f>
        <v>18.09691127;104.88189;24.7255773805313</v>
      </c>
      <c r="M981" s="6" t="n">
        <f aca="false">IF(COUNTIF($L$2:$L$2201,L981)&gt;1,1,0)</f>
        <v>0</v>
      </c>
      <c r="N981" s="6" t="str">
        <f aca="false">IF(AND(C981&lt;Assumptions!$B$9,B981&lt;Assumptions!$B$10),"Irrigate Now",IF(AND(C981&gt;=Assumptions!$B$11,B981&gt;=Assumptions!$B$12),"No Irrigation Needed","Monitor"))</f>
        <v>Monitor</v>
      </c>
      <c r="O981" s="6" t="n">
        <f aca="false">IF(N981=G981,1,0)</f>
        <v>1</v>
      </c>
    </row>
    <row r="982" customFormat="false" ht="15" hidden="false" customHeight="false" outlineLevel="0" collapsed="false">
      <c r="A982" s="16" t="n">
        <v>20.24104904</v>
      </c>
      <c r="B982" s="16" t="n">
        <v>109.2537734</v>
      </c>
      <c r="C982" s="16" t="n">
        <v>22.1692479060669</v>
      </c>
      <c r="D982" s="6" t="s">
        <v>57</v>
      </c>
      <c r="E982" s="6" t="s">
        <v>57</v>
      </c>
      <c r="F982" s="6" t="s">
        <v>60</v>
      </c>
      <c r="G982" s="6" t="s">
        <v>61</v>
      </c>
      <c r="H982" s="6" t="s">
        <v>63</v>
      </c>
      <c r="I982" s="6" t="str">
        <f aca="false">IF(A982&lt;Outliers!$E$6,"Low",IF(A982&gt;Outliers!$F$6,"High",""))</f>
        <v/>
      </c>
      <c r="J982" s="6" t="str">
        <f aca="false">IF(B982&lt;Outliers!$E$7,"Low",IF(B982&gt;Outliers!$F$7,"High",""))</f>
        <v/>
      </c>
      <c r="K982" s="6" t="str">
        <f aca="false">IF(C982&lt;Outliers!$E$8,"Low",IF(C982&gt;Outliers!$F$8,"High",""))</f>
        <v/>
      </c>
      <c r="L982" s="6" t="str">
        <f aca="false">A982&amp;";"&amp;B982&amp;";"&amp;C982</f>
        <v>20.24104904;109.2537734;22.1692479060669</v>
      </c>
      <c r="M982" s="6" t="n">
        <f aca="false">IF(COUNTIF($L$2:$L$2201,L982)&gt;1,1,0)</f>
        <v>0</v>
      </c>
      <c r="N982" s="6" t="str">
        <f aca="false">IF(AND(C982&lt;Assumptions!$B$9,B982&lt;Assumptions!$B$10),"Irrigate Now",IF(AND(C982&gt;=Assumptions!$B$11,B982&gt;=Assumptions!$B$12),"No Irrigation Needed","Monitor"))</f>
        <v>Monitor</v>
      </c>
      <c r="O982" s="6" t="n">
        <f aca="false">IF(N982=G982,1,0)</f>
        <v>1</v>
      </c>
    </row>
    <row r="983" customFormat="false" ht="15" hidden="false" customHeight="false" outlineLevel="0" collapsed="false">
      <c r="A983" s="16" t="n">
        <v>23.22594</v>
      </c>
      <c r="B983" s="16" t="n">
        <v>105.6917856</v>
      </c>
      <c r="C983" s="16" t="n">
        <v>24.3059792370703</v>
      </c>
      <c r="D983" s="6" t="s">
        <v>57</v>
      </c>
      <c r="E983" s="6" t="s">
        <v>57</v>
      </c>
      <c r="F983" s="6" t="s">
        <v>23</v>
      </c>
      <c r="G983" s="6" t="s">
        <v>61</v>
      </c>
      <c r="H983" s="6" t="s">
        <v>63</v>
      </c>
      <c r="I983" s="6" t="str">
        <f aca="false">IF(A983&lt;Outliers!$E$6,"Low",IF(A983&gt;Outliers!$F$6,"High",""))</f>
        <v/>
      </c>
      <c r="J983" s="6" t="str">
        <f aca="false">IF(B983&lt;Outliers!$E$7,"Low",IF(B983&gt;Outliers!$F$7,"High",""))</f>
        <v/>
      </c>
      <c r="K983" s="6" t="str">
        <f aca="false">IF(C983&lt;Outliers!$E$8,"Low",IF(C983&gt;Outliers!$F$8,"High",""))</f>
        <v/>
      </c>
      <c r="L983" s="6" t="str">
        <f aca="false">A983&amp;";"&amp;B983&amp;";"&amp;C983</f>
        <v>23.22594;105.6917856;24.3059792370703</v>
      </c>
      <c r="M983" s="6" t="n">
        <f aca="false">IF(COUNTIF($L$2:$L$2201,L983)&gt;1,1,0)</f>
        <v>0</v>
      </c>
      <c r="N983" s="6" t="str">
        <f aca="false">IF(AND(C983&lt;Assumptions!$B$9,B983&lt;Assumptions!$B$10),"Irrigate Now",IF(AND(C983&gt;=Assumptions!$B$11,B983&gt;=Assumptions!$B$12),"No Irrigation Needed","Monitor"))</f>
        <v>Monitor</v>
      </c>
      <c r="O983" s="6" t="n">
        <f aca="false">IF(N983=G983,1,0)</f>
        <v>1</v>
      </c>
    </row>
    <row r="984" customFormat="false" ht="15" hidden="false" customHeight="false" outlineLevel="0" collapsed="false">
      <c r="A984" s="16" t="n">
        <v>23.50128217</v>
      </c>
      <c r="B984" s="16" t="n">
        <v>106.61905</v>
      </c>
      <c r="C984" s="16" t="n">
        <v>29.9787023317215</v>
      </c>
      <c r="D984" s="6" t="s">
        <v>57</v>
      </c>
      <c r="E984" s="6" t="s">
        <v>57</v>
      </c>
      <c r="F984" s="6" t="s">
        <v>23</v>
      </c>
      <c r="G984" s="6" t="s">
        <v>58</v>
      </c>
      <c r="H984" s="6" t="s">
        <v>59</v>
      </c>
      <c r="I984" s="6" t="str">
        <f aca="false">IF(A984&lt;Outliers!$E$6,"Low",IF(A984&gt;Outliers!$F$6,"High",""))</f>
        <v/>
      </c>
      <c r="J984" s="6" t="str">
        <f aca="false">IF(B984&lt;Outliers!$E$7,"Low",IF(B984&gt;Outliers!$F$7,"High",""))</f>
        <v/>
      </c>
      <c r="K984" s="6" t="str">
        <f aca="false">IF(C984&lt;Outliers!$E$8,"Low",IF(C984&gt;Outliers!$F$8,"High",""))</f>
        <v/>
      </c>
      <c r="L984" s="6" t="str">
        <f aca="false">A984&amp;";"&amp;B984&amp;";"&amp;C984</f>
        <v>23.50128217;106.61905;29.9787023317215</v>
      </c>
      <c r="M984" s="6" t="n">
        <f aca="false">IF(COUNTIF($L$2:$L$2201,L984)&gt;1,1,0)</f>
        <v>0</v>
      </c>
      <c r="N984" s="6" t="str">
        <f aca="false">IF(AND(C984&lt;Assumptions!$B$9,B984&lt;Assumptions!$B$10),"Irrigate Now",IF(AND(C984&gt;=Assumptions!$B$11,B984&gt;=Assumptions!$B$12),"No Irrigation Needed","Monitor"))</f>
        <v>No Irrigation Needed</v>
      </c>
      <c r="O984" s="6" t="n">
        <f aca="false">IF(N984=G984,1,0)</f>
        <v>1</v>
      </c>
    </row>
    <row r="985" customFormat="false" ht="15" hidden="false" customHeight="false" outlineLevel="0" collapsed="false">
      <c r="A985" s="16" t="n">
        <v>19.44623085</v>
      </c>
      <c r="B985" s="16" t="n">
        <v>106.1606833</v>
      </c>
      <c r="C985" s="16" t="n">
        <v>24.1194900949905</v>
      </c>
      <c r="D985" s="6" t="s">
        <v>66</v>
      </c>
      <c r="E985" s="6" t="s">
        <v>57</v>
      </c>
      <c r="F985" s="6" t="s">
        <v>23</v>
      </c>
      <c r="G985" s="6" t="s">
        <v>61</v>
      </c>
      <c r="H985" s="6" t="s">
        <v>63</v>
      </c>
      <c r="I985" s="6" t="str">
        <f aca="false">IF(A985&lt;Outliers!$E$6,"Low",IF(A985&gt;Outliers!$F$6,"High",""))</f>
        <v/>
      </c>
      <c r="J985" s="6" t="str">
        <f aca="false">IF(B985&lt;Outliers!$E$7,"Low",IF(B985&gt;Outliers!$F$7,"High",""))</f>
        <v/>
      </c>
      <c r="K985" s="6" t="str">
        <f aca="false">IF(C985&lt;Outliers!$E$8,"Low",IF(C985&gt;Outliers!$F$8,"High",""))</f>
        <v/>
      </c>
      <c r="L985" s="6" t="str">
        <f aca="false">A985&amp;";"&amp;B985&amp;";"&amp;C985</f>
        <v>19.44623085;106.1606833;24.1194900949905</v>
      </c>
      <c r="M985" s="6" t="n">
        <f aca="false">IF(COUNTIF($L$2:$L$2201,L985)&gt;1,1,0)</f>
        <v>0</v>
      </c>
      <c r="N985" s="6" t="str">
        <f aca="false">IF(AND(C985&lt;Assumptions!$B$9,B985&lt;Assumptions!$B$10),"Irrigate Now",IF(AND(C985&gt;=Assumptions!$B$11,B985&gt;=Assumptions!$B$12),"No Irrigation Needed","Monitor"))</f>
        <v>Monitor</v>
      </c>
      <c r="O985" s="6" t="n">
        <f aca="false">IF(N985=G985,1,0)</f>
        <v>1</v>
      </c>
    </row>
    <row r="986" customFormat="false" ht="15" hidden="false" customHeight="false" outlineLevel="0" collapsed="false">
      <c r="A986" s="16" t="n">
        <v>20.51343484</v>
      </c>
      <c r="B986" s="16" t="n">
        <v>110.5764023</v>
      </c>
      <c r="C986" s="16" t="n">
        <v>28.944356438978</v>
      </c>
      <c r="D986" s="6" t="s">
        <v>57</v>
      </c>
      <c r="E986" s="6" t="s">
        <v>57</v>
      </c>
      <c r="F986" s="6" t="s">
        <v>23</v>
      </c>
      <c r="G986" s="6" t="s">
        <v>58</v>
      </c>
      <c r="H986" s="6" t="s">
        <v>59</v>
      </c>
      <c r="I986" s="6" t="str">
        <f aca="false">IF(A986&lt;Outliers!$E$6,"Low",IF(A986&gt;Outliers!$F$6,"High",""))</f>
        <v/>
      </c>
      <c r="J986" s="6" t="str">
        <f aca="false">IF(B986&lt;Outliers!$E$7,"Low",IF(B986&gt;Outliers!$F$7,"High",""))</f>
        <v/>
      </c>
      <c r="K986" s="6" t="str">
        <f aca="false">IF(C986&lt;Outliers!$E$8,"Low",IF(C986&gt;Outliers!$F$8,"High",""))</f>
        <v/>
      </c>
      <c r="L986" s="6" t="str">
        <f aca="false">A986&amp;";"&amp;B986&amp;";"&amp;C986</f>
        <v>20.51343484;110.5764023;28.944356438978</v>
      </c>
      <c r="M986" s="6" t="n">
        <f aca="false">IF(COUNTIF($L$2:$L$2201,L986)&gt;1,1,0)</f>
        <v>0</v>
      </c>
      <c r="N986" s="6" t="str">
        <f aca="false">IF(AND(C986&lt;Assumptions!$B$9,B986&lt;Assumptions!$B$10),"Irrigate Now",IF(AND(C986&gt;=Assumptions!$B$11,B986&gt;=Assumptions!$B$12),"No Irrigation Needed","Monitor"))</f>
        <v>No Irrigation Needed</v>
      </c>
      <c r="O986" s="6" t="n">
        <f aca="false">IF(N986=G986,1,0)</f>
        <v>1</v>
      </c>
    </row>
    <row r="987" customFormat="false" ht="15" hidden="false" customHeight="false" outlineLevel="0" collapsed="false">
      <c r="A987" s="16" t="n">
        <v>18.90223032</v>
      </c>
      <c r="B987" s="16" t="n">
        <v>107.6103211</v>
      </c>
      <c r="C987" s="16" t="n">
        <v>10.9257632279698</v>
      </c>
      <c r="D987" s="6" t="s">
        <v>66</v>
      </c>
      <c r="E987" s="6" t="s">
        <v>57</v>
      </c>
      <c r="F987" s="6" t="s">
        <v>24</v>
      </c>
      <c r="G987" s="6" t="s">
        <v>61</v>
      </c>
      <c r="H987" s="6" t="s">
        <v>63</v>
      </c>
      <c r="I987" s="6" t="str">
        <f aca="false">IF(A987&lt;Outliers!$E$6,"Low",IF(A987&gt;Outliers!$F$6,"High",""))</f>
        <v/>
      </c>
      <c r="J987" s="6" t="str">
        <f aca="false">IF(B987&lt;Outliers!$E$7,"Low",IF(B987&gt;Outliers!$F$7,"High",""))</f>
        <v/>
      </c>
      <c r="K987" s="6" t="str">
        <f aca="false">IF(C987&lt;Outliers!$E$8,"Low",IF(C987&gt;Outliers!$F$8,"High",""))</f>
        <v/>
      </c>
      <c r="L987" s="6" t="str">
        <f aca="false">A987&amp;";"&amp;B987&amp;";"&amp;C987</f>
        <v>18.90223032;107.6103211;10.9257632279698</v>
      </c>
      <c r="M987" s="6" t="n">
        <f aca="false">IF(COUNTIF($L$2:$L$2201,L987)&gt;1,1,0)</f>
        <v>0</v>
      </c>
      <c r="N987" s="6" t="str">
        <f aca="false">IF(AND(C987&lt;Assumptions!$B$9,B987&lt;Assumptions!$B$10),"Irrigate Now",IF(AND(C987&gt;=Assumptions!$B$11,B987&gt;=Assumptions!$B$12),"No Irrigation Needed","Monitor"))</f>
        <v>Monitor</v>
      </c>
      <c r="O987" s="6" t="n">
        <f aca="false">IF(N987=G987,1,0)</f>
        <v>1</v>
      </c>
    </row>
    <row r="988" customFormat="false" ht="15" hidden="false" customHeight="false" outlineLevel="0" collapsed="false">
      <c r="A988" s="16" t="n">
        <v>18.90592319</v>
      </c>
      <c r="B988" s="16" t="n">
        <v>112.4750941</v>
      </c>
      <c r="C988" s="16" t="n">
        <v>26.9140329734858</v>
      </c>
      <c r="D988" s="6" t="s">
        <v>66</v>
      </c>
      <c r="E988" s="6" t="s">
        <v>57</v>
      </c>
      <c r="F988" s="6" t="s">
        <v>23</v>
      </c>
      <c r="G988" s="6" t="s">
        <v>58</v>
      </c>
      <c r="H988" s="6" t="s">
        <v>59</v>
      </c>
      <c r="I988" s="6" t="str">
        <f aca="false">IF(A988&lt;Outliers!$E$6,"Low",IF(A988&gt;Outliers!$F$6,"High",""))</f>
        <v/>
      </c>
      <c r="J988" s="6" t="str">
        <f aca="false">IF(B988&lt;Outliers!$E$7,"Low",IF(B988&gt;Outliers!$F$7,"High",""))</f>
        <v/>
      </c>
      <c r="K988" s="6" t="str">
        <f aca="false">IF(C988&lt;Outliers!$E$8,"Low",IF(C988&gt;Outliers!$F$8,"High",""))</f>
        <v/>
      </c>
      <c r="L988" s="6" t="str">
        <f aca="false">A988&amp;";"&amp;B988&amp;";"&amp;C988</f>
        <v>18.90592319;112.4750941;26.9140329734858</v>
      </c>
      <c r="M988" s="6" t="n">
        <f aca="false">IF(COUNTIF($L$2:$L$2201,L988)&gt;1,1,0)</f>
        <v>0</v>
      </c>
      <c r="N988" s="6" t="str">
        <f aca="false">IF(AND(C988&lt;Assumptions!$B$9,B988&lt;Assumptions!$B$10),"Irrigate Now",IF(AND(C988&gt;=Assumptions!$B$11,B988&gt;=Assumptions!$B$12),"No Irrigation Needed","Monitor"))</f>
        <v>No Irrigation Needed</v>
      </c>
      <c r="O988" s="6" t="n">
        <f aca="false">IF(N988=G988,1,0)</f>
        <v>1</v>
      </c>
    </row>
    <row r="989" customFormat="false" ht="15" hidden="false" customHeight="false" outlineLevel="0" collapsed="false">
      <c r="A989" s="16" t="n">
        <v>22.63045168</v>
      </c>
      <c r="B989" s="16" t="n">
        <v>109.0357597</v>
      </c>
      <c r="C989" s="16" t="n">
        <v>24.1671884514355</v>
      </c>
      <c r="D989" s="6" t="s">
        <v>57</v>
      </c>
      <c r="E989" s="6" t="s">
        <v>57</v>
      </c>
      <c r="F989" s="6" t="s">
        <v>23</v>
      </c>
      <c r="G989" s="6" t="s">
        <v>61</v>
      </c>
      <c r="H989" s="6" t="s">
        <v>63</v>
      </c>
      <c r="I989" s="6" t="str">
        <f aca="false">IF(A989&lt;Outliers!$E$6,"Low",IF(A989&gt;Outliers!$F$6,"High",""))</f>
        <v/>
      </c>
      <c r="J989" s="6" t="str">
        <f aca="false">IF(B989&lt;Outliers!$E$7,"Low",IF(B989&gt;Outliers!$F$7,"High",""))</f>
        <v/>
      </c>
      <c r="K989" s="6" t="str">
        <f aca="false">IF(C989&lt;Outliers!$E$8,"Low",IF(C989&gt;Outliers!$F$8,"High",""))</f>
        <v/>
      </c>
      <c r="L989" s="6" t="str">
        <f aca="false">A989&amp;";"&amp;B989&amp;";"&amp;C989</f>
        <v>22.63045168;109.0357597;24.1671884514355</v>
      </c>
      <c r="M989" s="6" t="n">
        <f aca="false">IF(COUNTIF($L$2:$L$2201,L989)&gt;1,1,0)</f>
        <v>0</v>
      </c>
      <c r="N989" s="6" t="str">
        <f aca="false">IF(AND(C989&lt;Assumptions!$B$9,B989&lt;Assumptions!$B$10),"Irrigate Now",IF(AND(C989&gt;=Assumptions!$B$11,B989&gt;=Assumptions!$B$12),"No Irrigation Needed","Monitor"))</f>
        <v>Monitor</v>
      </c>
      <c r="O989" s="6" t="n">
        <f aca="false">IF(N989=G989,1,0)</f>
        <v>1</v>
      </c>
    </row>
    <row r="990" customFormat="false" ht="15" hidden="false" customHeight="false" outlineLevel="0" collapsed="false">
      <c r="A990" s="16" t="n">
        <v>19.38603815</v>
      </c>
      <c r="B990" s="16" t="n">
        <v>109.9130984</v>
      </c>
      <c r="C990" s="16" t="n">
        <v>26.693873208228</v>
      </c>
      <c r="D990" s="6" t="s">
        <v>66</v>
      </c>
      <c r="E990" s="6" t="s">
        <v>57</v>
      </c>
      <c r="F990" s="6" t="s">
        <v>23</v>
      </c>
      <c r="G990" s="6" t="s">
        <v>58</v>
      </c>
      <c r="H990" s="6" t="s">
        <v>59</v>
      </c>
      <c r="I990" s="6" t="str">
        <f aca="false">IF(A990&lt;Outliers!$E$6,"Low",IF(A990&gt;Outliers!$F$6,"High",""))</f>
        <v/>
      </c>
      <c r="J990" s="6" t="str">
        <f aca="false">IF(B990&lt;Outliers!$E$7,"Low",IF(B990&gt;Outliers!$F$7,"High",""))</f>
        <v/>
      </c>
      <c r="K990" s="6" t="str">
        <f aca="false">IF(C990&lt;Outliers!$E$8,"Low",IF(C990&gt;Outliers!$F$8,"High",""))</f>
        <v/>
      </c>
      <c r="L990" s="6" t="str">
        <f aca="false">A990&amp;";"&amp;B990&amp;";"&amp;C990</f>
        <v>19.38603815;109.9130984;26.693873208228</v>
      </c>
      <c r="M990" s="6" t="n">
        <f aca="false">IF(COUNTIF($L$2:$L$2201,L990)&gt;1,1,0)</f>
        <v>0</v>
      </c>
      <c r="N990" s="6" t="str">
        <f aca="false">IF(AND(C990&lt;Assumptions!$B$9,B990&lt;Assumptions!$B$10),"Irrigate Now",IF(AND(C990&gt;=Assumptions!$B$11,B990&gt;=Assumptions!$B$12),"No Irrigation Needed","Monitor"))</f>
        <v>No Irrigation Needed</v>
      </c>
      <c r="O990" s="6" t="n">
        <f aca="false">IF(N990=G990,1,0)</f>
        <v>1</v>
      </c>
    </row>
    <row r="991" customFormat="false" ht="15" hidden="false" customHeight="false" outlineLevel="0" collapsed="false">
      <c r="A991" s="16" t="n">
        <v>24.38318965</v>
      </c>
      <c r="B991" s="16" t="n">
        <v>103.6012114</v>
      </c>
      <c r="C991" s="16" t="n">
        <v>17.8524540539494</v>
      </c>
      <c r="D991" s="6" t="s">
        <v>57</v>
      </c>
      <c r="E991" s="6" t="s">
        <v>57</v>
      </c>
      <c r="F991" s="6" t="s">
        <v>60</v>
      </c>
      <c r="G991" s="6" t="s">
        <v>61</v>
      </c>
      <c r="H991" s="6" t="s">
        <v>63</v>
      </c>
      <c r="I991" s="6" t="str">
        <f aca="false">IF(A991&lt;Outliers!$E$6,"Low",IF(A991&gt;Outliers!$F$6,"High",""))</f>
        <v/>
      </c>
      <c r="J991" s="6" t="str">
        <f aca="false">IF(B991&lt;Outliers!$E$7,"Low",IF(B991&gt;Outliers!$F$7,"High",""))</f>
        <v/>
      </c>
      <c r="K991" s="6" t="str">
        <f aca="false">IF(C991&lt;Outliers!$E$8,"Low",IF(C991&gt;Outliers!$F$8,"High",""))</f>
        <v/>
      </c>
      <c r="L991" s="6" t="str">
        <f aca="false">A991&amp;";"&amp;B991&amp;";"&amp;C991</f>
        <v>24.38318965;103.6012114;17.8524540539494</v>
      </c>
      <c r="M991" s="6" t="n">
        <f aca="false">IF(COUNTIF($L$2:$L$2201,L991)&gt;1,1,0)</f>
        <v>0</v>
      </c>
      <c r="N991" s="6" t="str">
        <f aca="false">IF(AND(C991&lt;Assumptions!$B$9,B991&lt;Assumptions!$B$10),"Irrigate Now",IF(AND(C991&gt;=Assumptions!$B$11,B991&gt;=Assumptions!$B$12),"No Irrigation Needed","Monitor"))</f>
        <v>Monitor</v>
      </c>
      <c r="O991" s="6" t="n">
        <f aca="false">IF(N991=G991,1,0)</f>
        <v>1</v>
      </c>
    </row>
    <row r="992" customFormat="false" ht="15" hidden="false" customHeight="false" outlineLevel="0" collapsed="false">
      <c r="A992" s="16" t="n">
        <v>23.77989026</v>
      </c>
      <c r="B992" s="16" t="n">
        <v>106.977723</v>
      </c>
      <c r="C992" s="16" t="n">
        <v>19.4684678104586</v>
      </c>
      <c r="D992" s="6" t="s">
        <v>57</v>
      </c>
      <c r="E992" s="6" t="s">
        <v>57</v>
      </c>
      <c r="F992" s="6" t="s">
        <v>60</v>
      </c>
      <c r="G992" s="6" t="s">
        <v>61</v>
      </c>
      <c r="H992" s="6" t="s">
        <v>63</v>
      </c>
      <c r="I992" s="6" t="str">
        <f aca="false">IF(A992&lt;Outliers!$E$6,"Low",IF(A992&gt;Outliers!$F$6,"High",""))</f>
        <v/>
      </c>
      <c r="J992" s="6" t="str">
        <f aca="false">IF(B992&lt;Outliers!$E$7,"Low",IF(B992&gt;Outliers!$F$7,"High",""))</f>
        <v/>
      </c>
      <c r="K992" s="6" t="str">
        <f aca="false">IF(C992&lt;Outliers!$E$8,"Low",IF(C992&gt;Outliers!$F$8,"High",""))</f>
        <v/>
      </c>
      <c r="L992" s="6" t="str">
        <f aca="false">A992&amp;";"&amp;B992&amp;";"&amp;C992</f>
        <v>23.77989026;106.977723;19.4684678104586</v>
      </c>
      <c r="M992" s="6" t="n">
        <f aca="false">IF(COUNTIF($L$2:$L$2201,L992)&gt;1,1,0)</f>
        <v>0</v>
      </c>
      <c r="N992" s="6" t="str">
        <f aca="false">IF(AND(C992&lt;Assumptions!$B$9,B992&lt;Assumptions!$B$10),"Irrigate Now",IF(AND(C992&gt;=Assumptions!$B$11,B992&gt;=Assumptions!$B$12),"No Irrigation Needed","Monitor"))</f>
        <v>Monitor</v>
      </c>
      <c r="O992" s="6" t="n">
        <f aca="false">IF(N992=G992,1,0)</f>
        <v>1</v>
      </c>
    </row>
    <row r="993" customFormat="false" ht="15" hidden="false" customHeight="false" outlineLevel="0" collapsed="false">
      <c r="A993" s="16" t="n">
        <v>22.59890174</v>
      </c>
      <c r="B993" s="16" t="n">
        <v>110.0932899</v>
      </c>
      <c r="C993" s="16" t="n">
        <v>28.2004683031778</v>
      </c>
      <c r="D993" s="6" t="s">
        <v>57</v>
      </c>
      <c r="E993" s="6" t="s">
        <v>57</v>
      </c>
      <c r="F993" s="6" t="s">
        <v>23</v>
      </c>
      <c r="G993" s="6" t="s">
        <v>58</v>
      </c>
      <c r="H993" s="6" t="s">
        <v>59</v>
      </c>
      <c r="I993" s="6" t="str">
        <f aca="false">IF(A993&lt;Outliers!$E$6,"Low",IF(A993&gt;Outliers!$F$6,"High",""))</f>
        <v/>
      </c>
      <c r="J993" s="6" t="str">
        <f aca="false">IF(B993&lt;Outliers!$E$7,"Low",IF(B993&gt;Outliers!$F$7,"High",""))</f>
        <v/>
      </c>
      <c r="K993" s="6" t="str">
        <f aca="false">IF(C993&lt;Outliers!$E$8,"Low",IF(C993&gt;Outliers!$F$8,"High",""))</f>
        <v/>
      </c>
      <c r="L993" s="6" t="str">
        <f aca="false">A993&amp;";"&amp;B993&amp;";"&amp;C993</f>
        <v>22.59890174;110.0932899;28.2004683031778</v>
      </c>
      <c r="M993" s="6" t="n">
        <f aca="false">IF(COUNTIF($L$2:$L$2201,L993)&gt;1,1,0)</f>
        <v>0</v>
      </c>
      <c r="N993" s="6" t="str">
        <f aca="false">IF(AND(C993&lt;Assumptions!$B$9,B993&lt;Assumptions!$B$10),"Irrigate Now",IF(AND(C993&gt;=Assumptions!$B$11,B993&gt;=Assumptions!$B$12),"No Irrigation Needed","Monitor"))</f>
        <v>No Irrigation Needed</v>
      </c>
      <c r="O993" s="6" t="n">
        <f aca="false">IF(N993=G993,1,0)</f>
        <v>1</v>
      </c>
    </row>
    <row r="994" customFormat="false" ht="15" hidden="false" customHeight="false" outlineLevel="0" collapsed="false">
      <c r="A994" s="16" t="n">
        <v>24.37766782</v>
      </c>
      <c r="B994" s="16" t="n">
        <v>106.128338</v>
      </c>
      <c r="C994" s="16" t="n">
        <v>10.42954037792</v>
      </c>
      <c r="D994" s="6" t="s">
        <v>57</v>
      </c>
      <c r="E994" s="6" t="s">
        <v>57</v>
      </c>
      <c r="F994" s="6" t="s">
        <v>24</v>
      </c>
      <c r="G994" s="6" t="s">
        <v>61</v>
      </c>
      <c r="H994" s="6" t="s">
        <v>63</v>
      </c>
      <c r="I994" s="6" t="str">
        <f aca="false">IF(A994&lt;Outliers!$E$6,"Low",IF(A994&gt;Outliers!$F$6,"High",""))</f>
        <v/>
      </c>
      <c r="J994" s="6" t="str">
        <f aca="false">IF(B994&lt;Outliers!$E$7,"Low",IF(B994&gt;Outliers!$F$7,"High",""))</f>
        <v/>
      </c>
      <c r="K994" s="6" t="str">
        <f aca="false">IF(C994&lt;Outliers!$E$8,"Low",IF(C994&gt;Outliers!$F$8,"High",""))</f>
        <v/>
      </c>
      <c r="L994" s="6" t="str">
        <f aca="false">A994&amp;";"&amp;B994&amp;";"&amp;C994</f>
        <v>24.37766782;106.128338;10.42954037792</v>
      </c>
      <c r="M994" s="6" t="n">
        <f aca="false">IF(COUNTIF($L$2:$L$2201,L994)&gt;1,1,0)</f>
        <v>0</v>
      </c>
      <c r="N994" s="6" t="str">
        <f aca="false">IF(AND(C994&lt;Assumptions!$B$9,B994&lt;Assumptions!$B$10),"Irrigate Now",IF(AND(C994&gt;=Assumptions!$B$11,B994&gt;=Assumptions!$B$12),"No Irrigation Needed","Monitor"))</f>
        <v>Monitor</v>
      </c>
      <c r="O994" s="6" t="n">
        <f aca="false">IF(N994=G994,1,0)</f>
        <v>1</v>
      </c>
    </row>
    <row r="995" customFormat="false" ht="15" hidden="false" customHeight="false" outlineLevel="0" collapsed="false">
      <c r="A995" s="16" t="n">
        <v>20.89273273</v>
      </c>
      <c r="B995" s="16" t="n">
        <v>104.4407083</v>
      </c>
      <c r="C995" s="16" t="n">
        <v>11.453598233313</v>
      </c>
      <c r="D995" s="6" t="s">
        <v>57</v>
      </c>
      <c r="E995" s="6" t="s">
        <v>57</v>
      </c>
      <c r="F995" s="6" t="s">
        <v>24</v>
      </c>
      <c r="G995" s="6" t="s">
        <v>61</v>
      </c>
      <c r="H995" s="6" t="s">
        <v>63</v>
      </c>
      <c r="I995" s="6" t="str">
        <f aca="false">IF(A995&lt;Outliers!$E$6,"Low",IF(A995&gt;Outliers!$F$6,"High",""))</f>
        <v/>
      </c>
      <c r="J995" s="6" t="str">
        <f aca="false">IF(B995&lt;Outliers!$E$7,"Low",IF(B995&gt;Outliers!$F$7,"High",""))</f>
        <v/>
      </c>
      <c r="K995" s="6" t="str">
        <f aca="false">IF(C995&lt;Outliers!$E$8,"Low",IF(C995&gt;Outliers!$F$8,"High",""))</f>
        <v/>
      </c>
      <c r="L995" s="6" t="str">
        <f aca="false">A995&amp;";"&amp;B995&amp;";"&amp;C995</f>
        <v>20.89273273;104.4407083;11.453598233313</v>
      </c>
      <c r="M995" s="6" t="n">
        <f aca="false">IF(COUNTIF($L$2:$L$2201,L995)&gt;1,1,0)</f>
        <v>0</v>
      </c>
      <c r="N995" s="6" t="str">
        <f aca="false">IF(AND(C995&lt;Assumptions!$B$9,B995&lt;Assumptions!$B$10),"Irrigate Now",IF(AND(C995&gt;=Assumptions!$B$11,B995&gt;=Assumptions!$B$12),"No Irrigation Needed","Monitor"))</f>
        <v>Monitor</v>
      </c>
      <c r="O995" s="6" t="n">
        <f aca="false">IF(N995=G995,1,0)</f>
        <v>1</v>
      </c>
    </row>
    <row r="996" customFormat="false" ht="15" hidden="false" customHeight="false" outlineLevel="0" collapsed="false">
      <c r="A996" s="16" t="n">
        <v>18.09903225</v>
      </c>
      <c r="B996" s="16" t="n">
        <v>107.0050976</v>
      </c>
      <c r="C996" s="16" t="n">
        <v>12.3588029904934</v>
      </c>
      <c r="D996" s="6" t="s">
        <v>66</v>
      </c>
      <c r="E996" s="6" t="s">
        <v>57</v>
      </c>
      <c r="F996" s="6" t="s">
        <v>24</v>
      </c>
      <c r="G996" s="6" t="s">
        <v>61</v>
      </c>
      <c r="H996" s="6" t="s">
        <v>63</v>
      </c>
      <c r="I996" s="6" t="str">
        <f aca="false">IF(A996&lt;Outliers!$E$6,"Low",IF(A996&gt;Outliers!$F$6,"High",""))</f>
        <v/>
      </c>
      <c r="J996" s="6" t="str">
        <f aca="false">IF(B996&lt;Outliers!$E$7,"Low",IF(B996&gt;Outliers!$F$7,"High",""))</f>
        <v/>
      </c>
      <c r="K996" s="6" t="str">
        <f aca="false">IF(C996&lt;Outliers!$E$8,"Low",IF(C996&gt;Outliers!$F$8,"High",""))</f>
        <v/>
      </c>
      <c r="L996" s="6" t="str">
        <f aca="false">A996&amp;";"&amp;B996&amp;";"&amp;C996</f>
        <v>18.09903225;107.0050976;12.3588029904934</v>
      </c>
      <c r="M996" s="6" t="n">
        <f aca="false">IF(COUNTIF($L$2:$L$2201,L996)&gt;1,1,0)</f>
        <v>0</v>
      </c>
      <c r="N996" s="6" t="str">
        <f aca="false">IF(AND(C996&lt;Assumptions!$B$9,B996&lt;Assumptions!$B$10),"Irrigate Now",IF(AND(C996&gt;=Assumptions!$B$11,B996&gt;=Assumptions!$B$12),"No Irrigation Needed","Monitor"))</f>
        <v>Monitor</v>
      </c>
      <c r="O996" s="6" t="n">
        <f aca="false">IF(N996=G996,1,0)</f>
        <v>1</v>
      </c>
    </row>
    <row r="997" customFormat="false" ht="15" hidden="false" customHeight="false" outlineLevel="0" collapsed="false">
      <c r="A997" s="16" t="n">
        <v>20.00218987</v>
      </c>
      <c r="B997" s="16" t="n">
        <v>112.337046</v>
      </c>
      <c r="C997" s="16" t="n">
        <v>28.8340021897824</v>
      </c>
      <c r="D997" s="6" t="s">
        <v>57</v>
      </c>
      <c r="E997" s="6" t="s">
        <v>57</v>
      </c>
      <c r="F997" s="6" t="s">
        <v>23</v>
      </c>
      <c r="G997" s="6" t="s">
        <v>58</v>
      </c>
      <c r="H997" s="6" t="s">
        <v>59</v>
      </c>
      <c r="I997" s="6" t="str">
        <f aca="false">IF(A997&lt;Outliers!$E$6,"Low",IF(A997&gt;Outliers!$F$6,"High",""))</f>
        <v/>
      </c>
      <c r="J997" s="6" t="str">
        <f aca="false">IF(B997&lt;Outliers!$E$7,"Low",IF(B997&gt;Outliers!$F$7,"High",""))</f>
        <v/>
      </c>
      <c r="K997" s="6" t="str">
        <f aca="false">IF(C997&lt;Outliers!$E$8,"Low",IF(C997&gt;Outliers!$F$8,"High",""))</f>
        <v/>
      </c>
      <c r="L997" s="6" t="str">
        <f aca="false">A997&amp;";"&amp;B997&amp;";"&amp;C997</f>
        <v>20.00218987;112.337046;28.8340021897824</v>
      </c>
      <c r="M997" s="6" t="n">
        <f aca="false">IF(COUNTIF($L$2:$L$2201,L997)&gt;1,1,0)</f>
        <v>0</v>
      </c>
      <c r="N997" s="6" t="str">
        <f aca="false">IF(AND(C997&lt;Assumptions!$B$9,B997&lt;Assumptions!$B$10),"Irrigate Now",IF(AND(C997&gt;=Assumptions!$B$11,B997&gt;=Assumptions!$B$12),"No Irrigation Needed","Monitor"))</f>
        <v>No Irrigation Needed</v>
      </c>
      <c r="O997" s="6" t="n">
        <f aca="false">IF(N997=G997,1,0)</f>
        <v>1</v>
      </c>
    </row>
    <row r="998" customFormat="false" ht="15" hidden="false" customHeight="false" outlineLevel="0" collapsed="false">
      <c r="A998" s="16" t="n">
        <v>19.85139326</v>
      </c>
      <c r="B998" s="16" t="n">
        <v>102.8186358</v>
      </c>
      <c r="C998" s="16" t="n">
        <v>20.6629509935466</v>
      </c>
      <c r="D998" s="6" t="s">
        <v>66</v>
      </c>
      <c r="E998" s="6" t="s">
        <v>57</v>
      </c>
      <c r="F998" s="6" t="s">
        <v>60</v>
      </c>
      <c r="G998" s="6" t="s">
        <v>61</v>
      </c>
      <c r="H998" s="6" t="s">
        <v>63</v>
      </c>
      <c r="I998" s="6" t="str">
        <f aca="false">IF(A998&lt;Outliers!$E$6,"Low",IF(A998&gt;Outliers!$F$6,"High",""))</f>
        <v/>
      </c>
      <c r="J998" s="6" t="str">
        <f aca="false">IF(B998&lt;Outliers!$E$7,"Low",IF(B998&gt;Outliers!$F$7,"High",""))</f>
        <v/>
      </c>
      <c r="K998" s="6" t="str">
        <f aca="false">IF(C998&lt;Outliers!$E$8,"Low",IF(C998&gt;Outliers!$F$8,"High",""))</f>
        <v/>
      </c>
      <c r="L998" s="6" t="str">
        <f aca="false">A998&amp;";"&amp;B998&amp;";"&amp;C998</f>
        <v>19.85139326;102.8186358;20.6629509935466</v>
      </c>
      <c r="M998" s="6" t="n">
        <f aca="false">IF(COUNTIF($L$2:$L$2201,L998)&gt;1,1,0)</f>
        <v>0</v>
      </c>
      <c r="N998" s="6" t="str">
        <f aca="false">IF(AND(C998&lt;Assumptions!$B$9,B998&lt;Assumptions!$B$10),"Irrigate Now",IF(AND(C998&gt;=Assumptions!$B$11,B998&gt;=Assumptions!$B$12),"No Irrigation Needed","Monitor"))</f>
        <v>Monitor</v>
      </c>
      <c r="O998" s="6" t="n">
        <f aca="false">IF(N998=G998,1,0)</f>
        <v>1</v>
      </c>
    </row>
    <row r="999" customFormat="false" ht="15" hidden="false" customHeight="false" outlineLevel="0" collapsed="false">
      <c r="A999" s="16" t="n">
        <v>21.25433607</v>
      </c>
      <c r="B999" s="16" t="n">
        <v>106.2784673</v>
      </c>
      <c r="C999" s="16" t="n">
        <v>24.4756547018454</v>
      </c>
      <c r="D999" s="6" t="s">
        <v>57</v>
      </c>
      <c r="E999" s="6" t="s">
        <v>57</v>
      </c>
      <c r="F999" s="6" t="s">
        <v>23</v>
      </c>
      <c r="G999" s="6" t="s">
        <v>61</v>
      </c>
      <c r="H999" s="6" t="s">
        <v>63</v>
      </c>
      <c r="I999" s="6" t="str">
        <f aca="false">IF(A999&lt;Outliers!$E$6,"Low",IF(A999&gt;Outliers!$F$6,"High",""))</f>
        <v/>
      </c>
      <c r="J999" s="6" t="str">
        <f aca="false">IF(B999&lt;Outliers!$E$7,"Low",IF(B999&gt;Outliers!$F$7,"High",""))</f>
        <v/>
      </c>
      <c r="K999" s="6" t="str">
        <f aca="false">IF(C999&lt;Outliers!$E$8,"Low",IF(C999&gt;Outliers!$F$8,"High",""))</f>
        <v/>
      </c>
      <c r="L999" s="6" t="str">
        <f aca="false">A999&amp;";"&amp;B999&amp;";"&amp;C999</f>
        <v>21.25433607;106.2784673;24.4756547018454</v>
      </c>
      <c r="M999" s="6" t="n">
        <f aca="false">IF(COUNTIF($L$2:$L$2201,L999)&gt;1,1,0)</f>
        <v>0</v>
      </c>
      <c r="N999" s="6" t="str">
        <f aca="false">IF(AND(C999&lt;Assumptions!$B$9,B999&lt;Assumptions!$B$10),"Irrigate Now",IF(AND(C999&gt;=Assumptions!$B$11,B999&gt;=Assumptions!$B$12),"No Irrigation Needed","Monitor"))</f>
        <v>Monitor</v>
      </c>
      <c r="O999" s="6" t="n">
        <f aca="false">IF(N999=G999,1,0)</f>
        <v>1</v>
      </c>
    </row>
    <row r="1000" customFormat="false" ht="15" hidden="false" customHeight="false" outlineLevel="0" collapsed="false">
      <c r="A1000" s="16" t="n">
        <v>23.65374106</v>
      </c>
      <c r="B1000" s="16" t="n">
        <v>109.8076178</v>
      </c>
      <c r="C1000" s="16" t="n">
        <v>13.0129969132973</v>
      </c>
      <c r="D1000" s="6" t="s">
        <v>57</v>
      </c>
      <c r="E1000" s="6" t="s">
        <v>57</v>
      </c>
      <c r="F1000" s="6" t="s">
        <v>24</v>
      </c>
      <c r="G1000" s="6" t="s">
        <v>61</v>
      </c>
      <c r="H1000" s="6" t="s">
        <v>63</v>
      </c>
      <c r="I1000" s="6" t="str">
        <f aca="false">IF(A1000&lt;Outliers!$E$6,"Low",IF(A1000&gt;Outliers!$F$6,"High",""))</f>
        <v/>
      </c>
      <c r="J1000" s="6" t="str">
        <f aca="false">IF(B1000&lt;Outliers!$E$7,"Low",IF(B1000&gt;Outliers!$F$7,"High",""))</f>
        <v/>
      </c>
      <c r="K1000" s="6" t="str">
        <f aca="false">IF(C1000&lt;Outliers!$E$8,"Low",IF(C1000&gt;Outliers!$F$8,"High",""))</f>
        <v/>
      </c>
      <c r="L1000" s="6" t="str">
        <f aca="false">A1000&amp;";"&amp;B1000&amp;";"&amp;C1000</f>
        <v>23.65374106;109.8076178;13.0129969132973</v>
      </c>
      <c r="M1000" s="6" t="n">
        <f aca="false">IF(COUNTIF($L$2:$L$2201,L1000)&gt;1,1,0)</f>
        <v>0</v>
      </c>
      <c r="N1000" s="6" t="str">
        <f aca="false">IF(AND(C1000&lt;Assumptions!$B$9,B1000&lt;Assumptions!$B$10),"Irrigate Now",IF(AND(C1000&gt;=Assumptions!$B$11,B1000&gt;=Assumptions!$B$12),"No Irrigation Needed","Monitor"))</f>
        <v>Monitor</v>
      </c>
      <c r="O1000" s="6" t="n">
        <f aca="false">IF(N1000=G1000,1,0)</f>
        <v>1</v>
      </c>
    </row>
    <row r="1001" customFormat="false" ht="15" hidden="false" customHeight="false" outlineLevel="0" collapsed="false">
      <c r="A1001" s="16" t="n">
        <v>23.88404783</v>
      </c>
      <c r="B1001" s="16" t="n">
        <v>108.3121789</v>
      </c>
      <c r="C1001" s="16" t="n">
        <v>28.4957703953514</v>
      </c>
      <c r="D1001" s="6" t="s">
        <v>57</v>
      </c>
      <c r="E1001" s="6" t="s">
        <v>57</v>
      </c>
      <c r="F1001" s="6" t="s">
        <v>23</v>
      </c>
      <c r="G1001" s="6" t="s">
        <v>58</v>
      </c>
      <c r="H1001" s="6" t="s">
        <v>59</v>
      </c>
      <c r="I1001" s="6" t="str">
        <f aca="false">IF(A1001&lt;Outliers!$E$6,"Low",IF(A1001&gt;Outliers!$F$6,"High",""))</f>
        <v/>
      </c>
      <c r="J1001" s="6" t="str">
        <f aca="false">IF(B1001&lt;Outliers!$E$7,"Low",IF(B1001&gt;Outliers!$F$7,"High",""))</f>
        <v/>
      </c>
      <c r="K1001" s="6" t="str">
        <f aca="false">IF(C1001&lt;Outliers!$E$8,"Low",IF(C1001&gt;Outliers!$F$8,"High",""))</f>
        <v/>
      </c>
      <c r="L1001" s="6" t="str">
        <f aca="false">A1001&amp;";"&amp;B1001&amp;";"&amp;C1001</f>
        <v>23.88404783;108.3121789;28.4957703953514</v>
      </c>
      <c r="M1001" s="6" t="n">
        <f aca="false">IF(COUNTIF($L$2:$L$2201,L1001)&gt;1,1,0)</f>
        <v>0</v>
      </c>
      <c r="N1001" s="6" t="str">
        <f aca="false">IF(AND(C1001&lt;Assumptions!$B$9,B1001&lt;Assumptions!$B$10),"Irrigate Now",IF(AND(C1001&gt;=Assumptions!$B$11,B1001&gt;=Assumptions!$B$12),"No Irrigation Needed","Monitor"))</f>
        <v>No Irrigation Needed</v>
      </c>
      <c r="O1001" s="6" t="n">
        <f aca="false">IF(N1001=G1001,1,0)</f>
        <v>1</v>
      </c>
    </row>
    <row r="1002" customFormat="false" ht="15" hidden="false" customHeight="false" outlineLevel="0" collapsed="false">
      <c r="A1002" s="16" t="n">
        <v>29.36792366</v>
      </c>
      <c r="B1002" s="16" t="n">
        <v>92.82840911</v>
      </c>
      <c r="C1002" s="16" t="n">
        <v>12.9266229774149</v>
      </c>
      <c r="D1002" s="6" t="s">
        <v>57</v>
      </c>
      <c r="E1002" s="6" t="s">
        <v>57</v>
      </c>
      <c r="F1002" s="6" t="s">
        <v>24</v>
      </c>
      <c r="G1002" s="6" t="s">
        <v>64</v>
      </c>
      <c r="H1002" s="6" t="s">
        <v>65</v>
      </c>
      <c r="I1002" s="6" t="str">
        <f aca="false">IF(A1002&lt;Outliers!$E$6,"Low",IF(A1002&gt;Outliers!$F$6,"High",""))</f>
        <v/>
      </c>
      <c r="J1002" s="6" t="str">
        <f aca="false">IF(B1002&lt;Outliers!$E$7,"Low",IF(B1002&gt;Outliers!$F$7,"High",""))</f>
        <v/>
      </c>
      <c r="K1002" s="6" t="str">
        <f aca="false">IF(C1002&lt;Outliers!$E$8,"Low",IF(C1002&gt;Outliers!$F$8,"High",""))</f>
        <v/>
      </c>
      <c r="L1002" s="6" t="str">
        <f aca="false">A1002&amp;";"&amp;B1002&amp;";"&amp;C1002</f>
        <v>29.36792366;92.82840911;12.9266229774149</v>
      </c>
      <c r="M1002" s="6" t="n">
        <f aca="false">IF(COUNTIF($L$2:$L$2201,L1002)&gt;1,1,0)</f>
        <v>0</v>
      </c>
      <c r="N1002" s="6" t="str">
        <f aca="false">IF(AND(C1002&lt;Assumptions!$B$9,B1002&lt;Assumptions!$B$10),"Irrigate Now",IF(AND(C1002&gt;=Assumptions!$B$11,B1002&gt;=Assumptions!$B$12),"No Irrigation Needed","Monitor"))</f>
        <v>Irrigate Now</v>
      </c>
      <c r="O1002" s="6" t="n">
        <f aca="false">IF(N1002=G1002,1,0)</f>
        <v>1</v>
      </c>
    </row>
    <row r="1003" customFormat="false" ht="15" hidden="false" customHeight="false" outlineLevel="0" collapsed="false">
      <c r="A1003" s="16" t="n">
        <v>27.33368994</v>
      </c>
      <c r="B1003" s="16" t="n">
        <v>101.0494791</v>
      </c>
      <c r="C1003" s="16" t="n">
        <v>23.0359406919582</v>
      </c>
      <c r="D1003" s="6" t="s">
        <v>57</v>
      </c>
      <c r="E1003" s="6" t="s">
        <v>57</v>
      </c>
      <c r="F1003" s="6" t="s">
        <v>60</v>
      </c>
      <c r="G1003" s="6" t="s">
        <v>61</v>
      </c>
      <c r="H1003" s="6" t="s">
        <v>63</v>
      </c>
      <c r="I1003" s="6" t="str">
        <f aca="false">IF(A1003&lt;Outliers!$E$6,"Low",IF(A1003&gt;Outliers!$F$6,"High",""))</f>
        <v/>
      </c>
      <c r="J1003" s="6" t="str">
        <f aca="false">IF(B1003&lt;Outliers!$E$7,"Low",IF(B1003&gt;Outliers!$F$7,"High",""))</f>
        <v/>
      </c>
      <c r="K1003" s="6" t="str">
        <f aca="false">IF(C1003&lt;Outliers!$E$8,"Low",IF(C1003&gt;Outliers!$F$8,"High",""))</f>
        <v/>
      </c>
      <c r="L1003" s="6" t="str">
        <f aca="false">A1003&amp;";"&amp;B1003&amp;";"&amp;C1003</f>
        <v>27.33368994;101.0494791;23.0359406919582</v>
      </c>
      <c r="M1003" s="6" t="n">
        <f aca="false">IF(COUNTIF($L$2:$L$2201,L1003)&gt;1,1,0)</f>
        <v>0</v>
      </c>
      <c r="N1003" s="6" t="str">
        <f aca="false">IF(AND(C1003&lt;Assumptions!$B$9,B1003&lt;Assumptions!$B$10),"Irrigate Now",IF(AND(C1003&gt;=Assumptions!$B$11,B1003&gt;=Assumptions!$B$12),"No Irrigation Needed","Monitor"))</f>
        <v>Monitor</v>
      </c>
      <c r="O1003" s="6" t="n">
        <f aca="false">IF(N1003=G1003,1,0)</f>
        <v>1</v>
      </c>
    </row>
    <row r="1004" customFormat="false" ht="15" hidden="false" customHeight="false" outlineLevel="0" collapsed="false">
      <c r="A1004" s="16" t="n">
        <v>27.40053601</v>
      </c>
      <c r="B1004" s="16" t="n">
        <v>104.9378</v>
      </c>
      <c r="C1004" s="16" t="n">
        <v>12.5243616948194</v>
      </c>
      <c r="D1004" s="6" t="s">
        <v>57</v>
      </c>
      <c r="E1004" s="6" t="s">
        <v>57</v>
      </c>
      <c r="F1004" s="6" t="s">
        <v>24</v>
      </c>
      <c r="G1004" s="6" t="s">
        <v>61</v>
      </c>
      <c r="H1004" s="6" t="s">
        <v>63</v>
      </c>
      <c r="I1004" s="6" t="str">
        <f aca="false">IF(A1004&lt;Outliers!$E$6,"Low",IF(A1004&gt;Outliers!$F$6,"High",""))</f>
        <v/>
      </c>
      <c r="J1004" s="6" t="str">
        <f aca="false">IF(B1004&lt;Outliers!$E$7,"Low",IF(B1004&gt;Outliers!$F$7,"High",""))</f>
        <v/>
      </c>
      <c r="K1004" s="6" t="str">
        <f aca="false">IF(C1004&lt;Outliers!$E$8,"Low",IF(C1004&gt;Outliers!$F$8,"High",""))</f>
        <v/>
      </c>
      <c r="L1004" s="6" t="str">
        <f aca="false">A1004&amp;";"&amp;B1004&amp;";"&amp;C1004</f>
        <v>27.40053601;104.9378;12.5243616948194</v>
      </c>
      <c r="M1004" s="6" t="n">
        <f aca="false">IF(COUNTIF($L$2:$L$2201,L1004)&gt;1,1,0)</f>
        <v>0</v>
      </c>
      <c r="N1004" s="6" t="str">
        <f aca="false">IF(AND(C1004&lt;Assumptions!$B$9,B1004&lt;Assumptions!$B$10),"Irrigate Now",IF(AND(C1004&gt;=Assumptions!$B$11,B1004&gt;=Assumptions!$B$12),"No Irrigation Needed","Monitor"))</f>
        <v>Monitor</v>
      </c>
      <c r="O1004" s="6" t="n">
        <f aca="false">IF(N1004=G1004,1,0)</f>
        <v>1</v>
      </c>
    </row>
    <row r="1005" customFormat="false" ht="15" hidden="false" customHeight="false" outlineLevel="0" collapsed="false">
      <c r="A1005" s="16" t="n">
        <v>29.3159075</v>
      </c>
      <c r="B1005" s="16" t="n">
        <v>90.10978128</v>
      </c>
      <c r="C1005" s="16" t="n">
        <v>22.513203908267</v>
      </c>
      <c r="D1005" s="6" t="s">
        <v>57</v>
      </c>
      <c r="E1005" s="6" t="s">
        <v>57</v>
      </c>
      <c r="F1005" s="6" t="s">
        <v>60</v>
      </c>
      <c r="G1005" s="6" t="s">
        <v>61</v>
      </c>
      <c r="H1005" s="6" t="s">
        <v>63</v>
      </c>
      <c r="I1005" s="6" t="str">
        <f aca="false">IF(A1005&lt;Outliers!$E$6,"Low",IF(A1005&gt;Outliers!$F$6,"High",""))</f>
        <v/>
      </c>
      <c r="J1005" s="6" t="str">
        <f aca="false">IF(B1005&lt;Outliers!$E$7,"Low",IF(B1005&gt;Outliers!$F$7,"High",""))</f>
        <v/>
      </c>
      <c r="K1005" s="6" t="str">
        <f aca="false">IF(C1005&lt;Outliers!$E$8,"Low",IF(C1005&gt;Outliers!$F$8,"High",""))</f>
        <v/>
      </c>
      <c r="L1005" s="6" t="str">
        <f aca="false">A1005&amp;";"&amp;B1005&amp;";"&amp;C1005</f>
        <v>29.3159075;90.10978128;22.513203908267</v>
      </c>
      <c r="M1005" s="6" t="n">
        <f aca="false">IF(COUNTIF($L$2:$L$2201,L1005)&gt;1,1,0)</f>
        <v>0</v>
      </c>
      <c r="N1005" s="6" t="str">
        <f aca="false">IF(AND(C1005&lt;Assumptions!$B$9,B1005&lt;Assumptions!$B$10),"Irrigate Now",IF(AND(C1005&gt;=Assumptions!$B$11,B1005&gt;=Assumptions!$B$12),"No Irrigation Needed","Monitor"))</f>
        <v>Monitor</v>
      </c>
      <c r="O1005" s="6" t="n">
        <f aca="false">IF(N1005=G1005,1,0)</f>
        <v>1</v>
      </c>
    </row>
    <row r="1006" customFormat="false" ht="15" hidden="false" customHeight="false" outlineLevel="0" collapsed="false">
      <c r="A1006" s="16" t="n">
        <v>26.05433004</v>
      </c>
      <c r="B1006" s="16" t="n">
        <v>113.2297373</v>
      </c>
      <c r="C1006" s="16" t="n">
        <v>29.7772883441308</v>
      </c>
      <c r="D1006" s="6" t="s">
        <v>57</v>
      </c>
      <c r="E1006" s="6" t="s">
        <v>57</v>
      </c>
      <c r="F1006" s="6" t="s">
        <v>23</v>
      </c>
      <c r="G1006" s="6" t="s">
        <v>58</v>
      </c>
      <c r="H1006" s="6" t="s">
        <v>59</v>
      </c>
      <c r="I1006" s="6" t="str">
        <f aca="false">IF(A1006&lt;Outliers!$E$6,"Low",IF(A1006&gt;Outliers!$F$6,"High",""))</f>
        <v/>
      </c>
      <c r="J1006" s="6" t="str">
        <f aca="false">IF(B1006&lt;Outliers!$E$7,"Low",IF(B1006&gt;Outliers!$F$7,"High",""))</f>
        <v/>
      </c>
      <c r="K1006" s="6" t="str">
        <f aca="false">IF(C1006&lt;Outliers!$E$8,"Low",IF(C1006&gt;Outliers!$F$8,"High",""))</f>
        <v/>
      </c>
      <c r="L1006" s="6" t="str">
        <f aca="false">A1006&amp;";"&amp;B1006&amp;";"&amp;C1006</f>
        <v>26.05433004;113.2297373;29.7772883441308</v>
      </c>
      <c r="M1006" s="6" t="n">
        <f aca="false">IF(COUNTIF($L$2:$L$2201,L1006)&gt;1,1,0)</f>
        <v>0</v>
      </c>
      <c r="N1006" s="6" t="str">
        <f aca="false">IF(AND(C1006&lt;Assumptions!$B$9,B1006&lt;Assumptions!$B$10),"Irrigate Now",IF(AND(C1006&gt;=Assumptions!$B$11,B1006&gt;=Assumptions!$B$12),"No Irrigation Needed","Monitor"))</f>
        <v>No Irrigation Needed</v>
      </c>
      <c r="O1006" s="6" t="n">
        <f aca="false">IF(N1006=G1006,1,0)</f>
        <v>1</v>
      </c>
    </row>
    <row r="1007" customFormat="false" ht="15" hidden="false" customHeight="false" outlineLevel="0" collapsed="false">
      <c r="A1007" s="16" t="n">
        <v>25.86632408</v>
      </c>
      <c r="B1007" s="16" t="n">
        <v>114.5357503</v>
      </c>
      <c r="C1007" s="16" t="n">
        <v>16.7751263492624</v>
      </c>
      <c r="D1007" s="6" t="s">
        <v>57</v>
      </c>
      <c r="E1007" s="6" t="s">
        <v>57</v>
      </c>
      <c r="F1007" s="6" t="s">
        <v>60</v>
      </c>
      <c r="G1007" s="6" t="s">
        <v>61</v>
      </c>
      <c r="H1007" s="6" t="s">
        <v>63</v>
      </c>
      <c r="I1007" s="6" t="str">
        <f aca="false">IF(A1007&lt;Outliers!$E$6,"Low",IF(A1007&gt;Outliers!$F$6,"High",""))</f>
        <v/>
      </c>
      <c r="J1007" s="6" t="str">
        <f aca="false">IF(B1007&lt;Outliers!$E$7,"Low",IF(B1007&gt;Outliers!$F$7,"High",""))</f>
        <v/>
      </c>
      <c r="K1007" s="6" t="str">
        <f aca="false">IF(C1007&lt;Outliers!$E$8,"Low",IF(C1007&gt;Outliers!$F$8,"High",""))</f>
        <v/>
      </c>
      <c r="L1007" s="6" t="str">
        <f aca="false">A1007&amp;";"&amp;B1007&amp;";"&amp;C1007</f>
        <v>25.86632408;114.5357503;16.7751263492624</v>
      </c>
      <c r="M1007" s="6" t="n">
        <f aca="false">IF(COUNTIF($L$2:$L$2201,L1007)&gt;1,1,0)</f>
        <v>0</v>
      </c>
      <c r="N1007" s="6" t="str">
        <f aca="false">IF(AND(C1007&lt;Assumptions!$B$9,B1007&lt;Assumptions!$B$10),"Irrigate Now",IF(AND(C1007&gt;=Assumptions!$B$11,B1007&gt;=Assumptions!$B$12),"No Irrigation Needed","Monitor"))</f>
        <v>Monitor</v>
      </c>
      <c r="O1007" s="6" t="n">
        <f aca="false">IF(N1007=G1007,1,0)</f>
        <v>1</v>
      </c>
    </row>
    <row r="1008" customFormat="false" ht="15" hidden="false" customHeight="false" outlineLevel="0" collapsed="false">
      <c r="A1008" s="16" t="n">
        <v>27.00932084</v>
      </c>
      <c r="B1008" s="16" t="n">
        <v>97.32531705</v>
      </c>
      <c r="C1008" s="16" t="n">
        <v>18.1498250912052</v>
      </c>
      <c r="D1008" s="6" t="s">
        <v>57</v>
      </c>
      <c r="E1008" s="6" t="s">
        <v>57</v>
      </c>
      <c r="F1008" s="6" t="s">
        <v>60</v>
      </c>
      <c r="G1008" s="6" t="s">
        <v>61</v>
      </c>
      <c r="H1008" s="6" t="s">
        <v>63</v>
      </c>
      <c r="I1008" s="6" t="str">
        <f aca="false">IF(A1008&lt;Outliers!$E$6,"Low",IF(A1008&gt;Outliers!$F$6,"High",""))</f>
        <v/>
      </c>
      <c r="J1008" s="6" t="str">
        <f aca="false">IF(B1008&lt;Outliers!$E$7,"Low",IF(B1008&gt;Outliers!$F$7,"High",""))</f>
        <v/>
      </c>
      <c r="K1008" s="6" t="str">
        <f aca="false">IF(C1008&lt;Outliers!$E$8,"Low",IF(C1008&gt;Outliers!$F$8,"High",""))</f>
        <v/>
      </c>
      <c r="L1008" s="6" t="str">
        <f aca="false">A1008&amp;";"&amp;B1008&amp;";"&amp;C1008</f>
        <v>27.00932084;97.32531705;18.1498250912052</v>
      </c>
      <c r="M1008" s="6" t="n">
        <f aca="false">IF(COUNTIF($L$2:$L$2201,L1008)&gt;1,1,0)</f>
        <v>0</v>
      </c>
      <c r="N1008" s="6" t="str">
        <f aca="false">IF(AND(C1008&lt;Assumptions!$B$9,B1008&lt;Assumptions!$B$10),"Irrigate Now",IF(AND(C1008&gt;=Assumptions!$B$11,B1008&gt;=Assumptions!$B$12),"No Irrigation Needed","Monitor"))</f>
        <v>Monitor</v>
      </c>
      <c r="O1008" s="6" t="n">
        <f aca="false">IF(N1008=G1008,1,0)</f>
        <v>1</v>
      </c>
    </row>
    <row r="1009" customFormat="false" ht="15" hidden="false" customHeight="false" outlineLevel="0" collapsed="false">
      <c r="A1009" s="16" t="n">
        <v>29.55054817</v>
      </c>
      <c r="B1009" s="16" t="n">
        <v>99.34482238</v>
      </c>
      <c r="C1009" s="16" t="n">
        <v>10.0524774632629</v>
      </c>
      <c r="D1009" s="6" t="s">
        <v>57</v>
      </c>
      <c r="E1009" s="6" t="s">
        <v>57</v>
      </c>
      <c r="F1009" s="6" t="s">
        <v>24</v>
      </c>
      <c r="G1009" s="6" t="s">
        <v>64</v>
      </c>
      <c r="H1009" s="6" t="s">
        <v>65</v>
      </c>
      <c r="I1009" s="6" t="str">
        <f aca="false">IF(A1009&lt;Outliers!$E$6,"Low",IF(A1009&gt;Outliers!$F$6,"High",""))</f>
        <v/>
      </c>
      <c r="J1009" s="6" t="str">
        <f aca="false">IF(B1009&lt;Outliers!$E$7,"Low",IF(B1009&gt;Outliers!$F$7,"High",""))</f>
        <v/>
      </c>
      <c r="K1009" s="6" t="str">
        <f aca="false">IF(C1009&lt;Outliers!$E$8,"Low",IF(C1009&gt;Outliers!$F$8,"High",""))</f>
        <v/>
      </c>
      <c r="L1009" s="6" t="str">
        <f aca="false">A1009&amp;";"&amp;B1009&amp;";"&amp;C1009</f>
        <v>29.55054817;99.34482238;10.0524774632629</v>
      </c>
      <c r="M1009" s="6" t="n">
        <f aca="false">IF(COUNTIF($L$2:$L$2201,L1009)&gt;1,1,0)</f>
        <v>0</v>
      </c>
      <c r="N1009" s="6" t="str">
        <f aca="false">IF(AND(C1009&lt;Assumptions!$B$9,B1009&lt;Assumptions!$B$10),"Irrigate Now",IF(AND(C1009&gt;=Assumptions!$B$11,B1009&gt;=Assumptions!$B$12),"No Irrigation Needed","Monitor"))</f>
        <v>Irrigate Now</v>
      </c>
      <c r="O1009" s="6" t="n">
        <f aca="false">IF(N1009=G1009,1,0)</f>
        <v>1</v>
      </c>
    </row>
    <row r="1010" customFormat="false" ht="15" hidden="false" customHeight="false" outlineLevel="0" collapsed="false">
      <c r="A1010" s="16" t="n">
        <v>26.28845991</v>
      </c>
      <c r="B1010" s="16" t="n">
        <v>113.8729798</v>
      </c>
      <c r="C1010" s="16" t="n">
        <v>13.9386583254402</v>
      </c>
      <c r="D1010" s="6" t="s">
        <v>57</v>
      </c>
      <c r="E1010" s="6" t="s">
        <v>57</v>
      </c>
      <c r="F1010" s="6" t="s">
        <v>24</v>
      </c>
      <c r="G1010" s="6" t="s">
        <v>61</v>
      </c>
      <c r="H1010" s="6" t="s">
        <v>63</v>
      </c>
      <c r="I1010" s="6" t="str">
        <f aca="false">IF(A1010&lt;Outliers!$E$6,"Low",IF(A1010&gt;Outliers!$F$6,"High",""))</f>
        <v/>
      </c>
      <c r="J1010" s="6" t="str">
        <f aca="false">IF(B1010&lt;Outliers!$E$7,"Low",IF(B1010&gt;Outliers!$F$7,"High",""))</f>
        <v/>
      </c>
      <c r="K1010" s="6" t="str">
        <f aca="false">IF(C1010&lt;Outliers!$E$8,"Low",IF(C1010&gt;Outliers!$F$8,"High",""))</f>
        <v/>
      </c>
      <c r="L1010" s="6" t="str">
        <f aca="false">A1010&amp;";"&amp;B1010&amp;";"&amp;C1010</f>
        <v>26.28845991;113.8729798;13.9386583254402</v>
      </c>
      <c r="M1010" s="6" t="n">
        <f aca="false">IF(COUNTIF($L$2:$L$2201,L1010)&gt;1,1,0)</f>
        <v>0</v>
      </c>
      <c r="N1010" s="6" t="str">
        <f aca="false">IF(AND(C1010&lt;Assumptions!$B$9,B1010&lt;Assumptions!$B$10),"Irrigate Now",IF(AND(C1010&gt;=Assumptions!$B$11,B1010&gt;=Assumptions!$B$12),"No Irrigation Needed","Monitor"))</f>
        <v>Monitor</v>
      </c>
      <c r="O1010" s="6" t="n">
        <f aca="false">IF(N1010=G1010,1,0)</f>
        <v>1</v>
      </c>
    </row>
    <row r="1011" customFormat="false" ht="15" hidden="false" customHeight="false" outlineLevel="0" collapsed="false">
      <c r="A1011" s="16" t="n">
        <v>29.16226551</v>
      </c>
      <c r="B1011" s="16" t="n">
        <v>100.0075679</v>
      </c>
      <c r="C1011" s="16" t="n">
        <v>11.7071386106253</v>
      </c>
      <c r="D1011" s="6" t="s">
        <v>57</v>
      </c>
      <c r="E1011" s="6" t="s">
        <v>57</v>
      </c>
      <c r="F1011" s="6" t="s">
        <v>24</v>
      </c>
      <c r="G1011" s="6" t="s">
        <v>61</v>
      </c>
      <c r="H1011" s="6" t="s">
        <v>63</v>
      </c>
      <c r="I1011" s="6" t="str">
        <f aca="false">IF(A1011&lt;Outliers!$E$6,"Low",IF(A1011&gt;Outliers!$F$6,"High",""))</f>
        <v/>
      </c>
      <c r="J1011" s="6" t="str">
        <f aca="false">IF(B1011&lt;Outliers!$E$7,"Low",IF(B1011&gt;Outliers!$F$7,"High",""))</f>
        <v/>
      </c>
      <c r="K1011" s="6" t="str">
        <f aca="false">IF(C1011&lt;Outliers!$E$8,"Low",IF(C1011&gt;Outliers!$F$8,"High",""))</f>
        <v/>
      </c>
      <c r="L1011" s="6" t="str">
        <f aca="false">A1011&amp;";"&amp;B1011&amp;";"&amp;C1011</f>
        <v>29.16226551;100.0075679;11.7071386106253</v>
      </c>
      <c r="M1011" s="6" t="n">
        <f aca="false">IF(COUNTIF($L$2:$L$2201,L1011)&gt;1,1,0)</f>
        <v>0</v>
      </c>
      <c r="N1011" s="6" t="str">
        <f aca="false">IF(AND(C1011&lt;Assumptions!$B$9,B1011&lt;Assumptions!$B$10),"Irrigate Now",IF(AND(C1011&gt;=Assumptions!$B$11,B1011&gt;=Assumptions!$B$12),"No Irrigation Needed","Monitor"))</f>
        <v>Monitor</v>
      </c>
      <c r="O1011" s="6" t="n">
        <f aca="false">IF(N1011=G1011,1,0)</f>
        <v>1</v>
      </c>
    </row>
    <row r="1012" customFormat="false" ht="15" hidden="false" customHeight="false" outlineLevel="0" collapsed="false">
      <c r="A1012" s="16" t="n">
        <v>28.65003945</v>
      </c>
      <c r="B1012" s="16" t="n">
        <v>98.75084366</v>
      </c>
      <c r="C1012" s="16" t="n">
        <v>13.3573673250759</v>
      </c>
      <c r="D1012" s="6" t="s">
        <v>57</v>
      </c>
      <c r="E1012" s="6" t="s">
        <v>57</v>
      </c>
      <c r="F1012" s="6" t="s">
        <v>24</v>
      </c>
      <c r="G1012" s="6" t="s">
        <v>64</v>
      </c>
      <c r="H1012" s="6" t="s">
        <v>65</v>
      </c>
      <c r="I1012" s="6" t="str">
        <f aca="false">IF(A1012&lt;Outliers!$E$6,"Low",IF(A1012&gt;Outliers!$F$6,"High",""))</f>
        <v/>
      </c>
      <c r="J1012" s="6" t="str">
        <f aca="false">IF(B1012&lt;Outliers!$E$7,"Low",IF(B1012&gt;Outliers!$F$7,"High",""))</f>
        <v/>
      </c>
      <c r="K1012" s="6" t="str">
        <f aca="false">IF(C1012&lt;Outliers!$E$8,"Low",IF(C1012&gt;Outliers!$F$8,"High",""))</f>
        <v/>
      </c>
      <c r="L1012" s="6" t="str">
        <f aca="false">A1012&amp;";"&amp;B1012&amp;";"&amp;C1012</f>
        <v>28.65003945;98.75084366;13.3573673250759</v>
      </c>
      <c r="M1012" s="6" t="n">
        <f aca="false">IF(COUNTIF($L$2:$L$2201,L1012)&gt;1,1,0)</f>
        <v>0</v>
      </c>
      <c r="N1012" s="6" t="str">
        <f aca="false">IF(AND(C1012&lt;Assumptions!$B$9,B1012&lt;Assumptions!$B$10),"Irrigate Now",IF(AND(C1012&gt;=Assumptions!$B$11,B1012&gt;=Assumptions!$B$12),"No Irrigation Needed","Monitor"))</f>
        <v>Irrigate Now</v>
      </c>
      <c r="O1012" s="6" t="n">
        <f aca="false">IF(N1012=G1012,1,0)</f>
        <v>1</v>
      </c>
    </row>
    <row r="1013" customFormat="false" ht="15" hidden="false" customHeight="false" outlineLevel="0" collapsed="false">
      <c r="A1013" s="16" t="n">
        <v>29.07311132</v>
      </c>
      <c r="B1013" s="16" t="n">
        <v>100.1692639</v>
      </c>
      <c r="C1013" s="16" t="n">
        <v>24.9346794268132</v>
      </c>
      <c r="D1013" s="6" t="s">
        <v>57</v>
      </c>
      <c r="E1013" s="6" t="s">
        <v>57</v>
      </c>
      <c r="F1013" s="6" t="s">
        <v>23</v>
      </c>
      <c r="G1013" s="6" t="s">
        <v>61</v>
      </c>
      <c r="H1013" s="6" t="s">
        <v>63</v>
      </c>
      <c r="I1013" s="6" t="str">
        <f aca="false">IF(A1013&lt;Outliers!$E$6,"Low",IF(A1013&gt;Outliers!$F$6,"High",""))</f>
        <v/>
      </c>
      <c r="J1013" s="6" t="str">
        <f aca="false">IF(B1013&lt;Outliers!$E$7,"Low",IF(B1013&gt;Outliers!$F$7,"High",""))</f>
        <v/>
      </c>
      <c r="K1013" s="6" t="str">
        <f aca="false">IF(C1013&lt;Outliers!$E$8,"Low",IF(C1013&gt;Outliers!$F$8,"High",""))</f>
        <v/>
      </c>
      <c r="L1013" s="6" t="str">
        <f aca="false">A1013&amp;";"&amp;B1013&amp;";"&amp;C1013</f>
        <v>29.07311132;100.1692639;24.9346794268132</v>
      </c>
      <c r="M1013" s="6" t="n">
        <f aca="false">IF(COUNTIF($L$2:$L$2201,L1013)&gt;1,1,0)</f>
        <v>0</v>
      </c>
      <c r="N1013" s="6" t="str">
        <f aca="false">IF(AND(C1013&lt;Assumptions!$B$9,B1013&lt;Assumptions!$B$10),"Irrigate Now",IF(AND(C1013&gt;=Assumptions!$B$11,B1013&gt;=Assumptions!$B$12),"No Irrigation Needed","Monitor"))</f>
        <v>Monitor</v>
      </c>
      <c r="O1013" s="6" t="n">
        <f aca="false">IF(N1013=G1013,1,0)</f>
        <v>1</v>
      </c>
    </row>
    <row r="1014" customFormat="false" ht="15" hidden="false" customHeight="false" outlineLevel="0" collapsed="false">
      <c r="A1014" s="16" t="n">
        <v>28.08166093</v>
      </c>
      <c r="B1014" s="16" t="n">
        <v>118.2761894</v>
      </c>
      <c r="C1014" s="16" t="n">
        <v>16.5345983060573</v>
      </c>
      <c r="D1014" s="6" t="s">
        <v>57</v>
      </c>
      <c r="E1014" s="6" t="s">
        <v>57</v>
      </c>
      <c r="F1014" s="6" t="s">
        <v>60</v>
      </c>
      <c r="G1014" s="6" t="s">
        <v>61</v>
      </c>
      <c r="H1014" s="6" t="s">
        <v>63</v>
      </c>
      <c r="I1014" s="6" t="str">
        <f aca="false">IF(A1014&lt;Outliers!$E$6,"Low",IF(A1014&gt;Outliers!$F$6,"High",""))</f>
        <v/>
      </c>
      <c r="J1014" s="6" t="str">
        <f aca="false">IF(B1014&lt;Outliers!$E$7,"Low",IF(B1014&gt;Outliers!$F$7,"High",""))</f>
        <v/>
      </c>
      <c r="K1014" s="6" t="str">
        <f aca="false">IF(C1014&lt;Outliers!$E$8,"Low",IF(C1014&gt;Outliers!$F$8,"High",""))</f>
        <v/>
      </c>
      <c r="L1014" s="6" t="str">
        <f aca="false">A1014&amp;";"&amp;B1014&amp;";"&amp;C1014</f>
        <v>28.08166093;118.2761894;16.5345983060573</v>
      </c>
      <c r="M1014" s="6" t="n">
        <f aca="false">IF(COUNTIF($L$2:$L$2201,L1014)&gt;1,1,0)</f>
        <v>0</v>
      </c>
      <c r="N1014" s="6" t="str">
        <f aca="false">IF(AND(C1014&lt;Assumptions!$B$9,B1014&lt;Assumptions!$B$10),"Irrigate Now",IF(AND(C1014&gt;=Assumptions!$B$11,B1014&gt;=Assumptions!$B$12),"No Irrigation Needed","Monitor"))</f>
        <v>Monitor</v>
      </c>
      <c r="O1014" s="6" t="n">
        <f aca="false">IF(N1014=G1014,1,0)</f>
        <v>1</v>
      </c>
    </row>
    <row r="1015" customFormat="false" ht="15" hidden="false" customHeight="false" outlineLevel="0" collapsed="false">
      <c r="A1015" s="16" t="n">
        <v>27.1994597</v>
      </c>
      <c r="B1015" s="16" t="n">
        <v>99.72430835</v>
      </c>
      <c r="C1015" s="16" t="n">
        <v>25.5386257548702</v>
      </c>
      <c r="D1015" s="6" t="s">
        <v>57</v>
      </c>
      <c r="E1015" s="6" t="s">
        <v>57</v>
      </c>
      <c r="F1015" s="6" t="s">
        <v>23</v>
      </c>
      <c r="G1015" s="6" t="s">
        <v>61</v>
      </c>
      <c r="H1015" s="6" t="s">
        <v>63</v>
      </c>
      <c r="I1015" s="6" t="str">
        <f aca="false">IF(A1015&lt;Outliers!$E$6,"Low",IF(A1015&gt;Outliers!$F$6,"High",""))</f>
        <v/>
      </c>
      <c r="J1015" s="6" t="str">
        <f aca="false">IF(B1015&lt;Outliers!$E$7,"Low",IF(B1015&gt;Outliers!$F$7,"High",""))</f>
        <v/>
      </c>
      <c r="K1015" s="6" t="str">
        <f aca="false">IF(C1015&lt;Outliers!$E$8,"Low",IF(C1015&gt;Outliers!$F$8,"High",""))</f>
        <v/>
      </c>
      <c r="L1015" s="6" t="str">
        <f aca="false">A1015&amp;";"&amp;B1015&amp;";"&amp;C1015</f>
        <v>27.1994597;99.72430835;25.5386257548702</v>
      </c>
      <c r="M1015" s="6" t="n">
        <f aca="false">IF(COUNTIF($L$2:$L$2201,L1015)&gt;1,1,0)</f>
        <v>0</v>
      </c>
      <c r="N1015" s="6" t="str">
        <f aca="false">IF(AND(C1015&lt;Assumptions!$B$9,B1015&lt;Assumptions!$B$10),"Irrigate Now",IF(AND(C1015&gt;=Assumptions!$B$11,B1015&gt;=Assumptions!$B$12),"No Irrigation Needed","Monitor"))</f>
        <v>Monitor</v>
      </c>
      <c r="O1015" s="6" t="n">
        <f aca="false">IF(N1015=G1015,1,0)</f>
        <v>1</v>
      </c>
    </row>
    <row r="1016" customFormat="false" ht="15" hidden="false" customHeight="false" outlineLevel="0" collapsed="false">
      <c r="A1016" s="16" t="n">
        <v>28.05484146</v>
      </c>
      <c r="B1016" s="16" t="n">
        <v>108.3957179</v>
      </c>
      <c r="C1016" s="16" t="n">
        <v>11.7319678187691</v>
      </c>
      <c r="D1016" s="6" t="s">
        <v>57</v>
      </c>
      <c r="E1016" s="6" t="s">
        <v>57</v>
      </c>
      <c r="F1016" s="6" t="s">
        <v>24</v>
      </c>
      <c r="G1016" s="6" t="s">
        <v>61</v>
      </c>
      <c r="H1016" s="6" t="s">
        <v>63</v>
      </c>
      <c r="I1016" s="6" t="str">
        <f aca="false">IF(A1016&lt;Outliers!$E$6,"Low",IF(A1016&gt;Outliers!$F$6,"High",""))</f>
        <v/>
      </c>
      <c r="J1016" s="6" t="str">
        <f aca="false">IF(B1016&lt;Outliers!$E$7,"Low",IF(B1016&gt;Outliers!$F$7,"High",""))</f>
        <v/>
      </c>
      <c r="K1016" s="6" t="str">
        <f aca="false">IF(C1016&lt;Outliers!$E$8,"Low",IF(C1016&gt;Outliers!$F$8,"High",""))</f>
        <v/>
      </c>
      <c r="L1016" s="6" t="str">
        <f aca="false">A1016&amp;";"&amp;B1016&amp;";"&amp;C1016</f>
        <v>28.05484146;108.3957179;11.7319678187691</v>
      </c>
      <c r="M1016" s="6" t="n">
        <f aca="false">IF(COUNTIF($L$2:$L$2201,L1016)&gt;1,1,0)</f>
        <v>0</v>
      </c>
      <c r="N1016" s="6" t="str">
        <f aca="false">IF(AND(C1016&lt;Assumptions!$B$9,B1016&lt;Assumptions!$B$10),"Irrigate Now",IF(AND(C1016&gt;=Assumptions!$B$11,B1016&gt;=Assumptions!$B$12),"No Irrigation Needed","Monitor"))</f>
        <v>Monitor</v>
      </c>
      <c r="O1016" s="6" t="n">
        <f aca="false">IF(N1016=G1016,1,0)</f>
        <v>1</v>
      </c>
    </row>
    <row r="1017" customFormat="false" ht="15" hidden="false" customHeight="false" outlineLevel="0" collapsed="false">
      <c r="A1017" s="16" t="n">
        <v>25.14748006</v>
      </c>
      <c r="B1017" s="16" t="n">
        <v>98.66679427</v>
      </c>
      <c r="C1017" s="16" t="n">
        <v>14.8397418948196</v>
      </c>
      <c r="D1017" s="6" t="s">
        <v>57</v>
      </c>
      <c r="E1017" s="6" t="s">
        <v>57</v>
      </c>
      <c r="F1017" s="6" t="s">
        <v>24</v>
      </c>
      <c r="G1017" s="6" t="s">
        <v>64</v>
      </c>
      <c r="H1017" s="6" t="s">
        <v>65</v>
      </c>
      <c r="I1017" s="6" t="str">
        <f aca="false">IF(A1017&lt;Outliers!$E$6,"Low",IF(A1017&gt;Outliers!$F$6,"High",""))</f>
        <v/>
      </c>
      <c r="J1017" s="6" t="str">
        <f aca="false">IF(B1017&lt;Outliers!$E$7,"Low",IF(B1017&gt;Outliers!$F$7,"High",""))</f>
        <v/>
      </c>
      <c r="K1017" s="6" t="str">
        <f aca="false">IF(C1017&lt;Outliers!$E$8,"Low",IF(C1017&gt;Outliers!$F$8,"High",""))</f>
        <v/>
      </c>
      <c r="L1017" s="6" t="str">
        <f aca="false">A1017&amp;";"&amp;B1017&amp;";"&amp;C1017</f>
        <v>25.14748006;98.66679427;14.8397418948196</v>
      </c>
      <c r="M1017" s="6" t="n">
        <f aca="false">IF(COUNTIF($L$2:$L$2201,L1017)&gt;1,1,0)</f>
        <v>0</v>
      </c>
      <c r="N1017" s="6" t="str">
        <f aca="false">IF(AND(C1017&lt;Assumptions!$B$9,B1017&lt;Assumptions!$B$10),"Irrigate Now",IF(AND(C1017&gt;=Assumptions!$B$11,B1017&gt;=Assumptions!$B$12),"No Irrigation Needed","Monitor"))</f>
        <v>Irrigate Now</v>
      </c>
      <c r="O1017" s="6" t="n">
        <f aca="false">IF(N1017=G1017,1,0)</f>
        <v>1</v>
      </c>
    </row>
    <row r="1018" customFormat="false" ht="15" hidden="false" customHeight="false" outlineLevel="0" collapsed="false">
      <c r="A1018" s="16" t="n">
        <v>25.94019018</v>
      </c>
      <c r="B1018" s="16" t="n">
        <v>119.84797</v>
      </c>
      <c r="C1018" s="16" t="n">
        <v>27.5186035116884</v>
      </c>
      <c r="D1018" s="6" t="s">
        <v>57</v>
      </c>
      <c r="E1018" s="6" t="s">
        <v>57</v>
      </c>
      <c r="F1018" s="6" t="s">
        <v>23</v>
      </c>
      <c r="G1018" s="6" t="s">
        <v>58</v>
      </c>
      <c r="H1018" s="6" t="s">
        <v>59</v>
      </c>
      <c r="I1018" s="6" t="str">
        <f aca="false">IF(A1018&lt;Outliers!$E$6,"Low",IF(A1018&gt;Outliers!$F$6,"High",""))</f>
        <v/>
      </c>
      <c r="J1018" s="6" t="str">
        <f aca="false">IF(B1018&lt;Outliers!$E$7,"Low",IF(B1018&gt;Outliers!$F$7,"High",""))</f>
        <v/>
      </c>
      <c r="K1018" s="6" t="str">
        <f aca="false">IF(C1018&lt;Outliers!$E$8,"Low",IF(C1018&gt;Outliers!$F$8,"High",""))</f>
        <v/>
      </c>
      <c r="L1018" s="6" t="str">
        <f aca="false">A1018&amp;";"&amp;B1018&amp;";"&amp;C1018</f>
        <v>25.94019018;119.84797;27.5186035116884</v>
      </c>
      <c r="M1018" s="6" t="n">
        <f aca="false">IF(COUNTIF($L$2:$L$2201,L1018)&gt;1,1,0)</f>
        <v>0</v>
      </c>
      <c r="N1018" s="6" t="str">
        <f aca="false">IF(AND(C1018&lt;Assumptions!$B$9,B1018&lt;Assumptions!$B$10),"Irrigate Now",IF(AND(C1018&gt;=Assumptions!$B$11,B1018&gt;=Assumptions!$B$12),"No Irrigation Needed","Monitor"))</f>
        <v>No Irrigation Needed</v>
      </c>
      <c r="O1018" s="6" t="n">
        <f aca="false">IF(N1018=G1018,1,0)</f>
        <v>1</v>
      </c>
    </row>
    <row r="1019" customFormat="false" ht="15" hidden="false" customHeight="false" outlineLevel="0" collapsed="false">
      <c r="A1019" s="16" t="n">
        <v>27.66752761</v>
      </c>
      <c r="B1019" s="16" t="n">
        <v>108.66464</v>
      </c>
      <c r="C1019" s="16" t="n">
        <v>15.3149451205648</v>
      </c>
      <c r="D1019" s="6" t="s">
        <v>57</v>
      </c>
      <c r="E1019" s="6" t="s">
        <v>57</v>
      </c>
      <c r="F1019" s="6" t="s">
        <v>24</v>
      </c>
      <c r="G1019" s="6" t="s">
        <v>61</v>
      </c>
      <c r="H1019" s="6" t="s">
        <v>63</v>
      </c>
      <c r="I1019" s="6" t="str">
        <f aca="false">IF(A1019&lt;Outliers!$E$6,"Low",IF(A1019&gt;Outliers!$F$6,"High",""))</f>
        <v/>
      </c>
      <c r="J1019" s="6" t="str">
        <f aca="false">IF(B1019&lt;Outliers!$E$7,"Low",IF(B1019&gt;Outliers!$F$7,"High",""))</f>
        <v/>
      </c>
      <c r="K1019" s="6" t="str">
        <f aca="false">IF(C1019&lt;Outliers!$E$8,"Low",IF(C1019&gt;Outliers!$F$8,"High",""))</f>
        <v/>
      </c>
      <c r="L1019" s="6" t="str">
        <f aca="false">A1019&amp;";"&amp;B1019&amp;";"&amp;C1019</f>
        <v>27.66752761;108.66464;15.3149451205648</v>
      </c>
      <c r="M1019" s="6" t="n">
        <f aca="false">IF(COUNTIF($L$2:$L$2201,L1019)&gt;1,1,0)</f>
        <v>0</v>
      </c>
      <c r="N1019" s="6" t="str">
        <f aca="false">IF(AND(C1019&lt;Assumptions!$B$9,B1019&lt;Assumptions!$B$10),"Irrigate Now",IF(AND(C1019&gt;=Assumptions!$B$11,B1019&gt;=Assumptions!$B$12),"No Irrigation Needed","Monitor"))</f>
        <v>Monitor</v>
      </c>
      <c r="O1019" s="6" t="n">
        <f aca="false">IF(N1019=G1019,1,0)</f>
        <v>1</v>
      </c>
    </row>
    <row r="1020" customFormat="false" ht="15" hidden="false" customHeight="false" outlineLevel="0" collapsed="false">
      <c r="A1020" s="16" t="n">
        <v>25.56703012</v>
      </c>
      <c r="B1020" s="16" t="n">
        <v>102.7867717</v>
      </c>
      <c r="C1020" s="16" t="n">
        <v>28.7598528980296</v>
      </c>
      <c r="D1020" s="6" t="s">
        <v>57</v>
      </c>
      <c r="E1020" s="6" t="s">
        <v>57</v>
      </c>
      <c r="F1020" s="6" t="s">
        <v>23</v>
      </c>
      <c r="G1020" s="6" t="s">
        <v>58</v>
      </c>
      <c r="H1020" s="6" t="s">
        <v>59</v>
      </c>
      <c r="I1020" s="6" t="str">
        <f aca="false">IF(A1020&lt;Outliers!$E$6,"Low",IF(A1020&gt;Outliers!$F$6,"High",""))</f>
        <v/>
      </c>
      <c r="J1020" s="6" t="str">
        <f aca="false">IF(B1020&lt;Outliers!$E$7,"Low",IF(B1020&gt;Outliers!$F$7,"High",""))</f>
        <v/>
      </c>
      <c r="K1020" s="6" t="str">
        <f aca="false">IF(C1020&lt;Outliers!$E$8,"Low",IF(C1020&gt;Outliers!$F$8,"High",""))</f>
        <v/>
      </c>
      <c r="L1020" s="6" t="str">
        <f aca="false">A1020&amp;";"&amp;B1020&amp;";"&amp;C1020</f>
        <v>25.56703012;102.7867717;28.7598528980296</v>
      </c>
      <c r="M1020" s="6" t="n">
        <f aca="false">IF(COUNTIF($L$2:$L$2201,L1020)&gt;1,1,0)</f>
        <v>0</v>
      </c>
      <c r="N1020" s="6" t="str">
        <f aca="false">IF(AND(C1020&lt;Assumptions!$B$9,B1020&lt;Assumptions!$B$10),"Irrigate Now",IF(AND(C1020&gt;=Assumptions!$B$11,B1020&gt;=Assumptions!$B$12),"No Irrigation Needed","Monitor"))</f>
        <v>No Irrigation Needed</v>
      </c>
      <c r="O1020" s="6" t="n">
        <f aca="false">IF(N1020=G1020,1,0)</f>
        <v>1</v>
      </c>
    </row>
    <row r="1021" customFormat="false" ht="15" hidden="false" customHeight="false" outlineLevel="0" collapsed="false">
      <c r="A1021" s="16" t="n">
        <v>28.6956201</v>
      </c>
      <c r="B1021" s="16" t="n">
        <v>116.1616839</v>
      </c>
      <c r="C1021" s="16" t="n">
        <v>15.9012181896814</v>
      </c>
      <c r="D1021" s="6" t="s">
        <v>57</v>
      </c>
      <c r="E1021" s="6" t="s">
        <v>57</v>
      </c>
      <c r="F1021" s="6" t="s">
        <v>24</v>
      </c>
      <c r="G1021" s="6" t="s">
        <v>61</v>
      </c>
      <c r="H1021" s="6" t="s">
        <v>63</v>
      </c>
      <c r="I1021" s="6" t="str">
        <f aca="false">IF(A1021&lt;Outliers!$E$6,"Low",IF(A1021&gt;Outliers!$F$6,"High",""))</f>
        <v/>
      </c>
      <c r="J1021" s="6" t="str">
        <f aca="false">IF(B1021&lt;Outliers!$E$7,"Low",IF(B1021&gt;Outliers!$F$7,"High",""))</f>
        <v/>
      </c>
      <c r="K1021" s="6" t="str">
        <f aca="false">IF(C1021&lt;Outliers!$E$8,"Low",IF(C1021&gt;Outliers!$F$8,"High",""))</f>
        <v/>
      </c>
      <c r="L1021" s="6" t="str">
        <f aca="false">A1021&amp;";"&amp;B1021&amp;";"&amp;C1021</f>
        <v>28.6956201;116.1616839;15.9012181896814</v>
      </c>
      <c r="M1021" s="6" t="n">
        <f aca="false">IF(COUNTIF($L$2:$L$2201,L1021)&gt;1,1,0)</f>
        <v>0</v>
      </c>
      <c r="N1021" s="6" t="str">
        <f aca="false">IF(AND(C1021&lt;Assumptions!$B$9,B1021&lt;Assumptions!$B$10),"Irrigate Now",IF(AND(C1021&gt;=Assumptions!$B$11,B1021&gt;=Assumptions!$B$12),"No Irrigation Needed","Monitor"))</f>
        <v>Monitor</v>
      </c>
      <c r="O1021" s="6" t="n">
        <f aca="false">IF(N1021=G1021,1,0)</f>
        <v>1</v>
      </c>
    </row>
    <row r="1022" customFormat="false" ht="15" hidden="false" customHeight="false" outlineLevel="0" collapsed="false">
      <c r="A1022" s="16" t="n">
        <v>26.33544853</v>
      </c>
      <c r="B1022" s="16" t="n">
        <v>118.6858263</v>
      </c>
      <c r="C1022" s="16" t="n">
        <v>23.4924727580887</v>
      </c>
      <c r="D1022" s="6" t="s">
        <v>57</v>
      </c>
      <c r="E1022" s="6" t="s">
        <v>57</v>
      </c>
      <c r="F1022" s="6" t="s">
        <v>23</v>
      </c>
      <c r="G1022" s="6" t="s">
        <v>61</v>
      </c>
      <c r="H1022" s="6" t="s">
        <v>63</v>
      </c>
      <c r="I1022" s="6" t="str">
        <f aca="false">IF(A1022&lt;Outliers!$E$6,"Low",IF(A1022&gt;Outliers!$F$6,"High",""))</f>
        <v/>
      </c>
      <c r="J1022" s="6" t="str">
        <f aca="false">IF(B1022&lt;Outliers!$E$7,"Low",IF(B1022&gt;Outliers!$F$7,"High",""))</f>
        <v/>
      </c>
      <c r="K1022" s="6" t="str">
        <f aca="false">IF(C1022&lt;Outliers!$E$8,"Low",IF(C1022&gt;Outliers!$F$8,"High",""))</f>
        <v/>
      </c>
      <c r="L1022" s="6" t="str">
        <f aca="false">A1022&amp;";"&amp;B1022&amp;";"&amp;C1022</f>
        <v>26.33544853;118.6858263;23.4924727580887</v>
      </c>
      <c r="M1022" s="6" t="n">
        <f aca="false">IF(COUNTIF($L$2:$L$2201,L1022)&gt;1,1,0)</f>
        <v>0</v>
      </c>
      <c r="N1022" s="6" t="str">
        <f aca="false">IF(AND(C1022&lt;Assumptions!$B$9,B1022&lt;Assumptions!$B$10),"Irrigate Now",IF(AND(C1022&gt;=Assumptions!$B$11,B1022&gt;=Assumptions!$B$12),"No Irrigation Needed","Monitor"))</f>
        <v>Monitor</v>
      </c>
      <c r="O1022" s="6" t="n">
        <f aca="false">IF(N1022=G1022,1,0)</f>
        <v>1</v>
      </c>
    </row>
    <row r="1023" customFormat="false" ht="15" hidden="false" customHeight="false" outlineLevel="0" collapsed="false">
      <c r="A1023" s="16" t="n">
        <v>25.93730186</v>
      </c>
      <c r="B1023" s="16" t="n">
        <v>98.21747528</v>
      </c>
      <c r="C1023" s="16" t="n">
        <v>29.3087112408792</v>
      </c>
      <c r="D1023" s="6" t="s">
        <v>57</v>
      </c>
      <c r="E1023" s="6" t="s">
        <v>57</v>
      </c>
      <c r="F1023" s="6" t="s">
        <v>23</v>
      </c>
      <c r="G1023" s="6" t="s">
        <v>61</v>
      </c>
      <c r="H1023" s="6" t="s">
        <v>63</v>
      </c>
      <c r="I1023" s="6" t="str">
        <f aca="false">IF(A1023&lt;Outliers!$E$6,"Low",IF(A1023&gt;Outliers!$F$6,"High",""))</f>
        <v/>
      </c>
      <c r="J1023" s="6" t="str">
        <f aca="false">IF(B1023&lt;Outliers!$E$7,"Low",IF(B1023&gt;Outliers!$F$7,"High",""))</f>
        <v/>
      </c>
      <c r="K1023" s="6" t="str">
        <f aca="false">IF(C1023&lt;Outliers!$E$8,"Low",IF(C1023&gt;Outliers!$F$8,"High",""))</f>
        <v/>
      </c>
      <c r="L1023" s="6" t="str">
        <f aca="false">A1023&amp;";"&amp;B1023&amp;";"&amp;C1023</f>
        <v>25.93730186;98.21747528;29.3087112408792</v>
      </c>
      <c r="M1023" s="6" t="n">
        <f aca="false">IF(COUNTIF($L$2:$L$2201,L1023)&gt;1,1,0)</f>
        <v>0</v>
      </c>
      <c r="N1023" s="6" t="str">
        <f aca="false">IF(AND(C1023&lt;Assumptions!$B$9,B1023&lt;Assumptions!$B$10),"Irrigate Now",IF(AND(C1023&gt;=Assumptions!$B$11,B1023&gt;=Assumptions!$B$12),"No Irrigation Needed","Monitor"))</f>
        <v>Monitor</v>
      </c>
      <c r="O1023" s="6" t="n">
        <f aca="false">IF(N1023=G1023,1,0)</f>
        <v>1</v>
      </c>
    </row>
    <row r="1024" customFormat="false" ht="15" hidden="false" customHeight="false" outlineLevel="0" collapsed="false">
      <c r="A1024" s="16" t="n">
        <v>25.13686519</v>
      </c>
      <c r="B1024" s="16" t="n">
        <v>91.46442491</v>
      </c>
      <c r="C1024" s="16" t="n">
        <v>20.7181898917616</v>
      </c>
      <c r="D1024" s="6" t="s">
        <v>57</v>
      </c>
      <c r="E1024" s="6" t="s">
        <v>57</v>
      </c>
      <c r="F1024" s="6" t="s">
        <v>60</v>
      </c>
      <c r="G1024" s="6" t="s">
        <v>61</v>
      </c>
      <c r="H1024" s="6" t="s">
        <v>63</v>
      </c>
      <c r="I1024" s="6" t="str">
        <f aca="false">IF(A1024&lt;Outliers!$E$6,"Low",IF(A1024&gt;Outliers!$F$6,"High",""))</f>
        <v/>
      </c>
      <c r="J1024" s="6" t="str">
        <f aca="false">IF(B1024&lt;Outliers!$E$7,"Low",IF(B1024&gt;Outliers!$F$7,"High",""))</f>
        <v/>
      </c>
      <c r="K1024" s="6" t="str">
        <f aca="false">IF(C1024&lt;Outliers!$E$8,"Low",IF(C1024&gt;Outliers!$F$8,"High",""))</f>
        <v/>
      </c>
      <c r="L1024" s="6" t="str">
        <f aca="false">A1024&amp;";"&amp;B1024&amp;";"&amp;C1024</f>
        <v>25.13686519;91.46442491;20.7181898917616</v>
      </c>
      <c r="M1024" s="6" t="n">
        <f aca="false">IF(COUNTIF($L$2:$L$2201,L1024)&gt;1,1,0)</f>
        <v>0</v>
      </c>
      <c r="N1024" s="6" t="str">
        <f aca="false">IF(AND(C1024&lt;Assumptions!$B$9,B1024&lt;Assumptions!$B$10),"Irrigate Now",IF(AND(C1024&gt;=Assumptions!$B$11,B1024&gt;=Assumptions!$B$12),"No Irrigation Needed","Monitor"))</f>
        <v>Monitor</v>
      </c>
      <c r="O1024" s="6" t="n">
        <f aca="false">IF(N1024=G1024,1,0)</f>
        <v>1</v>
      </c>
    </row>
    <row r="1025" customFormat="false" ht="15" hidden="false" customHeight="false" outlineLevel="0" collapsed="false">
      <c r="A1025" s="16" t="n">
        <v>27.50527651</v>
      </c>
      <c r="B1025" s="16" t="n">
        <v>105.0776992</v>
      </c>
      <c r="C1025" s="16" t="n">
        <v>29.8830141116211</v>
      </c>
      <c r="D1025" s="6" t="s">
        <v>57</v>
      </c>
      <c r="E1025" s="6" t="s">
        <v>57</v>
      </c>
      <c r="F1025" s="6" t="s">
        <v>23</v>
      </c>
      <c r="G1025" s="6" t="s">
        <v>58</v>
      </c>
      <c r="H1025" s="6" t="s">
        <v>59</v>
      </c>
      <c r="I1025" s="6" t="str">
        <f aca="false">IF(A1025&lt;Outliers!$E$6,"Low",IF(A1025&gt;Outliers!$F$6,"High",""))</f>
        <v/>
      </c>
      <c r="J1025" s="6" t="str">
        <f aca="false">IF(B1025&lt;Outliers!$E$7,"Low",IF(B1025&gt;Outliers!$F$7,"High",""))</f>
        <v/>
      </c>
      <c r="K1025" s="6" t="str">
        <f aca="false">IF(C1025&lt;Outliers!$E$8,"Low",IF(C1025&gt;Outliers!$F$8,"High",""))</f>
        <v/>
      </c>
      <c r="L1025" s="6" t="str">
        <f aca="false">A1025&amp;";"&amp;B1025&amp;";"&amp;C1025</f>
        <v>27.50527651;105.0776992;29.8830141116211</v>
      </c>
      <c r="M1025" s="6" t="n">
        <f aca="false">IF(COUNTIF($L$2:$L$2201,L1025)&gt;1,1,0)</f>
        <v>0</v>
      </c>
      <c r="N1025" s="6" t="str">
        <f aca="false">IF(AND(C1025&lt;Assumptions!$B$9,B1025&lt;Assumptions!$B$10),"Irrigate Now",IF(AND(C1025&gt;=Assumptions!$B$11,B1025&gt;=Assumptions!$B$12),"No Irrigation Needed","Monitor"))</f>
        <v>No Irrigation Needed</v>
      </c>
      <c r="O1025" s="6" t="n">
        <f aca="false">IF(N1025=G1025,1,0)</f>
        <v>1</v>
      </c>
    </row>
    <row r="1026" customFormat="false" ht="15" hidden="false" customHeight="false" outlineLevel="0" collapsed="false">
      <c r="A1026" s="16" t="n">
        <v>26.21009246</v>
      </c>
      <c r="B1026" s="16" t="n">
        <v>112.0700033</v>
      </c>
      <c r="C1026" s="16" t="n">
        <v>18.2301069396012</v>
      </c>
      <c r="D1026" s="6" t="s">
        <v>57</v>
      </c>
      <c r="E1026" s="6" t="s">
        <v>57</v>
      </c>
      <c r="F1026" s="6" t="s">
        <v>60</v>
      </c>
      <c r="G1026" s="6" t="s">
        <v>61</v>
      </c>
      <c r="H1026" s="6" t="s">
        <v>63</v>
      </c>
      <c r="I1026" s="6" t="str">
        <f aca="false">IF(A1026&lt;Outliers!$E$6,"Low",IF(A1026&gt;Outliers!$F$6,"High",""))</f>
        <v/>
      </c>
      <c r="J1026" s="6" t="str">
        <f aca="false">IF(B1026&lt;Outliers!$E$7,"Low",IF(B1026&gt;Outliers!$F$7,"High",""))</f>
        <v/>
      </c>
      <c r="K1026" s="6" t="str">
        <f aca="false">IF(C1026&lt;Outliers!$E$8,"Low",IF(C1026&gt;Outliers!$F$8,"High",""))</f>
        <v/>
      </c>
      <c r="L1026" s="6" t="str">
        <f aca="false">A1026&amp;";"&amp;B1026&amp;";"&amp;C1026</f>
        <v>26.21009246;112.0700033;18.2301069396012</v>
      </c>
      <c r="M1026" s="6" t="n">
        <f aca="false">IF(COUNTIF($L$2:$L$2201,L1026)&gt;1,1,0)</f>
        <v>0</v>
      </c>
      <c r="N1026" s="6" t="str">
        <f aca="false">IF(AND(C1026&lt;Assumptions!$B$9,B1026&lt;Assumptions!$B$10),"Irrigate Now",IF(AND(C1026&gt;=Assumptions!$B$11,B1026&gt;=Assumptions!$B$12),"No Irrigation Needed","Monitor"))</f>
        <v>Monitor</v>
      </c>
      <c r="O1026" s="6" t="n">
        <f aca="false">IF(N1026=G1026,1,0)</f>
        <v>1</v>
      </c>
    </row>
    <row r="1027" customFormat="false" ht="15" hidden="false" customHeight="false" outlineLevel="0" collapsed="false">
      <c r="A1027" s="16" t="n">
        <v>29.10403455</v>
      </c>
      <c r="B1027" s="16" t="n">
        <v>92.07835761</v>
      </c>
      <c r="C1027" s="16" t="n">
        <v>18.7305840979293</v>
      </c>
      <c r="D1027" s="6" t="s">
        <v>57</v>
      </c>
      <c r="E1027" s="6" t="s">
        <v>57</v>
      </c>
      <c r="F1027" s="6" t="s">
        <v>60</v>
      </c>
      <c r="G1027" s="6" t="s">
        <v>61</v>
      </c>
      <c r="H1027" s="6" t="s">
        <v>63</v>
      </c>
      <c r="I1027" s="6" t="str">
        <f aca="false">IF(A1027&lt;Outliers!$E$6,"Low",IF(A1027&gt;Outliers!$F$6,"High",""))</f>
        <v/>
      </c>
      <c r="J1027" s="6" t="str">
        <f aca="false">IF(B1027&lt;Outliers!$E$7,"Low",IF(B1027&gt;Outliers!$F$7,"High",""))</f>
        <v/>
      </c>
      <c r="K1027" s="6" t="str">
        <f aca="false">IF(C1027&lt;Outliers!$E$8,"Low",IF(C1027&gt;Outliers!$F$8,"High",""))</f>
        <v/>
      </c>
      <c r="L1027" s="6" t="str">
        <f aca="false">A1027&amp;";"&amp;B1027&amp;";"&amp;C1027</f>
        <v>29.10403455;92.07835761;18.7305840979293</v>
      </c>
      <c r="M1027" s="6" t="n">
        <f aca="false">IF(COUNTIF($L$2:$L$2201,L1027)&gt;1,1,0)</f>
        <v>0</v>
      </c>
      <c r="N1027" s="6" t="str">
        <f aca="false">IF(AND(C1027&lt;Assumptions!$B$9,B1027&lt;Assumptions!$B$10),"Irrigate Now",IF(AND(C1027&gt;=Assumptions!$B$11,B1027&gt;=Assumptions!$B$12),"No Irrigation Needed","Monitor"))</f>
        <v>Monitor</v>
      </c>
      <c r="O1027" s="6" t="n">
        <f aca="false">IF(N1027=G1027,1,0)</f>
        <v>1</v>
      </c>
    </row>
    <row r="1028" customFormat="false" ht="15" hidden="false" customHeight="false" outlineLevel="0" collapsed="false">
      <c r="A1028" s="16" t="n">
        <v>29.2440638</v>
      </c>
      <c r="B1028" s="16" t="n">
        <v>90.66727868</v>
      </c>
      <c r="C1028" s="16" t="n">
        <v>10.2364189359323</v>
      </c>
      <c r="D1028" s="6" t="s">
        <v>57</v>
      </c>
      <c r="E1028" s="6" t="s">
        <v>57</v>
      </c>
      <c r="F1028" s="6" t="s">
        <v>24</v>
      </c>
      <c r="G1028" s="6" t="s">
        <v>64</v>
      </c>
      <c r="H1028" s="6" t="s">
        <v>65</v>
      </c>
      <c r="I1028" s="6" t="str">
        <f aca="false">IF(A1028&lt;Outliers!$E$6,"Low",IF(A1028&gt;Outliers!$F$6,"High",""))</f>
        <v/>
      </c>
      <c r="J1028" s="6" t="str">
        <f aca="false">IF(B1028&lt;Outliers!$E$7,"Low",IF(B1028&gt;Outliers!$F$7,"High",""))</f>
        <v/>
      </c>
      <c r="K1028" s="6" t="str">
        <f aca="false">IF(C1028&lt;Outliers!$E$8,"Low",IF(C1028&gt;Outliers!$F$8,"High",""))</f>
        <v/>
      </c>
      <c r="L1028" s="6" t="str">
        <f aca="false">A1028&amp;";"&amp;B1028&amp;";"&amp;C1028</f>
        <v>29.2440638;90.66727868;10.2364189359323</v>
      </c>
      <c r="M1028" s="6" t="n">
        <f aca="false">IF(COUNTIF($L$2:$L$2201,L1028)&gt;1,1,0)</f>
        <v>0</v>
      </c>
      <c r="N1028" s="6" t="str">
        <f aca="false">IF(AND(C1028&lt;Assumptions!$B$9,B1028&lt;Assumptions!$B$10),"Irrigate Now",IF(AND(C1028&gt;=Assumptions!$B$11,B1028&gt;=Assumptions!$B$12),"No Irrigation Needed","Monitor"))</f>
        <v>Irrigate Now</v>
      </c>
      <c r="O1028" s="6" t="n">
        <f aca="false">IF(N1028=G1028,1,0)</f>
        <v>1</v>
      </c>
    </row>
    <row r="1029" customFormat="false" ht="15" hidden="false" customHeight="false" outlineLevel="0" collapsed="false">
      <c r="A1029" s="16" t="n">
        <v>25.56202173</v>
      </c>
      <c r="B1029" s="16" t="n">
        <v>93.10247183</v>
      </c>
      <c r="C1029" s="16" t="n">
        <v>20.5332544365517</v>
      </c>
      <c r="D1029" s="6" t="s">
        <v>57</v>
      </c>
      <c r="E1029" s="6" t="s">
        <v>57</v>
      </c>
      <c r="F1029" s="6" t="s">
        <v>60</v>
      </c>
      <c r="G1029" s="6" t="s">
        <v>61</v>
      </c>
      <c r="H1029" s="6" t="s">
        <v>63</v>
      </c>
      <c r="I1029" s="6" t="str">
        <f aca="false">IF(A1029&lt;Outliers!$E$6,"Low",IF(A1029&gt;Outliers!$F$6,"High",""))</f>
        <v/>
      </c>
      <c r="J1029" s="6" t="str">
        <f aca="false">IF(B1029&lt;Outliers!$E$7,"Low",IF(B1029&gt;Outliers!$F$7,"High",""))</f>
        <v/>
      </c>
      <c r="K1029" s="6" t="str">
        <f aca="false">IF(C1029&lt;Outliers!$E$8,"Low",IF(C1029&gt;Outliers!$F$8,"High",""))</f>
        <v/>
      </c>
      <c r="L1029" s="6" t="str">
        <f aca="false">A1029&amp;";"&amp;B1029&amp;";"&amp;C1029</f>
        <v>25.56202173;93.10247183;20.5332544365517</v>
      </c>
      <c r="M1029" s="6" t="n">
        <f aca="false">IF(COUNTIF($L$2:$L$2201,L1029)&gt;1,1,0)</f>
        <v>0</v>
      </c>
      <c r="N1029" s="6" t="str">
        <f aca="false">IF(AND(C1029&lt;Assumptions!$B$9,B1029&lt;Assumptions!$B$10),"Irrigate Now",IF(AND(C1029&gt;=Assumptions!$B$11,B1029&gt;=Assumptions!$B$12),"No Irrigation Needed","Monitor"))</f>
        <v>Monitor</v>
      </c>
      <c r="O1029" s="6" t="n">
        <f aca="false">IF(N1029=G1029,1,0)</f>
        <v>1</v>
      </c>
    </row>
    <row r="1030" customFormat="false" ht="15" hidden="false" customHeight="false" outlineLevel="0" collapsed="false">
      <c r="A1030" s="16" t="n">
        <v>26.3985515</v>
      </c>
      <c r="B1030" s="16" t="n">
        <v>98.16752001</v>
      </c>
      <c r="C1030" s="16" t="n">
        <v>13.1171819705369</v>
      </c>
      <c r="D1030" s="6" t="s">
        <v>57</v>
      </c>
      <c r="E1030" s="6" t="s">
        <v>57</v>
      </c>
      <c r="F1030" s="6" t="s">
        <v>24</v>
      </c>
      <c r="G1030" s="6" t="s">
        <v>64</v>
      </c>
      <c r="H1030" s="6" t="s">
        <v>65</v>
      </c>
      <c r="I1030" s="6" t="str">
        <f aca="false">IF(A1030&lt;Outliers!$E$6,"Low",IF(A1030&gt;Outliers!$F$6,"High",""))</f>
        <v/>
      </c>
      <c r="J1030" s="6" t="str">
        <f aca="false">IF(B1030&lt;Outliers!$E$7,"Low",IF(B1030&gt;Outliers!$F$7,"High",""))</f>
        <v/>
      </c>
      <c r="K1030" s="6" t="str">
        <f aca="false">IF(C1030&lt;Outliers!$E$8,"Low",IF(C1030&gt;Outliers!$F$8,"High",""))</f>
        <v/>
      </c>
      <c r="L1030" s="6" t="str">
        <f aca="false">A1030&amp;";"&amp;B1030&amp;";"&amp;C1030</f>
        <v>26.3985515;98.16752001;13.1171819705369</v>
      </c>
      <c r="M1030" s="6" t="n">
        <f aca="false">IF(COUNTIF($L$2:$L$2201,L1030)&gt;1,1,0)</f>
        <v>0</v>
      </c>
      <c r="N1030" s="6" t="str">
        <f aca="false">IF(AND(C1030&lt;Assumptions!$B$9,B1030&lt;Assumptions!$B$10),"Irrigate Now",IF(AND(C1030&gt;=Assumptions!$B$11,B1030&gt;=Assumptions!$B$12),"No Irrigation Needed","Monitor"))</f>
        <v>Irrigate Now</v>
      </c>
      <c r="O1030" s="6" t="n">
        <f aca="false">IF(N1030=G1030,1,0)</f>
        <v>1</v>
      </c>
    </row>
    <row r="1031" customFormat="false" ht="15" hidden="false" customHeight="false" outlineLevel="0" collapsed="false">
      <c r="A1031" s="16" t="n">
        <v>28.09577643</v>
      </c>
      <c r="B1031" s="16" t="n">
        <v>109.5408614</v>
      </c>
      <c r="C1031" s="16" t="n">
        <v>22.4041379718129</v>
      </c>
      <c r="D1031" s="6" t="s">
        <v>57</v>
      </c>
      <c r="E1031" s="6" t="s">
        <v>57</v>
      </c>
      <c r="F1031" s="6" t="s">
        <v>60</v>
      </c>
      <c r="G1031" s="6" t="s">
        <v>61</v>
      </c>
      <c r="H1031" s="6" t="s">
        <v>63</v>
      </c>
      <c r="I1031" s="6" t="str">
        <f aca="false">IF(A1031&lt;Outliers!$E$6,"Low",IF(A1031&gt;Outliers!$F$6,"High",""))</f>
        <v/>
      </c>
      <c r="J1031" s="6" t="str">
        <f aca="false">IF(B1031&lt;Outliers!$E$7,"Low",IF(B1031&gt;Outliers!$F$7,"High",""))</f>
        <v/>
      </c>
      <c r="K1031" s="6" t="str">
        <f aca="false">IF(C1031&lt;Outliers!$E$8,"Low",IF(C1031&gt;Outliers!$F$8,"High",""))</f>
        <v/>
      </c>
      <c r="L1031" s="6" t="str">
        <f aca="false">A1031&amp;";"&amp;B1031&amp;";"&amp;C1031</f>
        <v>28.09577643;109.5408614;22.4041379718129</v>
      </c>
      <c r="M1031" s="6" t="n">
        <f aca="false">IF(COUNTIF($L$2:$L$2201,L1031)&gt;1,1,0)</f>
        <v>0</v>
      </c>
      <c r="N1031" s="6" t="str">
        <f aca="false">IF(AND(C1031&lt;Assumptions!$B$9,B1031&lt;Assumptions!$B$10),"Irrigate Now",IF(AND(C1031&gt;=Assumptions!$B$11,B1031&gt;=Assumptions!$B$12),"No Irrigation Needed","Monitor"))</f>
        <v>Monitor</v>
      </c>
      <c r="O1031" s="6" t="n">
        <f aca="false">IF(N1031=G1031,1,0)</f>
        <v>1</v>
      </c>
    </row>
    <row r="1032" customFormat="false" ht="15" hidden="false" customHeight="false" outlineLevel="0" collapsed="false">
      <c r="A1032" s="16" t="n">
        <v>27.84767901</v>
      </c>
      <c r="B1032" s="16" t="n">
        <v>117.2878912</v>
      </c>
      <c r="C1032" s="16" t="n">
        <v>27.5566755508072</v>
      </c>
      <c r="D1032" s="6" t="s">
        <v>57</v>
      </c>
      <c r="E1032" s="6" t="s">
        <v>57</v>
      </c>
      <c r="F1032" s="6" t="s">
        <v>23</v>
      </c>
      <c r="G1032" s="6" t="s">
        <v>58</v>
      </c>
      <c r="H1032" s="6" t="s">
        <v>59</v>
      </c>
      <c r="I1032" s="6" t="str">
        <f aca="false">IF(A1032&lt;Outliers!$E$6,"Low",IF(A1032&gt;Outliers!$F$6,"High",""))</f>
        <v/>
      </c>
      <c r="J1032" s="6" t="str">
        <f aca="false">IF(B1032&lt;Outliers!$E$7,"Low",IF(B1032&gt;Outliers!$F$7,"High",""))</f>
        <v/>
      </c>
      <c r="K1032" s="6" t="str">
        <f aca="false">IF(C1032&lt;Outliers!$E$8,"Low",IF(C1032&gt;Outliers!$F$8,"High",""))</f>
        <v/>
      </c>
      <c r="L1032" s="6" t="str">
        <f aca="false">A1032&amp;";"&amp;B1032&amp;";"&amp;C1032</f>
        <v>27.84767901;117.2878912;27.5566755508072</v>
      </c>
      <c r="M1032" s="6" t="n">
        <f aca="false">IF(COUNTIF($L$2:$L$2201,L1032)&gt;1,1,0)</f>
        <v>0</v>
      </c>
      <c r="N1032" s="6" t="str">
        <f aca="false">IF(AND(C1032&lt;Assumptions!$B$9,B1032&lt;Assumptions!$B$10),"Irrigate Now",IF(AND(C1032&gt;=Assumptions!$B$11,B1032&gt;=Assumptions!$B$12),"No Irrigation Needed","Monitor"))</f>
        <v>No Irrigation Needed</v>
      </c>
      <c r="O1032" s="6" t="n">
        <f aca="false">IF(N1032=G1032,1,0)</f>
        <v>1</v>
      </c>
    </row>
    <row r="1033" customFormat="false" ht="15" hidden="false" customHeight="false" outlineLevel="0" collapsed="false">
      <c r="A1033" s="16" t="n">
        <v>27.39341554</v>
      </c>
      <c r="B1033" s="16" t="n">
        <v>94.31102057</v>
      </c>
      <c r="C1033" s="16" t="n">
        <v>19.9486401156704</v>
      </c>
      <c r="D1033" s="6" t="s">
        <v>57</v>
      </c>
      <c r="E1033" s="6" t="s">
        <v>57</v>
      </c>
      <c r="F1033" s="6" t="s">
        <v>60</v>
      </c>
      <c r="G1033" s="6" t="s">
        <v>61</v>
      </c>
      <c r="H1033" s="6" t="s">
        <v>63</v>
      </c>
      <c r="I1033" s="6" t="str">
        <f aca="false">IF(A1033&lt;Outliers!$E$6,"Low",IF(A1033&gt;Outliers!$F$6,"High",""))</f>
        <v/>
      </c>
      <c r="J1033" s="6" t="str">
        <f aca="false">IF(B1033&lt;Outliers!$E$7,"Low",IF(B1033&gt;Outliers!$F$7,"High",""))</f>
        <v/>
      </c>
      <c r="K1033" s="6" t="str">
        <f aca="false">IF(C1033&lt;Outliers!$E$8,"Low",IF(C1033&gt;Outliers!$F$8,"High",""))</f>
        <v/>
      </c>
      <c r="L1033" s="6" t="str">
        <f aca="false">A1033&amp;";"&amp;B1033&amp;";"&amp;C1033</f>
        <v>27.39341554;94.31102057;19.9486401156704</v>
      </c>
      <c r="M1033" s="6" t="n">
        <f aca="false">IF(COUNTIF($L$2:$L$2201,L1033)&gt;1,1,0)</f>
        <v>0</v>
      </c>
      <c r="N1033" s="6" t="str">
        <f aca="false">IF(AND(C1033&lt;Assumptions!$B$9,B1033&lt;Assumptions!$B$10),"Irrigate Now",IF(AND(C1033&gt;=Assumptions!$B$11,B1033&gt;=Assumptions!$B$12),"No Irrigation Needed","Monitor"))</f>
        <v>Monitor</v>
      </c>
      <c r="O1033" s="6" t="n">
        <f aca="false">IF(N1033=G1033,1,0)</f>
        <v>1</v>
      </c>
    </row>
    <row r="1034" customFormat="false" ht="15" hidden="false" customHeight="false" outlineLevel="0" collapsed="false">
      <c r="A1034" s="16" t="n">
        <v>25.14517635</v>
      </c>
      <c r="B1034" s="16" t="n">
        <v>119.218154</v>
      </c>
      <c r="C1034" s="16" t="n">
        <v>14.2088625216806</v>
      </c>
      <c r="D1034" s="6" t="s">
        <v>57</v>
      </c>
      <c r="E1034" s="6" t="s">
        <v>57</v>
      </c>
      <c r="F1034" s="6" t="s">
        <v>24</v>
      </c>
      <c r="G1034" s="6" t="s">
        <v>61</v>
      </c>
      <c r="H1034" s="6" t="s">
        <v>63</v>
      </c>
      <c r="I1034" s="6" t="str">
        <f aca="false">IF(A1034&lt;Outliers!$E$6,"Low",IF(A1034&gt;Outliers!$F$6,"High",""))</f>
        <v/>
      </c>
      <c r="J1034" s="6" t="str">
        <f aca="false">IF(B1034&lt;Outliers!$E$7,"Low",IF(B1034&gt;Outliers!$F$7,"High",""))</f>
        <v/>
      </c>
      <c r="K1034" s="6" t="str">
        <f aca="false">IF(C1034&lt;Outliers!$E$8,"Low",IF(C1034&gt;Outliers!$F$8,"High",""))</f>
        <v/>
      </c>
      <c r="L1034" s="6" t="str">
        <f aca="false">A1034&amp;";"&amp;B1034&amp;";"&amp;C1034</f>
        <v>25.14517635;119.218154;14.2088625216806</v>
      </c>
      <c r="M1034" s="6" t="n">
        <f aca="false">IF(COUNTIF($L$2:$L$2201,L1034)&gt;1,1,0)</f>
        <v>0</v>
      </c>
      <c r="N1034" s="6" t="str">
        <f aca="false">IF(AND(C1034&lt;Assumptions!$B$9,B1034&lt;Assumptions!$B$10),"Irrigate Now",IF(AND(C1034&gt;=Assumptions!$B$11,B1034&gt;=Assumptions!$B$12),"No Irrigation Needed","Monitor"))</f>
        <v>Monitor</v>
      </c>
      <c r="O1034" s="6" t="n">
        <f aca="false">IF(N1034=G1034,1,0)</f>
        <v>1</v>
      </c>
    </row>
    <row r="1035" customFormat="false" ht="15" hidden="false" customHeight="false" outlineLevel="0" collapsed="false">
      <c r="A1035" s="16" t="n">
        <v>28.65456263</v>
      </c>
      <c r="B1035" s="16" t="n">
        <v>102.4633775</v>
      </c>
      <c r="C1035" s="16" t="n">
        <v>26.4789349833628</v>
      </c>
      <c r="D1035" s="6" t="s">
        <v>57</v>
      </c>
      <c r="E1035" s="6" t="s">
        <v>57</v>
      </c>
      <c r="F1035" s="6" t="s">
        <v>23</v>
      </c>
      <c r="G1035" s="6" t="s">
        <v>58</v>
      </c>
      <c r="H1035" s="6" t="s">
        <v>59</v>
      </c>
      <c r="I1035" s="6" t="str">
        <f aca="false">IF(A1035&lt;Outliers!$E$6,"Low",IF(A1035&gt;Outliers!$F$6,"High",""))</f>
        <v/>
      </c>
      <c r="J1035" s="6" t="str">
        <f aca="false">IF(B1035&lt;Outliers!$E$7,"Low",IF(B1035&gt;Outliers!$F$7,"High",""))</f>
        <v/>
      </c>
      <c r="K1035" s="6" t="str">
        <f aca="false">IF(C1035&lt;Outliers!$E$8,"Low",IF(C1035&gt;Outliers!$F$8,"High",""))</f>
        <v/>
      </c>
      <c r="L1035" s="6" t="str">
        <f aca="false">A1035&amp;";"&amp;B1035&amp;";"&amp;C1035</f>
        <v>28.65456263;102.4633775;26.4789349833628</v>
      </c>
      <c r="M1035" s="6" t="n">
        <f aca="false">IF(COUNTIF($L$2:$L$2201,L1035)&gt;1,1,0)</f>
        <v>0</v>
      </c>
      <c r="N1035" s="6" t="str">
        <f aca="false">IF(AND(C1035&lt;Assumptions!$B$9,B1035&lt;Assumptions!$B$10),"Irrigate Now",IF(AND(C1035&gt;=Assumptions!$B$11,B1035&gt;=Assumptions!$B$12),"No Irrigation Needed","Monitor"))</f>
        <v>No Irrigation Needed</v>
      </c>
      <c r="O1035" s="6" t="n">
        <f aca="false">IF(N1035=G1035,1,0)</f>
        <v>1</v>
      </c>
    </row>
    <row r="1036" customFormat="false" ht="15" hidden="false" customHeight="false" outlineLevel="0" collapsed="false">
      <c r="A1036" s="16" t="n">
        <v>29.16093424</v>
      </c>
      <c r="B1036" s="16" t="n">
        <v>109.575944</v>
      </c>
      <c r="C1036" s="16" t="n">
        <v>16.3419992924328</v>
      </c>
      <c r="D1036" s="6" t="s">
        <v>57</v>
      </c>
      <c r="E1036" s="6" t="s">
        <v>57</v>
      </c>
      <c r="F1036" s="6" t="s">
        <v>24</v>
      </c>
      <c r="G1036" s="6" t="s">
        <v>61</v>
      </c>
      <c r="H1036" s="6" t="s">
        <v>63</v>
      </c>
      <c r="I1036" s="6" t="str">
        <f aca="false">IF(A1036&lt;Outliers!$E$6,"Low",IF(A1036&gt;Outliers!$F$6,"High",""))</f>
        <v/>
      </c>
      <c r="J1036" s="6" t="str">
        <f aca="false">IF(B1036&lt;Outliers!$E$7,"Low",IF(B1036&gt;Outliers!$F$7,"High",""))</f>
        <v/>
      </c>
      <c r="K1036" s="6" t="str">
        <f aca="false">IF(C1036&lt;Outliers!$E$8,"Low",IF(C1036&gt;Outliers!$F$8,"High",""))</f>
        <v/>
      </c>
      <c r="L1036" s="6" t="str">
        <f aca="false">A1036&amp;";"&amp;B1036&amp;";"&amp;C1036</f>
        <v>29.16093424;109.575944;16.3419992924328</v>
      </c>
      <c r="M1036" s="6" t="n">
        <f aca="false">IF(COUNTIF($L$2:$L$2201,L1036)&gt;1,1,0)</f>
        <v>0</v>
      </c>
      <c r="N1036" s="6" t="str">
        <f aca="false">IF(AND(C1036&lt;Assumptions!$B$9,B1036&lt;Assumptions!$B$10),"Irrigate Now",IF(AND(C1036&gt;=Assumptions!$B$11,B1036&gt;=Assumptions!$B$12),"No Irrigation Needed","Monitor"))</f>
        <v>Monitor</v>
      </c>
      <c r="O1036" s="6" t="n">
        <f aca="false">IF(N1036=G1036,1,0)</f>
        <v>1</v>
      </c>
    </row>
    <row r="1037" customFormat="false" ht="15" hidden="false" customHeight="false" outlineLevel="0" collapsed="false">
      <c r="A1037" s="16" t="n">
        <v>27.57278064</v>
      </c>
      <c r="B1037" s="16" t="n">
        <v>91.34276507</v>
      </c>
      <c r="C1037" s="16" t="n">
        <v>19.1831706370234</v>
      </c>
      <c r="D1037" s="6" t="s">
        <v>57</v>
      </c>
      <c r="E1037" s="6" t="s">
        <v>57</v>
      </c>
      <c r="F1037" s="6" t="s">
        <v>60</v>
      </c>
      <c r="G1037" s="6" t="s">
        <v>61</v>
      </c>
      <c r="H1037" s="6" t="s">
        <v>63</v>
      </c>
      <c r="I1037" s="6" t="str">
        <f aca="false">IF(A1037&lt;Outliers!$E$6,"Low",IF(A1037&gt;Outliers!$F$6,"High",""))</f>
        <v/>
      </c>
      <c r="J1037" s="6" t="str">
        <f aca="false">IF(B1037&lt;Outliers!$E$7,"Low",IF(B1037&gt;Outliers!$F$7,"High",""))</f>
        <v/>
      </c>
      <c r="K1037" s="6" t="str">
        <f aca="false">IF(C1037&lt;Outliers!$E$8,"Low",IF(C1037&gt;Outliers!$F$8,"High",""))</f>
        <v/>
      </c>
      <c r="L1037" s="6" t="str">
        <f aca="false">A1037&amp;";"&amp;B1037&amp;";"&amp;C1037</f>
        <v>27.57278064;91.34276507;19.1831706370234</v>
      </c>
      <c r="M1037" s="6" t="n">
        <f aca="false">IF(COUNTIF($L$2:$L$2201,L1037)&gt;1,1,0)</f>
        <v>0</v>
      </c>
      <c r="N1037" s="6" t="str">
        <f aca="false">IF(AND(C1037&lt;Assumptions!$B$9,B1037&lt;Assumptions!$B$10),"Irrigate Now",IF(AND(C1037&gt;=Assumptions!$B$11,B1037&gt;=Assumptions!$B$12),"No Irrigation Needed","Monitor"))</f>
        <v>Monitor</v>
      </c>
      <c r="O1037" s="6" t="n">
        <f aca="false">IF(N1037=G1037,1,0)</f>
        <v>1</v>
      </c>
    </row>
    <row r="1038" customFormat="false" ht="15" hidden="false" customHeight="false" outlineLevel="0" collapsed="false">
      <c r="A1038" s="16" t="n">
        <v>25.40909896</v>
      </c>
      <c r="B1038" s="16" t="n">
        <v>112.9794804</v>
      </c>
      <c r="C1038" s="16" t="n">
        <v>28.6603376350465</v>
      </c>
      <c r="D1038" s="6" t="s">
        <v>57</v>
      </c>
      <c r="E1038" s="6" t="s">
        <v>57</v>
      </c>
      <c r="F1038" s="6" t="s">
        <v>23</v>
      </c>
      <c r="G1038" s="6" t="s">
        <v>58</v>
      </c>
      <c r="H1038" s="6" t="s">
        <v>59</v>
      </c>
      <c r="I1038" s="6" t="str">
        <f aca="false">IF(A1038&lt;Outliers!$E$6,"Low",IF(A1038&gt;Outliers!$F$6,"High",""))</f>
        <v/>
      </c>
      <c r="J1038" s="6" t="str">
        <f aca="false">IF(B1038&lt;Outliers!$E$7,"Low",IF(B1038&gt;Outliers!$F$7,"High",""))</f>
        <v/>
      </c>
      <c r="K1038" s="6" t="str">
        <f aca="false">IF(C1038&lt;Outliers!$E$8,"Low",IF(C1038&gt;Outliers!$F$8,"High",""))</f>
        <v/>
      </c>
      <c r="L1038" s="6" t="str">
        <f aca="false">A1038&amp;";"&amp;B1038&amp;";"&amp;C1038</f>
        <v>25.40909896;112.9794804;28.6603376350465</v>
      </c>
      <c r="M1038" s="6" t="n">
        <f aca="false">IF(COUNTIF($L$2:$L$2201,L1038)&gt;1,1,0)</f>
        <v>0</v>
      </c>
      <c r="N1038" s="6" t="str">
        <f aca="false">IF(AND(C1038&lt;Assumptions!$B$9,B1038&lt;Assumptions!$B$10),"Irrigate Now",IF(AND(C1038&gt;=Assumptions!$B$11,B1038&gt;=Assumptions!$B$12),"No Irrigation Needed","Monitor"))</f>
        <v>No Irrigation Needed</v>
      </c>
      <c r="O1038" s="6" t="n">
        <f aca="false">IF(N1038=G1038,1,0)</f>
        <v>1</v>
      </c>
    </row>
    <row r="1039" customFormat="false" ht="15" hidden="false" customHeight="false" outlineLevel="0" collapsed="false">
      <c r="A1039" s="16" t="n">
        <v>25.99069521</v>
      </c>
      <c r="B1039" s="16" t="n">
        <v>112.0777152</v>
      </c>
      <c r="C1039" s="16" t="n">
        <v>24.811209059606</v>
      </c>
      <c r="D1039" s="6" t="s">
        <v>57</v>
      </c>
      <c r="E1039" s="6" t="s">
        <v>57</v>
      </c>
      <c r="F1039" s="6" t="s">
        <v>23</v>
      </c>
      <c r="G1039" s="6" t="s">
        <v>61</v>
      </c>
      <c r="H1039" s="6" t="s">
        <v>63</v>
      </c>
      <c r="I1039" s="6" t="str">
        <f aca="false">IF(A1039&lt;Outliers!$E$6,"Low",IF(A1039&gt;Outliers!$F$6,"High",""))</f>
        <v/>
      </c>
      <c r="J1039" s="6" t="str">
        <f aca="false">IF(B1039&lt;Outliers!$E$7,"Low",IF(B1039&gt;Outliers!$F$7,"High",""))</f>
        <v/>
      </c>
      <c r="K1039" s="6" t="str">
        <f aca="false">IF(C1039&lt;Outliers!$E$8,"Low",IF(C1039&gt;Outliers!$F$8,"High",""))</f>
        <v/>
      </c>
      <c r="L1039" s="6" t="str">
        <f aca="false">A1039&amp;";"&amp;B1039&amp;";"&amp;C1039</f>
        <v>25.99069521;112.0777152;24.811209059606</v>
      </c>
      <c r="M1039" s="6" t="n">
        <f aca="false">IF(COUNTIF($L$2:$L$2201,L1039)&gt;1,1,0)</f>
        <v>0</v>
      </c>
      <c r="N1039" s="6" t="str">
        <f aca="false">IF(AND(C1039&lt;Assumptions!$B$9,B1039&lt;Assumptions!$B$10),"Irrigate Now",IF(AND(C1039&gt;=Assumptions!$B$11,B1039&gt;=Assumptions!$B$12),"No Irrigation Needed","Monitor"))</f>
        <v>Monitor</v>
      </c>
      <c r="O1039" s="6" t="n">
        <f aca="false">IF(N1039=G1039,1,0)</f>
        <v>1</v>
      </c>
    </row>
    <row r="1040" customFormat="false" ht="15" hidden="false" customHeight="false" outlineLevel="0" collapsed="false">
      <c r="A1040" s="16" t="n">
        <v>26.29039046</v>
      </c>
      <c r="B1040" s="16" t="n">
        <v>118.6730366</v>
      </c>
      <c r="C1040" s="16" t="n">
        <v>12.0823602339951</v>
      </c>
      <c r="D1040" s="6" t="s">
        <v>57</v>
      </c>
      <c r="E1040" s="6" t="s">
        <v>57</v>
      </c>
      <c r="F1040" s="6" t="s">
        <v>24</v>
      </c>
      <c r="G1040" s="6" t="s">
        <v>61</v>
      </c>
      <c r="H1040" s="6" t="s">
        <v>63</v>
      </c>
      <c r="I1040" s="6" t="str">
        <f aca="false">IF(A1040&lt;Outliers!$E$6,"Low",IF(A1040&gt;Outliers!$F$6,"High",""))</f>
        <v/>
      </c>
      <c r="J1040" s="6" t="str">
        <f aca="false">IF(B1040&lt;Outliers!$E$7,"Low",IF(B1040&gt;Outliers!$F$7,"High",""))</f>
        <v/>
      </c>
      <c r="K1040" s="6" t="str">
        <f aca="false">IF(C1040&lt;Outliers!$E$8,"Low",IF(C1040&gt;Outliers!$F$8,"High",""))</f>
        <v/>
      </c>
      <c r="L1040" s="6" t="str">
        <f aca="false">A1040&amp;";"&amp;B1040&amp;";"&amp;C1040</f>
        <v>26.29039046;118.6730366;12.0823602339951</v>
      </c>
      <c r="M1040" s="6" t="n">
        <f aca="false">IF(COUNTIF($L$2:$L$2201,L1040)&gt;1,1,0)</f>
        <v>0</v>
      </c>
      <c r="N1040" s="6" t="str">
        <f aca="false">IF(AND(C1040&lt;Assumptions!$B$9,B1040&lt;Assumptions!$B$10),"Irrigate Now",IF(AND(C1040&gt;=Assumptions!$B$11,B1040&gt;=Assumptions!$B$12),"No Irrigation Needed","Monitor"))</f>
        <v>Monitor</v>
      </c>
      <c r="O1040" s="6" t="n">
        <f aca="false">IF(N1040=G1040,1,0)</f>
        <v>1</v>
      </c>
    </row>
    <row r="1041" customFormat="false" ht="15" hidden="false" customHeight="false" outlineLevel="0" collapsed="false">
      <c r="A1041" s="16" t="n">
        <v>29.14827211</v>
      </c>
      <c r="B1041" s="16" t="n">
        <v>117.536781</v>
      </c>
      <c r="C1041" s="16" t="n">
        <v>28.1973705295517</v>
      </c>
      <c r="D1041" s="6" t="s">
        <v>57</v>
      </c>
      <c r="E1041" s="6" t="s">
        <v>57</v>
      </c>
      <c r="F1041" s="6" t="s">
        <v>23</v>
      </c>
      <c r="G1041" s="6" t="s">
        <v>58</v>
      </c>
      <c r="H1041" s="6" t="s">
        <v>59</v>
      </c>
      <c r="I1041" s="6" t="str">
        <f aca="false">IF(A1041&lt;Outliers!$E$6,"Low",IF(A1041&gt;Outliers!$F$6,"High",""))</f>
        <v/>
      </c>
      <c r="J1041" s="6" t="str">
        <f aca="false">IF(B1041&lt;Outliers!$E$7,"Low",IF(B1041&gt;Outliers!$F$7,"High",""))</f>
        <v/>
      </c>
      <c r="K1041" s="6" t="str">
        <f aca="false">IF(C1041&lt;Outliers!$E$8,"Low",IF(C1041&gt;Outliers!$F$8,"High",""))</f>
        <v/>
      </c>
      <c r="L1041" s="6" t="str">
        <f aca="false">A1041&amp;";"&amp;B1041&amp;";"&amp;C1041</f>
        <v>29.14827211;117.536781;28.1973705295517</v>
      </c>
      <c r="M1041" s="6" t="n">
        <f aca="false">IF(COUNTIF($L$2:$L$2201,L1041)&gt;1,1,0)</f>
        <v>0</v>
      </c>
      <c r="N1041" s="6" t="str">
        <f aca="false">IF(AND(C1041&lt;Assumptions!$B$9,B1041&lt;Assumptions!$B$10),"Irrigate Now",IF(AND(C1041&gt;=Assumptions!$B$11,B1041&gt;=Assumptions!$B$12),"No Irrigation Needed","Monitor"))</f>
        <v>No Irrigation Needed</v>
      </c>
      <c r="O1041" s="6" t="n">
        <f aca="false">IF(N1041=G1041,1,0)</f>
        <v>1</v>
      </c>
    </row>
    <row r="1042" customFormat="false" ht="15" hidden="false" customHeight="false" outlineLevel="0" collapsed="false">
      <c r="A1042" s="16" t="n">
        <v>26.59743595</v>
      </c>
      <c r="B1042" s="16" t="n">
        <v>107.3944717</v>
      </c>
      <c r="C1042" s="16" t="n">
        <v>11.5063094309846</v>
      </c>
      <c r="D1042" s="6" t="s">
        <v>57</v>
      </c>
      <c r="E1042" s="6" t="s">
        <v>57</v>
      </c>
      <c r="F1042" s="6" t="s">
        <v>24</v>
      </c>
      <c r="G1042" s="6" t="s">
        <v>61</v>
      </c>
      <c r="H1042" s="6" t="s">
        <v>63</v>
      </c>
      <c r="I1042" s="6" t="str">
        <f aca="false">IF(A1042&lt;Outliers!$E$6,"Low",IF(A1042&gt;Outliers!$F$6,"High",""))</f>
        <v/>
      </c>
      <c r="J1042" s="6" t="str">
        <f aca="false">IF(B1042&lt;Outliers!$E$7,"Low",IF(B1042&gt;Outliers!$F$7,"High",""))</f>
        <v/>
      </c>
      <c r="K1042" s="6" t="str">
        <f aca="false">IF(C1042&lt;Outliers!$E$8,"Low",IF(C1042&gt;Outliers!$F$8,"High",""))</f>
        <v/>
      </c>
      <c r="L1042" s="6" t="str">
        <f aca="false">A1042&amp;";"&amp;B1042&amp;";"&amp;C1042</f>
        <v>26.59743595;107.3944717;11.5063094309846</v>
      </c>
      <c r="M1042" s="6" t="n">
        <f aca="false">IF(COUNTIF($L$2:$L$2201,L1042)&gt;1,1,0)</f>
        <v>0</v>
      </c>
      <c r="N1042" s="6" t="str">
        <f aca="false">IF(AND(C1042&lt;Assumptions!$B$9,B1042&lt;Assumptions!$B$10),"Irrigate Now",IF(AND(C1042&gt;=Assumptions!$B$11,B1042&gt;=Assumptions!$B$12),"No Irrigation Needed","Monitor"))</f>
        <v>Monitor</v>
      </c>
      <c r="O1042" s="6" t="n">
        <f aca="false">IF(N1042=G1042,1,0)</f>
        <v>1</v>
      </c>
    </row>
    <row r="1043" customFormat="false" ht="15" hidden="false" customHeight="false" outlineLevel="0" collapsed="false">
      <c r="A1043" s="16" t="n">
        <v>25.36059237</v>
      </c>
      <c r="B1043" s="16" t="n">
        <v>116.5531455</v>
      </c>
      <c r="C1043" s="16" t="n">
        <v>15.5309249074577</v>
      </c>
      <c r="D1043" s="6" t="s">
        <v>57</v>
      </c>
      <c r="E1043" s="6" t="s">
        <v>57</v>
      </c>
      <c r="F1043" s="6" t="s">
        <v>24</v>
      </c>
      <c r="G1043" s="6" t="s">
        <v>61</v>
      </c>
      <c r="H1043" s="6" t="s">
        <v>63</v>
      </c>
      <c r="I1043" s="6" t="str">
        <f aca="false">IF(A1043&lt;Outliers!$E$6,"Low",IF(A1043&gt;Outliers!$F$6,"High",""))</f>
        <v/>
      </c>
      <c r="J1043" s="6" t="str">
        <f aca="false">IF(B1043&lt;Outliers!$E$7,"Low",IF(B1043&gt;Outliers!$F$7,"High",""))</f>
        <v/>
      </c>
      <c r="K1043" s="6" t="str">
        <f aca="false">IF(C1043&lt;Outliers!$E$8,"Low",IF(C1043&gt;Outliers!$F$8,"High",""))</f>
        <v/>
      </c>
      <c r="L1043" s="6" t="str">
        <f aca="false">A1043&amp;";"&amp;B1043&amp;";"&amp;C1043</f>
        <v>25.36059237;116.5531455;15.5309249074577</v>
      </c>
      <c r="M1043" s="6" t="n">
        <f aca="false">IF(COUNTIF($L$2:$L$2201,L1043)&gt;1,1,0)</f>
        <v>0</v>
      </c>
      <c r="N1043" s="6" t="str">
        <f aca="false">IF(AND(C1043&lt;Assumptions!$B$9,B1043&lt;Assumptions!$B$10),"Irrigate Now",IF(AND(C1043&gt;=Assumptions!$B$11,B1043&gt;=Assumptions!$B$12),"No Irrigation Needed","Monitor"))</f>
        <v>Monitor</v>
      </c>
      <c r="O1043" s="6" t="n">
        <f aca="false">IF(N1043=G1043,1,0)</f>
        <v>1</v>
      </c>
    </row>
    <row r="1044" customFormat="false" ht="15" hidden="false" customHeight="false" outlineLevel="0" collapsed="false">
      <c r="A1044" s="16" t="n">
        <v>29.12036889</v>
      </c>
      <c r="B1044" s="16" t="n">
        <v>112.3982055</v>
      </c>
      <c r="C1044" s="16" t="n">
        <v>23.119344861007</v>
      </c>
      <c r="D1044" s="6" t="s">
        <v>57</v>
      </c>
      <c r="E1044" s="6" t="s">
        <v>57</v>
      </c>
      <c r="F1044" s="6" t="s">
        <v>23</v>
      </c>
      <c r="G1044" s="6" t="s">
        <v>61</v>
      </c>
      <c r="H1044" s="6" t="s">
        <v>63</v>
      </c>
      <c r="I1044" s="6" t="str">
        <f aca="false">IF(A1044&lt;Outliers!$E$6,"Low",IF(A1044&gt;Outliers!$F$6,"High",""))</f>
        <v/>
      </c>
      <c r="J1044" s="6" t="str">
        <f aca="false">IF(B1044&lt;Outliers!$E$7,"Low",IF(B1044&gt;Outliers!$F$7,"High",""))</f>
        <v/>
      </c>
      <c r="K1044" s="6" t="str">
        <f aca="false">IF(C1044&lt;Outliers!$E$8,"Low",IF(C1044&gt;Outliers!$F$8,"High",""))</f>
        <v/>
      </c>
      <c r="L1044" s="6" t="str">
        <f aca="false">A1044&amp;";"&amp;B1044&amp;";"&amp;C1044</f>
        <v>29.12036889;112.3982055;23.119344861007</v>
      </c>
      <c r="M1044" s="6" t="n">
        <f aca="false">IF(COUNTIF($L$2:$L$2201,L1044)&gt;1,1,0)</f>
        <v>0</v>
      </c>
      <c r="N1044" s="6" t="str">
        <f aca="false">IF(AND(C1044&lt;Assumptions!$B$9,B1044&lt;Assumptions!$B$10),"Irrigate Now",IF(AND(C1044&gt;=Assumptions!$B$11,B1044&gt;=Assumptions!$B$12),"No Irrigation Needed","Monitor"))</f>
        <v>Monitor</v>
      </c>
      <c r="O1044" s="6" t="n">
        <f aca="false">IF(N1044=G1044,1,0)</f>
        <v>1</v>
      </c>
    </row>
    <row r="1045" customFormat="false" ht="15" hidden="false" customHeight="false" outlineLevel="0" collapsed="false">
      <c r="A1045" s="16" t="n">
        <v>27.53911354</v>
      </c>
      <c r="B1045" s="16" t="n">
        <v>110.3262123</v>
      </c>
      <c r="C1045" s="16" t="n">
        <v>25.5244634373406</v>
      </c>
      <c r="D1045" s="6" t="s">
        <v>57</v>
      </c>
      <c r="E1045" s="6" t="s">
        <v>57</v>
      </c>
      <c r="F1045" s="6" t="s">
        <v>23</v>
      </c>
      <c r="G1045" s="6" t="s">
        <v>58</v>
      </c>
      <c r="H1045" s="6" t="s">
        <v>59</v>
      </c>
      <c r="I1045" s="6" t="str">
        <f aca="false">IF(A1045&lt;Outliers!$E$6,"Low",IF(A1045&gt;Outliers!$F$6,"High",""))</f>
        <v/>
      </c>
      <c r="J1045" s="6" t="str">
        <f aca="false">IF(B1045&lt;Outliers!$E$7,"Low",IF(B1045&gt;Outliers!$F$7,"High",""))</f>
        <v/>
      </c>
      <c r="K1045" s="6" t="str">
        <f aca="false">IF(C1045&lt;Outliers!$E$8,"Low",IF(C1045&gt;Outliers!$F$8,"High",""))</f>
        <v/>
      </c>
      <c r="L1045" s="6" t="str">
        <f aca="false">A1045&amp;";"&amp;B1045&amp;";"&amp;C1045</f>
        <v>27.53911354;110.3262123;25.5244634373406</v>
      </c>
      <c r="M1045" s="6" t="n">
        <f aca="false">IF(COUNTIF($L$2:$L$2201,L1045)&gt;1,1,0)</f>
        <v>0</v>
      </c>
      <c r="N1045" s="6" t="str">
        <f aca="false">IF(AND(C1045&lt;Assumptions!$B$9,B1045&lt;Assumptions!$B$10),"Irrigate Now",IF(AND(C1045&gt;=Assumptions!$B$11,B1045&gt;=Assumptions!$B$12),"No Irrigation Needed","Monitor"))</f>
        <v>No Irrigation Needed</v>
      </c>
      <c r="O1045" s="6" t="n">
        <f aca="false">IF(N1045=G1045,1,0)</f>
        <v>1</v>
      </c>
    </row>
    <row r="1046" customFormat="false" ht="15" hidden="false" customHeight="false" outlineLevel="0" collapsed="false">
      <c r="A1046" s="16" t="n">
        <v>29.66727337</v>
      </c>
      <c r="B1046" s="16" t="n">
        <v>110.2511102</v>
      </c>
      <c r="C1046" s="16" t="n">
        <v>15.7945112601785</v>
      </c>
      <c r="D1046" s="6" t="s">
        <v>57</v>
      </c>
      <c r="E1046" s="6" t="s">
        <v>57</v>
      </c>
      <c r="F1046" s="6" t="s">
        <v>24</v>
      </c>
      <c r="G1046" s="6" t="s">
        <v>61</v>
      </c>
      <c r="H1046" s="6" t="s">
        <v>63</v>
      </c>
      <c r="I1046" s="6" t="str">
        <f aca="false">IF(A1046&lt;Outliers!$E$6,"Low",IF(A1046&gt;Outliers!$F$6,"High",""))</f>
        <v/>
      </c>
      <c r="J1046" s="6" t="str">
        <f aca="false">IF(B1046&lt;Outliers!$E$7,"Low",IF(B1046&gt;Outliers!$F$7,"High",""))</f>
        <v/>
      </c>
      <c r="K1046" s="6" t="str">
        <f aca="false">IF(C1046&lt;Outliers!$E$8,"Low",IF(C1046&gt;Outliers!$F$8,"High",""))</f>
        <v/>
      </c>
      <c r="L1046" s="6" t="str">
        <f aca="false">A1046&amp;";"&amp;B1046&amp;";"&amp;C1046</f>
        <v>29.66727337;110.2511102;15.7945112601785</v>
      </c>
      <c r="M1046" s="6" t="n">
        <f aca="false">IF(COUNTIF($L$2:$L$2201,L1046)&gt;1,1,0)</f>
        <v>0</v>
      </c>
      <c r="N1046" s="6" t="str">
        <f aca="false">IF(AND(C1046&lt;Assumptions!$B$9,B1046&lt;Assumptions!$B$10),"Irrigate Now",IF(AND(C1046&gt;=Assumptions!$B$11,B1046&gt;=Assumptions!$B$12),"No Irrigation Needed","Monitor"))</f>
        <v>Monitor</v>
      </c>
      <c r="O1046" s="6" t="n">
        <f aca="false">IF(N1046=G1046,1,0)</f>
        <v>1</v>
      </c>
    </row>
    <row r="1047" customFormat="false" ht="15" hidden="false" customHeight="false" outlineLevel="0" collapsed="false">
      <c r="A1047" s="16" t="n">
        <v>25.05802193</v>
      </c>
      <c r="B1047" s="16" t="n">
        <v>110.4408803</v>
      </c>
      <c r="C1047" s="16" t="n">
        <v>25.3385999411068</v>
      </c>
      <c r="D1047" s="6" t="s">
        <v>57</v>
      </c>
      <c r="E1047" s="6" t="s">
        <v>57</v>
      </c>
      <c r="F1047" s="6" t="s">
        <v>23</v>
      </c>
      <c r="G1047" s="6" t="s">
        <v>58</v>
      </c>
      <c r="H1047" s="6" t="s">
        <v>59</v>
      </c>
      <c r="I1047" s="6" t="str">
        <f aca="false">IF(A1047&lt;Outliers!$E$6,"Low",IF(A1047&gt;Outliers!$F$6,"High",""))</f>
        <v/>
      </c>
      <c r="J1047" s="6" t="str">
        <f aca="false">IF(B1047&lt;Outliers!$E$7,"Low",IF(B1047&gt;Outliers!$F$7,"High",""))</f>
        <v/>
      </c>
      <c r="K1047" s="6" t="str">
        <f aca="false">IF(C1047&lt;Outliers!$E$8,"Low",IF(C1047&gt;Outliers!$F$8,"High",""))</f>
        <v/>
      </c>
      <c r="L1047" s="6" t="str">
        <f aca="false">A1047&amp;";"&amp;B1047&amp;";"&amp;C1047</f>
        <v>25.05802193;110.4408803;25.3385999411068</v>
      </c>
      <c r="M1047" s="6" t="n">
        <f aca="false">IF(COUNTIF($L$2:$L$2201,L1047)&gt;1,1,0)</f>
        <v>0</v>
      </c>
      <c r="N1047" s="6" t="str">
        <f aca="false">IF(AND(C1047&lt;Assumptions!$B$9,B1047&lt;Assumptions!$B$10),"Irrigate Now",IF(AND(C1047&gt;=Assumptions!$B$11,B1047&gt;=Assumptions!$B$12),"No Irrigation Needed","Monitor"))</f>
        <v>No Irrigation Needed</v>
      </c>
      <c r="O1047" s="6" t="n">
        <f aca="false">IF(N1047=G1047,1,0)</f>
        <v>1</v>
      </c>
    </row>
    <row r="1048" customFormat="false" ht="15" hidden="false" customHeight="false" outlineLevel="0" collapsed="false">
      <c r="A1048" s="16" t="n">
        <v>25.86824781</v>
      </c>
      <c r="B1048" s="16" t="n">
        <v>116.3019555</v>
      </c>
      <c r="C1048" s="16" t="n">
        <v>22.3207751028164</v>
      </c>
      <c r="D1048" s="6" t="s">
        <v>57</v>
      </c>
      <c r="E1048" s="6" t="s">
        <v>57</v>
      </c>
      <c r="F1048" s="6" t="s">
        <v>60</v>
      </c>
      <c r="G1048" s="6" t="s">
        <v>61</v>
      </c>
      <c r="H1048" s="6" t="s">
        <v>63</v>
      </c>
      <c r="I1048" s="6" t="str">
        <f aca="false">IF(A1048&lt;Outliers!$E$6,"Low",IF(A1048&gt;Outliers!$F$6,"High",""))</f>
        <v/>
      </c>
      <c r="J1048" s="6" t="str">
        <f aca="false">IF(B1048&lt;Outliers!$E$7,"Low",IF(B1048&gt;Outliers!$F$7,"High",""))</f>
        <v/>
      </c>
      <c r="K1048" s="6" t="str">
        <f aca="false">IF(C1048&lt;Outliers!$E$8,"Low",IF(C1048&gt;Outliers!$F$8,"High",""))</f>
        <v/>
      </c>
      <c r="L1048" s="6" t="str">
        <f aca="false">A1048&amp;";"&amp;B1048&amp;";"&amp;C1048</f>
        <v>25.86824781;116.3019555;22.3207751028164</v>
      </c>
      <c r="M1048" s="6" t="n">
        <f aca="false">IF(COUNTIF($L$2:$L$2201,L1048)&gt;1,1,0)</f>
        <v>0</v>
      </c>
      <c r="N1048" s="6" t="str">
        <f aca="false">IF(AND(C1048&lt;Assumptions!$B$9,B1048&lt;Assumptions!$B$10),"Irrigate Now",IF(AND(C1048&gt;=Assumptions!$B$11,B1048&gt;=Assumptions!$B$12),"No Irrigation Needed","Monitor"))</f>
        <v>Monitor</v>
      </c>
      <c r="O1048" s="6" t="n">
        <f aca="false">IF(N1048=G1048,1,0)</f>
        <v>1</v>
      </c>
    </row>
    <row r="1049" customFormat="false" ht="15" hidden="false" customHeight="false" outlineLevel="0" collapsed="false">
      <c r="A1049" s="16" t="n">
        <v>25.85036988</v>
      </c>
      <c r="B1049" s="16" t="n">
        <v>119.0856171</v>
      </c>
      <c r="C1049" s="16" t="n">
        <v>14.3780570379483</v>
      </c>
      <c r="D1049" s="6" t="s">
        <v>57</v>
      </c>
      <c r="E1049" s="6" t="s">
        <v>57</v>
      </c>
      <c r="F1049" s="6" t="s">
        <v>24</v>
      </c>
      <c r="G1049" s="6" t="s">
        <v>61</v>
      </c>
      <c r="H1049" s="6" t="s">
        <v>63</v>
      </c>
      <c r="I1049" s="6" t="str">
        <f aca="false">IF(A1049&lt;Outliers!$E$6,"Low",IF(A1049&gt;Outliers!$F$6,"High",""))</f>
        <v/>
      </c>
      <c r="J1049" s="6" t="str">
        <f aca="false">IF(B1049&lt;Outliers!$E$7,"Low",IF(B1049&gt;Outliers!$F$7,"High",""))</f>
        <v/>
      </c>
      <c r="K1049" s="6" t="str">
        <f aca="false">IF(C1049&lt;Outliers!$E$8,"Low",IF(C1049&gt;Outliers!$F$8,"High",""))</f>
        <v/>
      </c>
      <c r="L1049" s="6" t="str">
        <f aca="false">A1049&amp;";"&amp;B1049&amp;";"&amp;C1049</f>
        <v>25.85036988;119.0856171;14.3780570379483</v>
      </c>
      <c r="M1049" s="6" t="n">
        <f aca="false">IF(COUNTIF($L$2:$L$2201,L1049)&gt;1,1,0)</f>
        <v>0</v>
      </c>
      <c r="N1049" s="6" t="str">
        <f aca="false">IF(AND(C1049&lt;Assumptions!$B$9,B1049&lt;Assumptions!$B$10),"Irrigate Now",IF(AND(C1049&gt;=Assumptions!$B$11,B1049&gt;=Assumptions!$B$12),"No Irrigation Needed","Monitor"))</f>
        <v>Monitor</v>
      </c>
      <c r="O1049" s="6" t="n">
        <f aca="false">IF(N1049=G1049,1,0)</f>
        <v>1</v>
      </c>
    </row>
    <row r="1050" customFormat="false" ht="15" hidden="false" customHeight="false" outlineLevel="0" collapsed="false">
      <c r="A1050" s="16" t="n">
        <v>26.51682337</v>
      </c>
      <c r="B1050" s="16" t="n">
        <v>108.8547508</v>
      </c>
      <c r="C1050" s="16" t="n">
        <v>28.1949074377686</v>
      </c>
      <c r="D1050" s="6" t="s">
        <v>57</v>
      </c>
      <c r="E1050" s="6" t="s">
        <v>57</v>
      </c>
      <c r="F1050" s="6" t="s">
        <v>23</v>
      </c>
      <c r="G1050" s="6" t="s">
        <v>58</v>
      </c>
      <c r="H1050" s="6" t="s">
        <v>59</v>
      </c>
      <c r="I1050" s="6" t="str">
        <f aca="false">IF(A1050&lt;Outliers!$E$6,"Low",IF(A1050&gt;Outliers!$F$6,"High",""))</f>
        <v/>
      </c>
      <c r="J1050" s="6" t="str">
        <f aca="false">IF(B1050&lt;Outliers!$E$7,"Low",IF(B1050&gt;Outliers!$F$7,"High",""))</f>
        <v/>
      </c>
      <c r="K1050" s="6" t="str">
        <f aca="false">IF(C1050&lt;Outliers!$E$8,"Low",IF(C1050&gt;Outliers!$F$8,"High",""))</f>
        <v/>
      </c>
      <c r="L1050" s="6" t="str">
        <f aca="false">A1050&amp;";"&amp;B1050&amp;";"&amp;C1050</f>
        <v>26.51682337;108.8547508;28.1949074377686</v>
      </c>
      <c r="M1050" s="6" t="n">
        <f aca="false">IF(COUNTIF($L$2:$L$2201,L1050)&gt;1,1,0)</f>
        <v>0</v>
      </c>
      <c r="N1050" s="6" t="str">
        <f aca="false">IF(AND(C1050&lt;Assumptions!$B$9,B1050&lt;Assumptions!$B$10),"Irrigate Now",IF(AND(C1050&gt;=Assumptions!$B$11,B1050&gt;=Assumptions!$B$12),"No Irrigation Needed","Monitor"))</f>
        <v>No Irrigation Needed</v>
      </c>
      <c r="O1050" s="6" t="n">
        <f aca="false">IF(N1050=G1050,1,0)</f>
        <v>1</v>
      </c>
    </row>
    <row r="1051" customFormat="false" ht="15" hidden="false" customHeight="false" outlineLevel="0" collapsed="false">
      <c r="A1051" s="16" t="n">
        <v>28.66725136</v>
      </c>
      <c r="B1051" s="16" t="n">
        <v>118.2583441</v>
      </c>
      <c r="C1051" s="16" t="n">
        <v>29.7523726270003</v>
      </c>
      <c r="D1051" s="6" t="s">
        <v>57</v>
      </c>
      <c r="E1051" s="6" t="s">
        <v>57</v>
      </c>
      <c r="F1051" s="6" t="s">
        <v>23</v>
      </c>
      <c r="G1051" s="6" t="s">
        <v>58</v>
      </c>
      <c r="H1051" s="6" t="s">
        <v>59</v>
      </c>
      <c r="I1051" s="6" t="str">
        <f aca="false">IF(A1051&lt;Outliers!$E$6,"Low",IF(A1051&gt;Outliers!$F$6,"High",""))</f>
        <v/>
      </c>
      <c r="J1051" s="6" t="str">
        <f aca="false">IF(B1051&lt;Outliers!$E$7,"Low",IF(B1051&gt;Outliers!$F$7,"High",""))</f>
        <v/>
      </c>
      <c r="K1051" s="6" t="str">
        <f aca="false">IF(C1051&lt;Outliers!$E$8,"Low",IF(C1051&gt;Outliers!$F$8,"High",""))</f>
        <v/>
      </c>
      <c r="L1051" s="6" t="str">
        <f aca="false">A1051&amp;";"&amp;B1051&amp;";"&amp;C1051</f>
        <v>28.66725136;118.2583441;29.7523726270003</v>
      </c>
      <c r="M1051" s="6" t="n">
        <f aca="false">IF(COUNTIF($L$2:$L$2201,L1051)&gt;1,1,0)</f>
        <v>0</v>
      </c>
      <c r="N1051" s="6" t="str">
        <f aca="false">IF(AND(C1051&lt;Assumptions!$B$9,B1051&lt;Assumptions!$B$10),"Irrigate Now",IF(AND(C1051&gt;=Assumptions!$B$11,B1051&gt;=Assumptions!$B$12),"No Irrigation Needed","Monitor"))</f>
        <v>No Irrigation Needed</v>
      </c>
      <c r="O1051" s="6" t="n">
        <f aca="false">IF(N1051=G1051,1,0)</f>
        <v>1</v>
      </c>
    </row>
    <row r="1052" customFormat="false" ht="15" hidden="false" customHeight="false" outlineLevel="0" collapsed="false">
      <c r="A1052" s="16" t="n">
        <v>28.14938935</v>
      </c>
      <c r="B1052" s="16" t="n">
        <v>91.40508414</v>
      </c>
      <c r="C1052" s="16" t="n">
        <v>25.7084717398968</v>
      </c>
      <c r="D1052" s="6" t="s">
        <v>57</v>
      </c>
      <c r="E1052" s="6" t="s">
        <v>57</v>
      </c>
      <c r="F1052" s="6" t="s">
        <v>23</v>
      </c>
      <c r="G1052" s="6" t="s">
        <v>61</v>
      </c>
      <c r="H1052" s="6" t="s">
        <v>63</v>
      </c>
      <c r="I1052" s="6" t="str">
        <f aca="false">IF(A1052&lt;Outliers!$E$6,"Low",IF(A1052&gt;Outliers!$F$6,"High",""))</f>
        <v/>
      </c>
      <c r="J1052" s="6" t="str">
        <f aca="false">IF(B1052&lt;Outliers!$E$7,"Low",IF(B1052&gt;Outliers!$F$7,"High",""))</f>
        <v/>
      </c>
      <c r="K1052" s="6" t="str">
        <f aca="false">IF(C1052&lt;Outliers!$E$8,"Low",IF(C1052&gt;Outliers!$F$8,"High",""))</f>
        <v/>
      </c>
      <c r="L1052" s="6" t="str">
        <f aca="false">A1052&amp;";"&amp;B1052&amp;";"&amp;C1052</f>
        <v>28.14938935;91.40508414;25.7084717398968</v>
      </c>
      <c r="M1052" s="6" t="n">
        <f aca="false">IF(COUNTIF($L$2:$L$2201,L1052)&gt;1,1,0)</f>
        <v>0</v>
      </c>
      <c r="N1052" s="6" t="str">
        <f aca="false">IF(AND(C1052&lt;Assumptions!$B$9,B1052&lt;Assumptions!$B$10),"Irrigate Now",IF(AND(C1052&gt;=Assumptions!$B$11,B1052&gt;=Assumptions!$B$12),"No Irrigation Needed","Monitor"))</f>
        <v>Monitor</v>
      </c>
      <c r="O1052" s="6" t="n">
        <f aca="false">IF(N1052=G1052,1,0)</f>
        <v>1</v>
      </c>
    </row>
    <row r="1053" customFormat="false" ht="15" hidden="false" customHeight="false" outlineLevel="0" collapsed="false">
      <c r="A1053" s="16" t="n">
        <v>26.42313317</v>
      </c>
      <c r="B1053" s="16" t="n">
        <v>95.12322062</v>
      </c>
      <c r="C1053" s="16" t="n">
        <v>11.2959956279729</v>
      </c>
      <c r="D1053" s="6" t="s">
        <v>57</v>
      </c>
      <c r="E1053" s="6" t="s">
        <v>57</v>
      </c>
      <c r="F1053" s="6" t="s">
        <v>24</v>
      </c>
      <c r="G1053" s="6" t="s">
        <v>64</v>
      </c>
      <c r="H1053" s="6" t="s">
        <v>65</v>
      </c>
      <c r="I1053" s="6" t="str">
        <f aca="false">IF(A1053&lt;Outliers!$E$6,"Low",IF(A1053&gt;Outliers!$F$6,"High",""))</f>
        <v/>
      </c>
      <c r="J1053" s="6" t="str">
        <f aca="false">IF(B1053&lt;Outliers!$E$7,"Low",IF(B1053&gt;Outliers!$F$7,"High",""))</f>
        <v/>
      </c>
      <c r="K1053" s="6" t="str">
        <f aca="false">IF(C1053&lt;Outliers!$E$8,"Low",IF(C1053&gt;Outliers!$F$8,"High",""))</f>
        <v/>
      </c>
      <c r="L1053" s="6" t="str">
        <f aca="false">A1053&amp;";"&amp;B1053&amp;";"&amp;C1053</f>
        <v>26.42313317;95.12322062;11.2959956279729</v>
      </c>
      <c r="M1053" s="6" t="n">
        <f aca="false">IF(COUNTIF($L$2:$L$2201,L1053)&gt;1,1,0)</f>
        <v>0</v>
      </c>
      <c r="N1053" s="6" t="str">
        <f aca="false">IF(AND(C1053&lt;Assumptions!$B$9,B1053&lt;Assumptions!$B$10),"Irrigate Now",IF(AND(C1053&gt;=Assumptions!$B$11,B1053&gt;=Assumptions!$B$12),"No Irrigation Needed","Monitor"))</f>
        <v>Irrigate Now</v>
      </c>
      <c r="O1053" s="6" t="n">
        <f aca="false">IF(N1053=G1053,1,0)</f>
        <v>1</v>
      </c>
    </row>
    <row r="1054" customFormat="false" ht="15" hidden="false" customHeight="false" outlineLevel="0" collapsed="false">
      <c r="A1054" s="16" t="n">
        <v>26.59386409</v>
      </c>
      <c r="B1054" s="16" t="n">
        <v>109.9825551</v>
      </c>
      <c r="C1054" s="16" t="n">
        <v>24.4160399121644</v>
      </c>
      <c r="D1054" s="6" t="s">
        <v>57</v>
      </c>
      <c r="E1054" s="6" t="s">
        <v>57</v>
      </c>
      <c r="F1054" s="6" t="s">
        <v>23</v>
      </c>
      <c r="G1054" s="6" t="s">
        <v>61</v>
      </c>
      <c r="H1054" s="6" t="s">
        <v>63</v>
      </c>
      <c r="I1054" s="6" t="str">
        <f aca="false">IF(A1054&lt;Outliers!$E$6,"Low",IF(A1054&gt;Outliers!$F$6,"High",""))</f>
        <v/>
      </c>
      <c r="J1054" s="6" t="str">
        <f aca="false">IF(B1054&lt;Outliers!$E$7,"Low",IF(B1054&gt;Outliers!$F$7,"High",""))</f>
        <v/>
      </c>
      <c r="K1054" s="6" t="str">
        <f aca="false">IF(C1054&lt;Outliers!$E$8,"Low",IF(C1054&gt;Outliers!$F$8,"High",""))</f>
        <v/>
      </c>
      <c r="L1054" s="6" t="str">
        <f aca="false">A1054&amp;";"&amp;B1054&amp;";"&amp;C1054</f>
        <v>26.59386409;109.9825551;24.4160399121644</v>
      </c>
      <c r="M1054" s="6" t="n">
        <f aca="false">IF(COUNTIF($L$2:$L$2201,L1054)&gt;1,1,0)</f>
        <v>0</v>
      </c>
      <c r="N1054" s="6" t="str">
        <f aca="false">IF(AND(C1054&lt;Assumptions!$B$9,B1054&lt;Assumptions!$B$10),"Irrigate Now",IF(AND(C1054&gt;=Assumptions!$B$11,B1054&gt;=Assumptions!$B$12),"No Irrigation Needed","Monitor"))</f>
        <v>Monitor</v>
      </c>
      <c r="O1054" s="6" t="n">
        <f aca="false">IF(N1054=G1054,1,0)</f>
        <v>1</v>
      </c>
    </row>
    <row r="1055" customFormat="false" ht="15" hidden="false" customHeight="false" outlineLevel="0" collapsed="false">
      <c r="A1055" s="16" t="n">
        <v>27.71822477</v>
      </c>
      <c r="B1055" s="16" t="n">
        <v>102.2099836</v>
      </c>
      <c r="C1055" s="16" t="n">
        <v>25.7812080253393</v>
      </c>
      <c r="D1055" s="6" t="s">
        <v>57</v>
      </c>
      <c r="E1055" s="6" t="s">
        <v>57</v>
      </c>
      <c r="F1055" s="6" t="s">
        <v>23</v>
      </c>
      <c r="G1055" s="6" t="s">
        <v>58</v>
      </c>
      <c r="H1055" s="6" t="s">
        <v>59</v>
      </c>
      <c r="I1055" s="6" t="str">
        <f aca="false">IF(A1055&lt;Outliers!$E$6,"Low",IF(A1055&gt;Outliers!$F$6,"High",""))</f>
        <v/>
      </c>
      <c r="J1055" s="6" t="str">
        <f aca="false">IF(B1055&lt;Outliers!$E$7,"Low",IF(B1055&gt;Outliers!$F$7,"High",""))</f>
        <v/>
      </c>
      <c r="K1055" s="6" t="str">
        <f aca="false">IF(C1055&lt;Outliers!$E$8,"Low",IF(C1055&gt;Outliers!$F$8,"High",""))</f>
        <v/>
      </c>
      <c r="L1055" s="6" t="str">
        <f aca="false">A1055&amp;";"&amp;B1055&amp;";"&amp;C1055</f>
        <v>27.71822477;102.2099836;25.7812080253393</v>
      </c>
      <c r="M1055" s="6" t="n">
        <f aca="false">IF(COUNTIF($L$2:$L$2201,L1055)&gt;1,1,0)</f>
        <v>0</v>
      </c>
      <c r="N1055" s="6" t="str">
        <f aca="false">IF(AND(C1055&lt;Assumptions!$B$9,B1055&lt;Assumptions!$B$10),"Irrigate Now",IF(AND(C1055&gt;=Assumptions!$B$11,B1055&gt;=Assumptions!$B$12),"No Irrigation Needed","Monitor"))</f>
        <v>No Irrigation Needed</v>
      </c>
      <c r="O1055" s="6" t="n">
        <f aca="false">IF(N1055=G1055,1,0)</f>
        <v>1</v>
      </c>
    </row>
    <row r="1056" customFormat="false" ht="15" hidden="false" customHeight="false" outlineLevel="0" collapsed="false">
      <c r="A1056" s="16" t="n">
        <v>28.98333432</v>
      </c>
      <c r="B1056" s="16" t="n">
        <v>109.022564</v>
      </c>
      <c r="C1056" s="16" t="n">
        <v>21.2724191810429</v>
      </c>
      <c r="D1056" s="6" t="s">
        <v>57</v>
      </c>
      <c r="E1056" s="6" t="s">
        <v>57</v>
      </c>
      <c r="F1056" s="6" t="s">
        <v>60</v>
      </c>
      <c r="G1056" s="6" t="s">
        <v>61</v>
      </c>
      <c r="H1056" s="6" t="s">
        <v>63</v>
      </c>
      <c r="I1056" s="6" t="str">
        <f aca="false">IF(A1056&lt;Outliers!$E$6,"Low",IF(A1056&gt;Outliers!$F$6,"High",""))</f>
        <v/>
      </c>
      <c r="J1056" s="6" t="str">
        <f aca="false">IF(B1056&lt;Outliers!$E$7,"Low",IF(B1056&gt;Outliers!$F$7,"High",""))</f>
        <v/>
      </c>
      <c r="K1056" s="6" t="str">
        <f aca="false">IF(C1056&lt;Outliers!$E$8,"Low",IF(C1056&gt;Outliers!$F$8,"High",""))</f>
        <v/>
      </c>
      <c r="L1056" s="6" t="str">
        <f aca="false">A1056&amp;";"&amp;B1056&amp;";"&amp;C1056</f>
        <v>28.98333432;109.022564;21.2724191810429</v>
      </c>
      <c r="M1056" s="6" t="n">
        <f aca="false">IF(COUNTIF($L$2:$L$2201,L1056)&gt;1,1,0)</f>
        <v>0</v>
      </c>
      <c r="N1056" s="6" t="str">
        <f aca="false">IF(AND(C1056&lt;Assumptions!$B$9,B1056&lt;Assumptions!$B$10),"Irrigate Now",IF(AND(C1056&gt;=Assumptions!$B$11,B1056&gt;=Assumptions!$B$12),"No Irrigation Needed","Monitor"))</f>
        <v>Monitor</v>
      </c>
      <c r="O1056" s="6" t="n">
        <f aca="false">IF(N1056=G1056,1,0)</f>
        <v>1</v>
      </c>
    </row>
    <row r="1057" customFormat="false" ht="15" hidden="false" customHeight="false" outlineLevel="0" collapsed="false">
      <c r="A1057" s="16" t="n">
        <v>29.42017919</v>
      </c>
      <c r="B1057" s="16" t="n">
        <v>117.229079</v>
      </c>
      <c r="C1057" s="16" t="n">
        <v>20.617536690557</v>
      </c>
      <c r="D1057" s="6" t="s">
        <v>57</v>
      </c>
      <c r="E1057" s="6" t="s">
        <v>57</v>
      </c>
      <c r="F1057" s="6" t="s">
        <v>60</v>
      </c>
      <c r="G1057" s="6" t="s">
        <v>61</v>
      </c>
      <c r="H1057" s="6" t="s">
        <v>63</v>
      </c>
      <c r="I1057" s="6" t="str">
        <f aca="false">IF(A1057&lt;Outliers!$E$6,"Low",IF(A1057&gt;Outliers!$F$6,"High",""))</f>
        <v/>
      </c>
      <c r="J1057" s="6" t="str">
        <f aca="false">IF(B1057&lt;Outliers!$E$7,"Low",IF(B1057&gt;Outliers!$F$7,"High",""))</f>
        <v/>
      </c>
      <c r="K1057" s="6" t="str">
        <f aca="false">IF(C1057&lt;Outliers!$E$8,"Low",IF(C1057&gt;Outliers!$F$8,"High",""))</f>
        <v/>
      </c>
      <c r="L1057" s="6" t="str">
        <f aca="false">A1057&amp;";"&amp;B1057&amp;";"&amp;C1057</f>
        <v>29.42017919;117.229079;20.617536690557</v>
      </c>
      <c r="M1057" s="6" t="n">
        <f aca="false">IF(COUNTIF($L$2:$L$2201,L1057)&gt;1,1,0)</f>
        <v>0</v>
      </c>
      <c r="N1057" s="6" t="str">
        <f aca="false">IF(AND(C1057&lt;Assumptions!$B$9,B1057&lt;Assumptions!$B$10),"Irrigate Now",IF(AND(C1057&gt;=Assumptions!$B$11,B1057&gt;=Assumptions!$B$12),"No Irrigation Needed","Monitor"))</f>
        <v>Monitor</v>
      </c>
      <c r="O1057" s="6" t="n">
        <f aca="false">IF(N1057=G1057,1,0)</f>
        <v>1</v>
      </c>
    </row>
    <row r="1058" customFormat="false" ht="15" hidden="false" customHeight="false" outlineLevel="0" collapsed="false">
      <c r="A1058" s="16" t="n">
        <v>27.39872329</v>
      </c>
      <c r="B1058" s="16" t="n">
        <v>112.1355384</v>
      </c>
      <c r="C1058" s="16" t="n">
        <v>28.5279628099132</v>
      </c>
      <c r="D1058" s="6" t="s">
        <v>57</v>
      </c>
      <c r="E1058" s="6" t="s">
        <v>57</v>
      </c>
      <c r="F1058" s="6" t="s">
        <v>23</v>
      </c>
      <c r="G1058" s="6" t="s">
        <v>58</v>
      </c>
      <c r="H1058" s="6" t="s">
        <v>59</v>
      </c>
      <c r="I1058" s="6" t="str">
        <f aca="false">IF(A1058&lt;Outliers!$E$6,"Low",IF(A1058&gt;Outliers!$F$6,"High",""))</f>
        <v/>
      </c>
      <c r="J1058" s="6" t="str">
        <f aca="false">IF(B1058&lt;Outliers!$E$7,"Low",IF(B1058&gt;Outliers!$F$7,"High",""))</f>
        <v/>
      </c>
      <c r="K1058" s="6" t="str">
        <f aca="false">IF(C1058&lt;Outliers!$E$8,"Low",IF(C1058&gt;Outliers!$F$8,"High",""))</f>
        <v/>
      </c>
      <c r="L1058" s="6" t="str">
        <f aca="false">A1058&amp;";"&amp;B1058&amp;";"&amp;C1058</f>
        <v>27.39872329;112.1355384;28.5279628099132</v>
      </c>
      <c r="M1058" s="6" t="n">
        <f aca="false">IF(COUNTIF($L$2:$L$2201,L1058)&gt;1,1,0)</f>
        <v>0</v>
      </c>
      <c r="N1058" s="6" t="str">
        <f aca="false">IF(AND(C1058&lt;Assumptions!$B$9,B1058&lt;Assumptions!$B$10),"Irrigate Now",IF(AND(C1058&gt;=Assumptions!$B$11,B1058&gt;=Assumptions!$B$12),"No Irrigation Needed","Monitor"))</f>
        <v>No Irrigation Needed</v>
      </c>
      <c r="O1058" s="6" t="n">
        <f aca="false">IF(N1058=G1058,1,0)</f>
        <v>1</v>
      </c>
    </row>
    <row r="1059" customFormat="false" ht="15" hidden="false" customHeight="false" outlineLevel="0" collapsed="false">
      <c r="A1059" s="16" t="n">
        <v>26.4020227</v>
      </c>
      <c r="B1059" s="16" t="n">
        <v>111.0162259</v>
      </c>
      <c r="C1059" s="16" t="n">
        <v>17.8740883495118</v>
      </c>
      <c r="D1059" s="6" t="s">
        <v>57</v>
      </c>
      <c r="E1059" s="6" t="s">
        <v>57</v>
      </c>
      <c r="F1059" s="6" t="s">
        <v>60</v>
      </c>
      <c r="G1059" s="6" t="s">
        <v>61</v>
      </c>
      <c r="H1059" s="6" t="s">
        <v>63</v>
      </c>
      <c r="I1059" s="6" t="str">
        <f aca="false">IF(A1059&lt;Outliers!$E$6,"Low",IF(A1059&gt;Outliers!$F$6,"High",""))</f>
        <v/>
      </c>
      <c r="J1059" s="6" t="str">
        <f aca="false">IF(B1059&lt;Outliers!$E$7,"Low",IF(B1059&gt;Outliers!$F$7,"High",""))</f>
        <v/>
      </c>
      <c r="K1059" s="6" t="str">
        <f aca="false">IF(C1059&lt;Outliers!$E$8,"Low",IF(C1059&gt;Outliers!$F$8,"High",""))</f>
        <v/>
      </c>
      <c r="L1059" s="6" t="str">
        <f aca="false">A1059&amp;";"&amp;B1059&amp;";"&amp;C1059</f>
        <v>26.4020227;111.0162259;17.8740883495118</v>
      </c>
      <c r="M1059" s="6" t="n">
        <f aca="false">IF(COUNTIF($L$2:$L$2201,L1059)&gt;1,1,0)</f>
        <v>0</v>
      </c>
      <c r="N1059" s="6" t="str">
        <f aca="false">IF(AND(C1059&lt;Assumptions!$B$9,B1059&lt;Assumptions!$B$10),"Irrigate Now",IF(AND(C1059&gt;=Assumptions!$B$11,B1059&gt;=Assumptions!$B$12),"No Irrigation Needed","Monitor"))</f>
        <v>Monitor</v>
      </c>
      <c r="O1059" s="6" t="n">
        <f aca="false">IF(N1059=G1059,1,0)</f>
        <v>1</v>
      </c>
    </row>
    <row r="1060" customFormat="false" ht="15" hidden="false" customHeight="false" outlineLevel="0" collapsed="false">
      <c r="A1060" s="16" t="n">
        <v>27.81251452</v>
      </c>
      <c r="B1060" s="16" t="n">
        <v>99.20961514</v>
      </c>
      <c r="C1060" s="16" t="n">
        <v>18.8574765706636</v>
      </c>
      <c r="D1060" s="6" t="s">
        <v>57</v>
      </c>
      <c r="E1060" s="6" t="s">
        <v>57</v>
      </c>
      <c r="F1060" s="6" t="s">
        <v>60</v>
      </c>
      <c r="G1060" s="6" t="s">
        <v>61</v>
      </c>
      <c r="H1060" s="6" t="s">
        <v>63</v>
      </c>
      <c r="I1060" s="6" t="str">
        <f aca="false">IF(A1060&lt;Outliers!$E$6,"Low",IF(A1060&gt;Outliers!$F$6,"High",""))</f>
        <v/>
      </c>
      <c r="J1060" s="6" t="str">
        <f aca="false">IF(B1060&lt;Outliers!$E$7,"Low",IF(B1060&gt;Outliers!$F$7,"High",""))</f>
        <v/>
      </c>
      <c r="K1060" s="6" t="str">
        <f aca="false">IF(C1060&lt;Outliers!$E$8,"Low",IF(C1060&gt;Outliers!$F$8,"High",""))</f>
        <v/>
      </c>
      <c r="L1060" s="6" t="str">
        <f aca="false">A1060&amp;";"&amp;B1060&amp;";"&amp;C1060</f>
        <v>27.81251452;99.20961514;18.8574765706636</v>
      </c>
      <c r="M1060" s="6" t="n">
        <f aca="false">IF(COUNTIF($L$2:$L$2201,L1060)&gt;1,1,0)</f>
        <v>0</v>
      </c>
      <c r="N1060" s="6" t="str">
        <f aca="false">IF(AND(C1060&lt;Assumptions!$B$9,B1060&lt;Assumptions!$B$10),"Irrigate Now",IF(AND(C1060&gt;=Assumptions!$B$11,B1060&gt;=Assumptions!$B$12),"No Irrigation Needed","Monitor"))</f>
        <v>Monitor</v>
      </c>
      <c r="O1060" s="6" t="n">
        <f aca="false">IF(N1060=G1060,1,0)</f>
        <v>1</v>
      </c>
    </row>
    <row r="1061" customFormat="false" ht="15" hidden="false" customHeight="false" outlineLevel="0" collapsed="false">
      <c r="A1061" s="16" t="n">
        <v>25.19640218</v>
      </c>
      <c r="B1061" s="16" t="n">
        <v>115.8586081</v>
      </c>
      <c r="C1061" s="16" t="n">
        <v>28.3259024566474</v>
      </c>
      <c r="D1061" s="6" t="s">
        <v>57</v>
      </c>
      <c r="E1061" s="6" t="s">
        <v>57</v>
      </c>
      <c r="F1061" s="6" t="s">
        <v>23</v>
      </c>
      <c r="G1061" s="6" t="s">
        <v>58</v>
      </c>
      <c r="H1061" s="6" t="s">
        <v>59</v>
      </c>
      <c r="I1061" s="6" t="str">
        <f aca="false">IF(A1061&lt;Outliers!$E$6,"Low",IF(A1061&gt;Outliers!$F$6,"High",""))</f>
        <v/>
      </c>
      <c r="J1061" s="6" t="str">
        <f aca="false">IF(B1061&lt;Outliers!$E$7,"Low",IF(B1061&gt;Outliers!$F$7,"High",""))</f>
        <v/>
      </c>
      <c r="K1061" s="6" t="str">
        <f aca="false">IF(C1061&lt;Outliers!$E$8,"Low",IF(C1061&gt;Outliers!$F$8,"High",""))</f>
        <v/>
      </c>
      <c r="L1061" s="6" t="str">
        <f aca="false">A1061&amp;";"&amp;B1061&amp;";"&amp;C1061</f>
        <v>25.19640218;115.8586081;28.3259024566474</v>
      </c>
      <c r="M1061" s="6" t="n">
        <f aca="false">IF(COUNTIF($L$2:$L$2201,L1061)&gt;1,1,0)</f>
        <v>0</v>
      </c>
      <c r="N1061" s="6" t="str">
        <f aca="false">IF(AND(C1061&lt;Assumptions!$B$9,B1061&lt;Assumptions!$B$10),"Irrigate Now",IF(AND(C1061&gt;=Assumptions!$B$11,B1061&gt;=Assumptions!$B$12),"No Irrigation Needed","Monitor"))</f>
        <v>No Irrigation Needed</v>
      </c>
      <c r="O1061" s="6" t="n">
        <f aca="false">IF(N1061=G1061,1,0)</f>
        <v>1</v>
      </c>
    </row>
    <row r="1062" customFormat="false" ht="15" hidden="false" customHeight="false" outlineLevel="0" collapsed="false">
      <c r="A1062" s="16" t="n">
        <v>28.31193338</v>
      </c>
      <c r="B1062" s="16" t="n">
        <v>119.695765</v>
      </c>
      <c r="C1062" s="16" t="n">
        <v>12.5653185350775</v>
      </c>
      <c r="D1062" s="6" t="s">
        <v>57</v>
      </c>
      <c r="E1062" s="6" t="s">
        <v>57</v>
      </c>
      <c r="F1062" s="6" t="s">
        <v>24</v>
      </c>
      <c r="G1062" s="6" t="s">
        <v>61</v>
      </c>
      <c r="H1062" s="6" t="s">
        <v>63</v>
      </c>
      <c r="I1062" s="6" t="str">
        <f aca="false">IF(A1062&lt;Outliers!$E$6,"Low",IF(A1062&gt;Outliers!$F$6,"High",""))</f>
        <v/>
      </c>
      <c r="J1062" s="6" t="str">
        <f aca="false">IF(B1062&lt;Outliers!$E$7,"Low",IF(B1062&gt;Outliers!$F$7,"High",""))</f>
        <v/>
      </c>
      <c r="K1062" s="6" t="str">
        <f aca="false">IF(C1062&lt;Outliers!$E$8,"Low",IF(C1062&gt;Outliers!$F$8,"High",""))</f>
        <v/>
      </c>
      <c r="L1062" s="6" t="str">
        <f aca="false">A1062&amp;";"&amp;B1062&amp;";"&amp;C1062</f>
        <v>28.31193338;119.695765;12.5653185350775</v>
      </c>
      <c r="M1062" s="6" t="n">
        <f aca="false">IF(COUNTIF($L$2:$L$2201,L1062)&gt;1,1,0)</f>
        <v>0</v>
      </c>
      <c r="N1062" s="6" t="str">
        <f aca="false">IF(AND(C1062&lt;Assumptions!$B$9,B1062&lt;Assumptions!$B$10),"Irrigate Now",IF(AND(C1062&gt;=Assumptions!$B$11,B1062&gt;=Assumptions!$B$12),"No Irrigation Needed","Monitor"))</f>
        <v>Monitor</v>
      </c>
      <c r="O1062" s="6" t="n">
        <f aca="false">IF(N1062=G1062,1,0)</f>
        <v>1</v>
      </c>
    </row>
    <row r="1063" customFormat="false" ht="15" hidden="false" customHeight="false" outlineLevel="0" collapsed="false">
      <c r="A1063" s="16" t="n">
        <v>25.90113128</v>
      </c>
      <c r="B1063" s="16" t="n">
        <v>110.10323</v>
      </c>
      <c r="C1063" s="16" t="n">
        <v>12.1404920594104</v>
      </c>
      <c r="D1063" s="6" t="s">
        <v>57</v>
      </c>
      <c r="E1063" s="6" t="s">
        <v>57</v>
      </c>
      <c r="F1063" s="6" t="s">
        <v>24</v>
      </c>
      <c r="G1063" s="6" t="s">
        <v>61</v>
      </c>
      <c r="H1063" s="6" t="s">
        <v>63</v>
      </c>
      <c r="I1063" s="6" t="str">
        <f aca="false">IF(A1063&lt;Outliers!$E$6,"Low",IF(A1063&gt;Outliers!$F$6,"High",""))</f>
        <v/>
      </c>
      <c r="J1063" s="6" t="str">
        <f aca="false">IF(B1063&lt;Outliers!$E$7,"Low",IF(B1063&gt;Outliers!$F$7,"High",""))</f>
        <v/>
      </c>
      <c r="K1063" s="6" t="str">
        <f aca="false">IF(C1063&lt;Outliers!$E$8,"Low",IF(C1063&gt;Outliers!$F$8,"High",""))</f>
        <v/>
      </c>
      <c r="L1063" s="6" t="str">
        <f aca="false">A1063&amp;";"&amp;B1063&amp;";"&amp;C1063</f>
        <v>25.90113128;110.10323;12.1404920594104</v>
      </c>
      <c r="M1063" s="6" t="n">
        <f aca="false">IF(COUNTIF($L$2:$L$2201,L1063)&gt;1,1,0)</f>
        <v>0</v>
      </c>
      <c r="N1063" s="6" t="str">
        <f aca="false">IF(AND(C1063&lt;Assumptions!$B$9,B1063&lt;Assumptions!$B$10),"Irrigate Now",IF(AND(C1063&gt;=Assumptions!$B$11,B1063&gt;=Assumptions!$B$12),"No Irrigation Needed","Monitor"))</f>
        <v>Monitor</v>
      </c>
      <c r="O1063" s="6" t="n">
        <f aca="false">IF(N1063=G1063,1,0)</f>
        <v>1</v>
      </c>
    </row>
    <row r="1064" customFormat="false" ht="15" hidden="false" customHeight="false" outlineLevel="0" collapsed="false">
      <c r="A1064" s="16" t="n">
        <v>27.48612983</v>
      </c>
      <c r="B1064" s="16" t="n">
        <v>109.2768851</v>
      </c>
      <c r="C1064" s="16" t="n">
        <v>29.1753274951687</v>
      </c>
      <c r="D1064" s="6" t="s">
        <v>57</v>
      </c>
      <c r="E1064" s="6" t="s">
        <v>57</v>
      </c>
      <c r="F1064" s="6" t="s">
        <v>23</v>
      </c>
      <c r="G1064" s="6" t="s">
        <v>58</v>
      </c>
      <c r="H1064" s="6" t="s">
        <v>59</v>
      </c>
      <c r="I1064" s="6" t="str">
        <f aca="false">IF(A1064&lt;Outliers!$E$6,"Low",IF(A1064&gt;Outliers!$F$6,"High",""))</f>
        <v/>
      </c>
      <c r="J1064" s="6" t="str">
        <f aca="false">IF(B1064&lt;Outliers!$E$7,"Low",IF(B1064&gt;Outliers!$F$7,"High",""))</f>
        <v/>
      </c>
      <c r="K1064" s="6" t="str">
        <f aca="false">IF(C1064&lt;Outliers!$E$8,"Low",IF(C1064&gt;Outliers!$F$8,"High",""))</f>
        <v/>
      </c>
      <c r="L1064" s="6" t="str">
        <f aca="false">A1064&amp;";"&amp;B1064&amp;";"&amp;C1064</f>
        <v>27.48612983;109.2768851;29.1753274951687</v>
      </c>
      <c r="M1064" s="6" t="n">
        <f aca="false">IF(COUNTIF($L$2:$L$2201,L1064)&gt;1,1,0)</f>
        <v>0</v>
      </c>
      <c r="N1064" s="6" t="str">
        <f aca="false">IF(AND(C1064&lt;Assumptions!$B$9,B1064&lt;Assumptions!$B$10),"Irrigate Now",IF(AND(C1064&gt;=Assumptions!$B$11,B1064&gt;=Assumptions!$B$12),"No Irrigation Needed","Monitor"))</f>
        <v>No Irrigation Needed</v>
      </c>
      <c r="O1064" s="6" t="n">
        <f aca="false">IF(N1064=G1064,1,0)</f>
        <v>1</v>
      </c>
    </row>
    <row r="1065" customFormat="false" ht="15" hidden="false" customHeight="false" outlineLevel="0" collapsed="false">
      <c r="A1065" s="16" t="n">
        <v>29.38254012</v>
      </c>
      <c r="B1065" s="16" t="n">
        <v>109.2486647</v>
      </c>
      <c r="C1065" s="16" t="n">
        <v>13.2272631368684</v>
      </c>
      <c r="D1065" s="6" t="s">
        <v>57</v>
      </c>
      <c r="E1065" s="6" t="s">
        <v>57</v>
      </c>
      <c r="F1065" s="6" t="s">
        <v>24</v>
      </c>
      <c r="G1065" s="6" t="s">
        <v>61</v>
      </c>
      <c r="H1065" s="6" t="s">
        <v>63</v>
      </c>
      <c r="I1065" s="6" t="str">
        <f aca="false">IF(A1065&lt;Outliers!$E$6,"Low",IF(A1065&gt;Outliers!$F$6,"High",""))</f>
        <v/>
      </c>
      <c r="J1065" s="6" t="str">
        <f aca="false">IF(B1065&lt;Outliers!$E$7,"Low",IF(B1065&gt;Outliers!$F$7,"High",""))</f>
        <v/>
      </c>
      <c r="K1065" s="6" t="str">
        <f aca="false">IF(C1065&lt;Outliers!$E$8,"Low",IF(C1065&gt;Outliers!$F$8,"High",""))</f>
        <v/>
      </c>
      <c r="L1065" s="6" t="str">
        <f aca="false">A1065&amp;";"&amp;B1065&amp;";"&amp;C1065</f>
        <v>29.38254012;109.2486647;13.2272631368684</v>
      </c>
      <c r="M1065" s="6" t="n">
        <f aca="false">IF(COUNTIF($L$2:$L$2201,L1065)&gt;1,1,0)</f>
        <v>0</v>
      </c>
      <c r="N1065" s="6" t="str">
        <f aca="false">IF(AND(C1065&lt;Assumptions!$B$9,B1065&lt;Assumptions!$B$10),"Irrigate Now",IF(AND(C1065&gt;=Assumptions!$B$11,B1065&gt;=Assumptions!$B$12),"No Irrigation Needed","Monitor"))</f>
        <v>Monitor</v>
      </c>
      <c r="O1065" s="6" t="n">
        <f aca="false">IF(N1065=G1065,1,0)</f>
        <v>1</v>
      </c>
    </row>
    <row r="1066" customFormat="false" ht="15" hidden="false" customHeight="false" outlineLevel="0" collapsed="false">
      <c r="A1066" s="16" t="n">
        <v>29.22118628</v>
      </c>
      <c r="B1066" s="16" t="n">
        <v>108.8616474</v>
      </c>
      <c r="C1066" s="16" t="n">
        <v>26.6163447739067</v>
      </c>
      <c r="D1066" s="6" t="s">
        <v>57</v>
      </c>
      <c r="E1066" s="6" t="s">
        <v>57</v>
      </c>
      <c r="F1066" s="6" t="s">
        <v>23</v>
      </c>
      <c r="G1066" s="6" t="s">
        <v>58</v>
      </c>
      <c r="H1066" s="6" t="s">
        <v>59</v>
      </c>
      <c r="I1066" s="6" t="str">
        <f aca="false">IF(A1066&lt;Outliers!$E$6,"Low",IF(A1066&gt;Outliers!$F$6,"High",""))</f>
        <v/>
      </c>
      <c r="J1066" s="6" t="str">
        <f aca="false">IF(B1066&lt;Outliers!$E$7,"Low",IF(B1066&gt;Outliers!$F$7,"High",""))</f>
        <v/>
      </c>
      <c r="K1066" s="6" t="str">
        <f aca="false">IF(C1066&lt;Outliers!$E$8,"Low",IF(C1066&gt;Outliers!$F$8,"High",""))</f>
        <v/>
      </c>
      <c r="L1066" s="6" t="str">
        <f aca="false">A1066&amp;";"&amp;B1066&amp;";"&amp;C1066</f>
        <v>29.22118628;108.8616474;26.6163447739067</v>
      </c>
      <c r="M1066" s="6" t="n">
        <f aca="false">IF(COUNTIF($L$2:$L$2201,L1066)&gt;1,1,0)</f>
        <v>0</v>
      </c>
      <c r="N1066" s="6" t="str">
        <f aca="false">IF(AND(C1066&lt;Assumptions!$B$9,B1066&lt;Assumptions!$B$10),"Irrigate Now",IF(AND(C1066&gt;=Assumptions!$B$11,B1066&gt;=Assumptions!$B$12),"No Irrigation Needed","Monitor"))</f>
        <v>No Irrigation Needed</v>
      </c>
      <c r="O1066" s="6" t="n">
        <f aca="false">IF(N1066=G1066,1,0)</f>
        <v>1</v>
      </c>
    </row>
    <row r="1067" customFormat="false" ht="15" hidden="false" customHeight="false" outlineLevel="0" collapsed="false">
      <c r="A1067" s="16" t="n">
        <v>27.09062164</v>
      </c>
      <c r="B1067" s="16" t="n">
        <v>110.1331182</v>
      </c>
      <c r="C1067" s="16" t="n">
        <v>23.6408867375046</v>
      </c>
      <c r="D1067" s="6" t="s">
        <v>57</v>
      </c>
      <c r="E1067" s="6" t="s">
        <v>57</v>
      </c>
      <c r="F1067" s="6" t="s">
        <v>23</v>
      </c>
      <c r="G1067" s="6" t="s">
        <v>61</v>
      </c>
      <c r="H1067" s="6" t="s">
        <v>63</v>
      </c>
      <c r="I1067" s="6" t="str">
        <f aca="false">IF(A1067&lt;Outliers!$E$6,"Low",IF(A1067&gt;Outliers!$F$6,"High",""))</f>
        <v/>
      </c>
      <c r="J1067" s="6" t="str">
        <f aca="false">IF(B1067&lt;Outliers!$E$7,"Low",IF(B1067&gt;Outliers!$F$7,"High",""))</f>
        <v/>
      </c>
      <c r="K1067" s="6" t="str">
        <f aca="false">IF(C1067&lt;Outliers!$E$8,"Low",IF(C1067&gt;Outliers!$F$8,"High",""))</f>
        <v/>
      </c>
      <c r="L1067" s="6" t="str">
        <f aca="false">A1067&amp;";"&amp;B1067&amp;";"&amp;C1067</f>
        <v>27.09062164;110.1331182;23.6408867375046</v>
      </c>
      <c r="M1067" s="6" t="n">
        <f aca="false">IF(COUNTIF($L$2:$L$2201,L1067)&gt;1,1,0)</f>
        <v>0</v>
      </c>
      <c r="N1067" s="6" t="str">
        <f aca="false">IF(AND(C1067&lt;Assumptions!$B$9,B1067&lt;Assumptions!$B$10),"Irrigate Now",IF(AND(C1067&gt;=Assumptions!$B$11,B1067&gt;=Assumptions!$B$12),"No Irrigation Needed","Monitor"))</f>
        <v>Monitor</v>
      </c>
      <c r="O1067" s="6" t="n">
        <f aca="false">IF(N1067=G1067,1,0)</f>
        <v>1</v>
      </c>
    </row>
    <row r="1068" customFormat="false" ht="15" hidden="false" customHeight="false" outlineLevel="0" collapsed="false">
      <c r="A1068" s="16" t="n">
        <v>26.12643374</v>
      </c>
      <c r="B1068" s="16" t="n">
        <v>104.4812858</v>
      </c>
      <c r="C1068" s="16" t="n">
        <v>17.4115913815151</v>
      </c>
      <c r="D1068" s="6" t="s">
        <v>57</v>
      </c>
      <c r="E1068" s="6" t="s">
        <v>57</v>
      </c>
      <c r="F1068" s="6" t="s">
        <v>60</v>
      </c>
      <c r="G1068" s="6" t="s">
        <v>61</v>
      </c>
      <c r="H1068" s="6" t="s">
        <v>63</v>
      </c>
      <c r="I1068" s="6" t="str">
        <f aca="false">IF(A1068&lt;Outliers!$E$6,"Low",IF(A1068&gt;Outliers!$F$6,"High",""))</f>
        <v/>
      </c>
      <c r="J1068" s="6" t="str">
        <f aca="false">IF(B1068&lt;Outliers!$E$7,"Low",IF(B1068&gt;Outliers!$F$7,"High",""))</f>
        <v/>
      </c>
      <c r="K1068" s="6" t="str">
        <f aca="false">IF(C1068&lt;Outliers!$E$8,"Low",IF(C1068&gt;Outliers!$F$8,"High",""))</f>
        <v/>
      </c>
      <c r="L1068" s="6" t="str">
        <f aca="false">A1068&amp;";"&amp;B1068&amp;";"&amp;C1068</f>
        <v>26.12643374;104.4812858;17.4115913815151</v>
      </c>
      <c r="M1068" s="6" t="n">
        <f aca="false">IF(COUNTIF($L$2:$L$2201,L1068)&gt;1,1,0)</f>
        <v>0</v>
      </c>
      <c r="N1068" s="6" t="str">
        <f aca="false">IF(AND(C1068&lt;Assumptions!$B$9,B1068&lt;Assumptions!$B$10),"Irrigate Now",IF(AND(C1068&gt;=Assumptions!$B$11,B1068&gt;=Assumptions!$B$12),"No Irrigation Needed","Monitor"))</f>
        <v>Monitor</v>
      </c>
      <c r="O1068" s="6" t="n">
        <f aca="false">IF(N1068=G1068,1,0)</f>
        <v>1</v>
      </c>
    </row>
    <row r="1069" customFormat="false" ht="15" hidden="false" customHeight="false" outlineLevel="0" collapsed="false">
      <c r="A1069" s="16" t="n">
        <v>29.01207743</v>
      </c>
      <c r="B1069" s="16" t="n">
        <v>90.43495443</v>
      </c>
      <c r="C1069" s="16" t="n">
        <v>16.636855996082</v>
      </c>
      <c r="D1069" s="6" t="s">
        <v>57</v>
      </c>
      <c r="E1069" s="6" t="s">
        <v>57</v>
      </c>
      <c r="F1069" s="6" t="s">
        <v>24</v>
      </c>
      <c r="G1069" s="6" t="s">
        <v>64</v>
      </c>
      <c r="H1069" s="6" t="s">
        <v>65</v>
      </c>
      <c r="I1069" s="6" t="str">
        <f aca="false">IF(A1069&lt;Outliers!$E$6,"Low",IF(A1069&gt;Outliers!$F$6,"High",""))</f>
        <v/>
      </c>
      <c r="J1069" s="6" t="str">
        <f aca="false">IF(B1069&lt;Outliers!$E$7,"Low",IF(B1069&gt;Outliers!$F$7,"High",""))</f>
        <v/>
      </c>
      <c r="K1069" s="6" t="str">
        <f aca="false">IF(C1069&lt;Outliers!$E$8,"Low",IF(C1069&gt;Outliers!$F$8,"High",""))</f>
        <v/>
      </c>
      <c r="L1069" s="6" t="str">
        <f aca="false">A1069&amp;";"&amp;B1069&amp;";"&amp;C1069</f>
        <v>29.01207743;90.43495443;16.636855996082</v>
      </c>
      <c r="M1069" s="6" t="n">
        <f aca="false">IF(COUNTIF($L$2:$L$2201,L1069)&gt;1,1,0)</f>
        <v>0</v>
      </c>
      <c r="N1069" s="6" t="str">
        <f aca="false">IF(AND(C1069&lt;Assumptions!$B$9,B1069&lt;Assumptions!$B$10),"Irrigate Now",IF(AND(C1069&gt;=Assumptions!$B$11,B1069&gt;=Assumptions!$B$12),"No Irrigation Needed","Monitor"))</f>
        <v>Irrigate Now</v>
      </c>
      <c r="O1069" s="6" t="n">
        <f aca="false">IF(N1069=G1069,1,0)</f>
        <v>1</v>
      </c>
    </row>
    <row r="1070" customFormat="false" ht="15" hidden="false" customHeight="false" outlineLevel="0" collapsed="false">
      <c r="A1070" s="16" t="n">
        <v>27.96799119</v>
      </c>
      <c r="B1070" s="16" t="n">
        <v>119.4765557</v>
      </c>
      <c r="C1070" s="16" t="n">
        <v>27.6319915934623</v>
      </c>
      <c r="D1070" s="6" t="s">
        <v>57</v>
      </c>
      <c r="E1070" s="6" t="s">
        <v>57</v>
      </c>
      <c r="F1070" s="6" t="s">
        <v>23</v>
      </c>
      <c r="G1070" s="6" t="s">
        <v>58</v>
      </c>
      <c r="H1070" s="6" t="s">
        <v>59</v>
      </c>
      <c r="I1070" s="6" t="str">
        <f aca="false">IF(A1070&lt;Outliers!$E$6,"Low",IF(A1070&gt;Outliers!$F$6,"High",""))</f>
        <v/>
      </c>
      <c r="J1070" s="6" t="str">
        <f aca="false">IF(B1070&lt;Outliers!$E$7,"Low",IF(B1070&gt;Outliers!$F$7,"High",""))</f>
        <v/>
      </c>
      <c r="K1070" s="6" t="str">
        <f aca="false">IF(C1070&lt;Outliers!$E$8,"Low",IF(C1070&gt;Outliers!$F$8,"High",""))</f>
        <v/>
      </c>
      <c r="L1070" s="6" t="str">
        <f aca="false">A1070&amp;";"&amp;B1070&amp;";"&amp;C1070</f>
        <v>27.96799119;119.4765557;27.6319915934623</v>
      </c>
      <c r="M1070" s="6" t="n">
        <f aca="false">IF(COUNTIF($L$2:$L$2201,L1070)&gt;1,1,0)</f>
        <v>0</v>
      </c>
      <c r="N1070" s="6" t="str">
        <f aca="false">IF(AND(C1070&lt;Assumptions!$B$9,B1070&lt;Assumptions!$B$10),"Irrigate Now",IF(AND(C1070&gt;=Assumptions!$B$11,B1070&gt;=Assumptions!$B$12),"No Irrigation Needed","Monitor"))</f>
        <v>No Irrigation Needed</v>
      </c>
      <c r="O1070" s="6" t="n">
        <f aca="false">IF(N1070=G1070,1,0)</f>
        <v>1</v>
      </c>
    </row>
    <row r="1071" customFormat="false" ht="15" hidden="false" customHeight="false" outlineLevel="0" collapsed="false">
      <c r="A1071" s="16" t="n">
        <v>28.0764455</v>
      </c>
      <c r="B1071" s="16" t="n">
        <v>118.9923573</v>
      </c>
      <c r="C1071" s="16" t="n">
        <v>18.3693327013142</v>
      </c>
      <c r="D1071" s="6" t="s">
        <v>57</v>
      </c>
      <c r="E1071" s="6" t="s">
        <v>57</v>
      </c>
      <c r="F1071" s="6" t="s">
        <v>60</v>
      </c>
      <c r="G1071" s="6" t="s">
        <v>61</v>
      </c>
      <c r="H1071" s="6" t="s">
        <v>63</v>
      </c>
      <c r="I1071" s="6" t="str">
        <f aca="false">IF(A1071&lt;Outliers!$E$6,"Low",IF(A1071&gt;Outliers!$F$6,"High",""))</f>
        <v/>
      </c>
      <c r="J1071" s="6" t="str">
        <f aca="false">IF(B1071&lt;Outliers!$E$7,"Low",IF(B1071&gt;Outliers!$F$7,"High",""))</f>
        <v/>
      </c>
      <c r="K1071" s="6" t="str">
        <f aca="false">IF(C1071&lt;Outliers!$E$8,"Low",IF(C1071&gt;Outliers!$F$8,"High",""))</f>
        <v/>
      </c>
      <c r="L1071" s="6" t="str">
        <f aca="false">A1071&amp;";"&amp;B1071&amp;";"&amp;C1071</f>
        <v>28.0764455;118.9923573;18.3693327013142</v>
      </c>
      <c r="M1071" s="6" t="n">
        <f aca="false">IF(COUNTIF($L$2:$L$2201,L1071)&gt;1,1,0)</f>
        <v>0</v>
      </c>
      <c r="N1071" s="6" t="str">
        <f aca="false">IF(AND(C1071&lt;Assumptions!$B$9,B1071&lt;Assumptions!$B$10),"Irrigate Now",IF(AND(C1071&gt;=Assumptions!$B$11,B1071&gt;=Assumptions!$B$12),"No Irrigation Needed","Monitor"))</f>
        <v>Monitor</v>
      </c>
      <c r="O1071" s="6" t="n">
        <f aca="false">IF(N1071=G1071,1,0)</f>
        <v>1</v>
      </c>
    </row>
    <row r="1072" customFormat="false" ht="15" hidden="false" customHeight="false" outlineLevel="0" collapsed="false">
      <c r="A1072" s="16" t="n">
        <v>25.16278237</v>
      </c>
      <c r="B1072" s="16" t="n">
        <v>90.94554618</v>
      </c>
      <c r="C1072" s="16" t="n">
        <v>13.0835666032794</v>
      </c>
      <c r="D1072" s="6" t="s">
        <v>57</v>
      </c>
      <c r="E1072" s="6" t="s">
        <v>57</v>
      </c>
      <c r="F1072" s="6" t="s">
        <v>24</v>
      </c>
      <c r="G1072" s="6" t="s">
        <v>64</v>
      </c>
      <c r="H1072" s="6" t="s">
        <v>65</v>
      </c>
      <c r="I1072" s="6" t="str">
        <f aca="false">IF(A1072&lt;Outliers!$E$6,"Low",IF(A1072&gt;Outliers!$F$6,"High",""))</f>
        <v/>
      </c>
      <c r="J1072" s="6" t="str">
        <f aca="false">IF(B1072&lt;Outliers!$E$7,"Low",IF(B1072&gt;Outliers!$F$7,"High",""))</f>
        <v/>
      </c>
      <c r="K1072" s="6" t="str">
        <f aca="false">IF(C1072&lt;Outliers!$E$8,"Low",IF(C1072&gt;Outliers!$F$8,"High",""))</f>
        <v/>
      </c>
      <c r="L1072" s="6" t="str">
        <f aca="false">A1072&amp;";"&amp;B1072&amp;";"&amp;C1072</f>
        <v>25.16278237;90.94554618;13.0835666032794</v>
      </c>
      <c r="M1072" s="6" t="n">
        <f aca="false">IF(COUNTIF($L$2:$L$2201,L1072)&gt;1,1,0)</f>
        <v>0</v>
      </c>
      <c r="N1072" s="6" t="str">
        <f aca="false">IF(AND(C1072&lt;Assumptions!$B$9,B1072&lt;Assumptions!$B$10),"Irrigate Now",IF(AND(C1072&gt;=Assumptions!$B$11,B1072&gt;=Assumptions!$B$12),"No Irrigation Needed","Monitor"))</f>
        <v>Irrigate Now</v>
      </c>
      <c r="O1072" s="6" t="n">
        <f aca="false">IF(N1072=G1072,1,0)</f>
        <v>1</v>
      </c>
    </row>
    <row r="1073" customFormat="false" ht="15" hidden="false" customHeight="false" outlineLevel="0" collapsed="false">
      <c r="A1073" s="16" t="n">
        <v>25.78749808</v>
      </c>
      <c r="B1073" s="16" t="n">
        <v>114.2005455</v>
      </c>
      <c r="C1073" s="16" t="n">
        <v>20.5268310189726</v>
      </c>
      <c r="D1073" s="6" t="s">
        <v>57</v>
      </c>
      <c r="E1073" s="6" t="s">
        <v>57</v>
      </c>
      <c r="F1073" s="6" t="s">
        <v>60</v>
      </c>
      <c r="G1073" s="6" t="s">
        <v>61</v>
      </c>
      <c r="H1073" s="6" t="s">
        <v>63</v>
      </c>
      <c r="I1073" s="6" t="str">
        <f aca="false">IF(A1073&lt;Outliers!$E$6,"Low",IF(A1073&gt;Outliers!$F$6,"High",""))</f>
        <v/>
      </c>
      <c r="J1073" s="6" t="str">
        <f aca="false">IF(B1073&lt;Outliers!$E$7,"Low",IF(B1073&gt;Outliers!$F$7,"High",""))</f>
        <v/>
      </c>
      <c r="K1073" s="6" t="str">
        <f aca="false">IF(C1073&lt;Outliers!$E$8,"Low",IF(C1073&gt;Outliers!$F$8,"High",""))</f>
        <v/>
      </c>
      <c r="L1073" s="6" t="str">
        <f aca="false">A1073&amp;";"&amp;B1073&amp;";"&amp;C1073</f>
        <v>25.78749808;114.2005455;20.5268310189726</v>
      </c>
      <c r="M1073" s="6" t="n">
        <f aca="false">IF(COUNTIF($L$2:$L$2201,L1073)&gt;1,1,0)</f>
        <v>0</v>
      </c>
      <c r="N1073" s="6" t="str">
        <f aca="false">IF(AND(C1073&lt;Assumptions!$B$9,B1073&lt;Assumptions!$B$10),"Irrigate Now",IF(AND(C1073&gt;=Assumptions!$B$11,B1073&gt;=Assumptions!$B$12),"No Irrigation Needed","Monitor"))</f>
        <v>Monitor</v>
      </c>
      <c r="O1073" s="6" t="n">
        <f aca="false">IF(N1073=G1073,1,0)</f>
        <v>1</v>
      </c>
    </row>
    <row r="1074" customFormat="false" ht="15" hidden="false" customHeight="false" outlineLevel="0" collapsed="false">
      <c r="A1074" s="16" t="n">
        <v>25.34119774</v>
      </c>
      <c r="B1074" s="16" t="n">
        <v>91.06493353</v>
      </c>
      <c r="C1074" s="16" t="n">
        <v>12.5388438748491</v>
      </c>
      <c r="D1074" s="6" t="s">
        <v>57</v>
      </c>
      <c r="E1074" s="6" t="s">
        <v>57</v>
      </c>
      <c r="F1074" s="6" t="s">
        <v>24</v>
      </c>
      <c r="G1074" s="6" t="s">
        <v>64</v>
      </c>
      <c r="H1074" s="6" t="s">
        <v>65</v>
      </c>
      <c r="I1074" s="6" t="str">
        <f aca="false">IF(A1074&lt;Outliers!$E$6,"Low",IF(A1074&gt;Outliers!$F$6,"High",""))</f>
        <v/>
      </c>
      <c r="J1074" s="6" t="str">
        <f aca="false">IF(B1074&lt;Outliers!$E$7,"Low",IF(B1074&gt;Outliers!$F$7,"High",""))</f>
        <v/>
      </c>
      <c r="K1074" s="6" t="str">
        <f aca="false">IF(C1074&lt;Outliers!$E$8,"Low",IF(C1074&gt;Outliers!$F$8,"High",""))</f>
        <v/>
      </c>
      <c r="L1074" s="6" t="str">
        <f aca="false">A1074&amp;";"&amp;B1074&amp;";"&amp;C1074</f>
        <v>25.34119774;91.06493353;12.5388438748491</v>
      </c>
      <c r="M1074" s="6" t="n">
        <f aca="false">IF(COUNTIF($L$2:$L$2201,L1074)&gt;1,1,0)</f>
        <v>0</v>
      </c>
      <c r="N1074" s="6" t="str">
        <f aca="false">IF(AND(C1074&lt;Assumptions!$B$9,B1074&lt;Assumptions!$B$10),"Irrigate Now",IF(AND(C1074&gt;=Assumptions!$B$11,B1074&gt;=Assumptions!$B$12),"No Irrigation Needed","Monitor"))</f>
        <v>Irrigate Now</v>
      </c>
      <c r="O1074" s="6" t="n">
        <f aca="false">IF(N1074=G1074,1,0)</f>
        <v>1</v>
      </c>
    </row>
    <row r="1075" customFormat="false" ht="15" hidden="false" customHeight="false" outlineLevel="0" collapsed="false">
      <c r="A1075" s="16" t="n">
        <v>29.44795403</v>
      </c>
      <c r="B1075" s="16" t="n">
        <v>96.45042585</v>
      </c>
      <c r="C1075" s="16" t="n">
        <v>21.1842107185979</v>
      </c>
      <c r="D1075" s="6" t="s">
        <v>57</v>
      </c>
      <c r="E1075" s="6" t="s">
        <v>57</v>
      </c>
      <c r="F1075" s="6" t="s">
        <v>60</v>
      </c>
      <c r="G1075" s="6" t="s">
        <v>61</v>
      </c>
      <c r="H1075" s="6" t="s">
        <v>63</v>
      </c>
      <c r="I1075" s="6" t="str">
        <f aca="false">IF(A1075&lt;Outliers!$E$6,"Low",IF(A1075&gt;Outliers!$F$6,"High",""))</f>
        <v/>
      </c>
      <c r="J1075" s="6" t="str">
        <f aca="false">IF(B1075&lt;Outliers!$E$7,"Low",IF(B1075&gt;Outliers!$F$7,"High",""))</f>
        <v/>
      </c>
      <c r="K1075" s="6" t="str">
        <f aca="false">IF(C1075&lt;Outliers!$E$8,"Low",IF(C1075&gt;Outliers!$F$8,"High",""))</f>
        <v/>
      </c>
      <c r="L1075" s="6" t="str">
        <f aca="false">A1075&amp;";"&amp;B1075&amp;";"&amp;C1075</f>
        <v>29.44795403;96.45042585;21.1842107185979</v>
      </c>
      <c r="M1075" s="6" t="n">
        <f aca="false">IF(COUNTIF($L$2:$L$2201,L1075)&gt;1,1,0)</f>
        <v>0</v>
      </c>
      <c r="N1075" s="6" t="str">
        <f aca="false">IF(AND(C1075&lt;Assumptions!$B$9,B1075&lt;Assumptions!$B$10),"Irrigate Now",IF(AND(C1075&gt;=Assumptions!$B$11,B1075&gt;=Assumptions!$B$12),"No Irrigation Needed","Monitor"))</f>
        <v>Monitor</v>
      </c>
      <c r="O1075" s="6" t="n">
        <f aca="false">IF(N1075=G1075,1,0)</f>
        <v>1</v>
      </c>
    </row>
    <row r="1076" customFormat="false" ht="15" hidden="false" customHeight="false" outlineLevel="0" collapsed="false">
      <c r="A1076" s="16" t="n">
        <v>26.47522633</v>
      </c>
      <c r="B1076" s="16" t="n">
        <v>113.1161095</v>
      </c>
      <c r="C1076" s="16" t="n">
        <v>22.8205491665734</v>
      </c>
      <c r="D1076" s="6" t="s">
        <v>57</v>
      </c>
      <c r="E1076" s="6" t="s">
        <v>57</v>
      </c>
      <c r="F1076" s="6" t="s">
        <v>60</v>
      </c>
      <c r="G1076" s="6" t="s">
        <v>61</v>
      </c>
      <c r="H1076" s="6" t="s">
        <v>63</v>
      </c>
      <c r="I1076" s="6" t="str">
        <f aca="false">IF(A1076&lt;Outliers!$E$6,"Low",IF(A1076&gt;Outliers!$F$6,"High",""))</f>
        <v/>
      </c>
      <c r="J1076" s="6" t="str">
        <f aca="false">IF(B1076&lt;Outliers!$E$7,"Low",IF(B1076&gt;Outliers!$F$7,"High",""))</f>
        <v/>
      </c>
      <c r="K1076" s="6" t="str">
        <f aca="false">IF(C1076&lt;Outliers!$E$8,"Low",IF(C1076&gt;Outliers!$F$8,"High",""))</f>
        <v/>
      </c>
      <c r="L1076" s="6" t="str">
        <f aca="false">A1076&amp;";"&amp;B1076&amp;";"&amp;C1076</f>
        <v>26.47522633;113.1161095;22.8205491665734</v>
      </c>
      <c r="M1076" s="6" t="n">
        <f aca="false">IF(COUNTIF($L$2:$L$2201,L1076)&gt;1,1,0)</f>
        <v>0</v>
      </c>
      <c r="N1076" s="6" t="str">
        <f aca="false">IF(AND(C1076&lt;Assumptions!$B$9,B1076&lt;Assumptions!$B$10),"Irrigate Now",IF(AND(C1076&gt;=Assumptions!$B$11,B1076&gt;=Assumptions!$B$12),"No Irrigation Needed","Monitor"))</f>
        <v>Monitor</v>
      </c>
      <c r="O1076" s="6" t="n">
        <f aca="false">IF(N1076=G1076,1,0)</f>
        <v>1</v>
      </c>
    </row>
    <row r="1077" customFormat="false" ht="15" hidden="false" customHeight="false" outlineLevel="0" collapsed="false">
      <c r="A1077" s="16" t="n">
        <v>27.39489579</v>
      </c>
      <c r="B1077" s="16" t="n">
        <v>92.78133617</v>
      </c>
      <c r="C1077" s="16" t="n">
        <v>21.757814358798</v>
      </c>
      <c r="D1077" s="6" t="s">
        <v>57</v>
      </c>
      <c r="E1077" s="6" t="s">
        <v>57</v>
      </c>
      <c r="F1077" s="6" t="s">
        <v>60</v>
      </c>
      <c r="G1077" s="6" t="s">
        <v>61</v>
      </c>
      <c r="H1077" s="6" t="s">
        <v>63</v>
      </c>
      <c r="I1077" s="6" t="str">
        <f aca="false">IF(A1077&lt;Outliers!$E$6,"Low",IF(A1077&gt;Outliers!$F$6,"High",""))</f>
        <v/>
      </c>
      <c r="J1077" s="6" t="str">
        <f aca="false">IF(B1077&lt;Outliers!$E$7,"Low",IF(B1077&gt;Outliers!$F$7,"High",""))</f>
        <v/>
      </c>
      <c r="K1077" s="6" t="str">
        <f aca="false">IF(C1077&lt;Outliers!$E$8,"Low",IF(C1077&gt;Outliers!$F$8,"High",""))</f>
        <v/>
      </c>
      <c r="L1077" s="6" t="str">
        <f aca="false">A1077&amp;";"&amp;B1077&amp;";"&amp;C1077</f>
        <v>27.39489579;92.78133617;21.757814358798</v>
      </c>
      <c r="M1077" s="6" t="n">
        <f aca="false">IF(COUNTIF($L$2:$L$2201,L1077)&gt;1,1,0)</f>
        <v>0</v>
      </c>
      <c r="N1077" s="6" t="str">
        <f aca="false">IF(AND(C1077&lt;Assumptions!$B$9,B1077&lt;Assumptions!$B$10),"Irrigate Now",IF(AND(C1077&gt;=Assumptions!$B$11,B1077&gt;=Assumptions!$B$12),"No Irrigation Needed","Monitor"))</f>
        <v>Monitor</v>
      </c>
      <c r="O1077" s="6" t="n">
        <f aca="false">IF(N1077=G1077,1,0)</f>
        <v>1</v>
      </c>
    </row>
    <row r="1078" customFormat="false" ht="15" hidden="false" customHeight="false" outlineLevel="0" collapsed="false">
      <c r="A1078" s="16" t="n">
        <v>25.08347445</v>
      </c>
      <c r="B1078" s="16" t="n">
        <v>94.32961456</v>
      </c>
      <c r="C1078" s="16" t="n">
        <v>19.8398328952296</v>
      </c>
      <c r="D1078" s="6" t="s">
        <v>57</v>
      </c>
      <c r="E1078" s="6" t="s">
        <v>57</v>
      </c>
      <c r="F1078" s="6" t="s">
        <v>60</v>
      </c>
      <c r="G1078" s="6" t="s">
        <v>61</v>
      </c>
      <c r="H1078" s="6" t="s">
        <v>63</v>
      </c>
      <c r="I1078" s="6" t="str">
        <f aca="false">IF(A1078&lt;Outliers!$E$6,"Low",IF(A1078&gt;Outliers!$F$6,"High",""))</f>
        <v/>
      </c>
      <c r="J1078" s="6" t="str">
        <f aca="false">IF(B1078&lt;Outliers!$E$7,"Low",IF(B1078&gt;Outliers!$F$7,"High",""))</f>
        <v/>
      </c>
      <c r="K1078" s="6" t="str">
        <f aca="false">IF(C1078&lt;Outliers!$E$8,"Low",IF(C1078&gt;Outliers!$F$8,"High",""))</f>
        <v/>
      </c>
      <c r="L1078" s="6" t="str">
        <f aca="false">A1078&amp;";"&amp;B1078&amp;";"&amp;C1078</f>
        <v>25.08347445;94.32961456;19.8398328952296</v>
      </c>
      <c r="M1078" s="6" t="n">
        <f aca="false">IF(COUNTIF($L$2:$L$2201,L1078)&gt;1,1,0)</f>
        <v>0</v>
      </c>
      <c r="N1078" s="6" t="str">
        <f aca="false">IF(AND(C1078&lt;Assumptions!$B$9,B1078&lt;Assumptions!$B$10),"Irrigate Now",IF(AND(C1078&gt;=Assumptions!$B$11,B1078&gt;=Assumptions!$B$12),"No Irrigation Needed","Monitor"))</f>
        <v>Monitor</v>
      </c>
      <c r="O1078" s="6" t="n">
        <f aca="false">IF(N1078=G1078,1,0)</f>
        <v>1</v>
      </c>
    </row>
    <row r="1079" customFormat="false" ht="15" hidden="false" customHeight="false" outlineLevel="0" collapsed="false">
      <c r="A1079" s="16" t="n">
        <v>26.6719835</v>
      </c>
      <c r="B1079" s="16" t="n">
        <v>91.73358569</v>
      </c>
      <c r="C1079" s="16" t="n">
        <v>23.9619218891323</v>
      </c>
      <c r="D1079" s="6" t="s">
        <v>57</v>
      </c>
      <c r="E1079" s="6" t="s">
        <v>57</v>
      </c>
      <c r="F1079" s="6" t="s">
        <v>60</v>
      </c>
      <c r="G1079" s="6" t="s">
        <v>61</v>
      </c>
      <c r="H1079" s="6" t="s">
        <v>63</v>
      </c>
      <c r="I1079" s="6" t="str">
        <f aca="false">IF(A1079&lt;Outliers!$E$6,"Low",IF(A1079&gt;Outliers!$F$6,"High",""))</f>
        <v/>
      </c>
      <c r="J1079" s="6" t="str">
        <f aca="false">IF(B1079&lt;Outliers!$E$7,"Low",IF(B1079&gt;Outliers!$F$7,"High",""))</f>
        <v/>
      </c>
      <c r="K1079" s="6" t="str">
        <f aca="false">IF(C1079&lt;Outliers!$E$8,"Low",IF(C1079&gt;Outliers!$F$8,"High",""))</f>
        <v/>
      </c>
      <c r="L1079" s="6" t="str">
        <f aca="false">A1079&amp;";"&amp;B1079&amp;";"&amp;C1079</f>
        <v>26.6719835;91.73358569;23.9619218891323</v>
      </c>
      <c r="M1079" s="6" t="n">
        <f aca="false">IF(COUNTIF($L$2:$L$2201,L1079)&gt;1,1,0)</f>
        <v>0</v>
      </c>
      <c r="N1079" s="6" t="str">
        <f aca="false">IF(AND(C1079&lt;Assumptions!$B$9,B1079&lt;Assumptions!$B$10),"Irrigate Now",IF(AND(C1079&gt;=Assumptions!$B$11,B1079&gt;=Assumptions!$B$12),"No Irrigation Needed","Monitor"))</f>
        <v>Monitor</v>
      </c>
      <c r="O1079" s="6" t="n">
        <f aca="false">IF(N1079=G1079,1,0)</f>
        <v>1</v>
      </c>
    </row>
    <row r="1080" customFormat="false" ht="15" hidden="false" customHeight="false" outlineLevel="0" collapsed="false">
      <c r="A1080" s="16" t="n">
        <v>25.44926208</v>
      </c>
      <c r="B1080" s="16" t="n">
        <v>100.6619171</v>
      </c>
      <c r="C1080" s="16" t="n">
        <v>21.2595164642926</v>
      </c>
      <c r="D1080" s="6" t="s">
        <v>57</v>
      </c>
      <c r="E1080" s="6" t="s">
        <v>57</v>
      </c>
      <c r="F1080" s="6" t="s">
        <v>60</v>
      </c>
      <c r="G1080" s="6" t="s">
        <v>61</v>
      </c>
      <c r="H1080" s="6" t="s">
        <v>63</v>
      </c>
      <c r="I1080" s="6" t="str">
        <f aca="false">IF(A1080&lt;Outliers!$E$6,"Low",IF(A1080&gt;Outliers!$F$6,"High",""))</f>
        <v/>
      </c>
      <c r="J1080" s="6" t="str">
        <f aca="false">IF(B1080&lt;Outliers!$E$7,"Low",IF(B1080&gt;Outliers!$F$7,"High",""))</f>
        <v/>
      </c>
      <c r="K1080" s="6" t="str">
        <f aca="false">IF(C1080&lt;Outliers!$E$8,"Low",IF(C1080&gt;Outliers!$F$8,"High",""))</f>
        <v/>
      </c>
      <c r="L1080" s="6" t="str">
        <f aca="false">A1080&amp;";"&amp;B1080&amp;";"&amp;C1080</f>
        <v>25.44926208;100.6619171;21.2595164642926</v>
      </c>
      <c r="M1080" s="6" t="n">
        <f aca="false">IF(COUNTIF($L$2:$L$2201,L1080)&gt;1,1,0)</f>
        <v>0</v>
      </c>
      <c r="N1080" s="6" t="str">
        <f aca="false">IF(AND(C1080&lt;Assumptions!$B$9,B1080&lt;Assumptions!$B$10),"Irrigate Now",IF(AND(C1080&gt;=Assumptions!$B$11,B1080&gt;=Assumptions!$B$12),"No Irrigation Needed","Monitor"))</f>
        <v>Monitor</v>
      </c>
      <c r="O1080" s="6" t="n">
        <f aca="false">IF(N1080=G1080,1,0)</f>
        <v>1</v>
      </c>
    </row>
    <row r="1081" customFormat="false" ht="15" hidden="false" customHeight="false" outlineLevel="0" collapsed="false">
      <c r="A1081" s="16" t="n">
        <v>28.22776705</v>
      </c>
      <c r="B1081" s="16" t="n">
        <v>98.00403016</v>
      </c>
      <c r="C1081" s="16" t="n">
        <v>23.4106597674531</v>
      </c>
      <c r="D1081" s="6" t="s">
        <v>57</v>
      </c>
      <c r="E1081" s="6" t="s">
        <v>57</v>
      </c>
      <c r="F1081" s="6" t="s">
        <v>60</v>
      </c>
      <c r="G1081" s="6" t="s">
        <v>61</v>
      </c>
      <c r="H1081" s="6" t="s">
        <v>63</v>
      </c>
      <c r="I1081" s="6" t="str">
        <f aca="false">IF(A1081&lt;Outliers!$E$6,"Low",IF(A1081&gt;Outliers!$F$6,"High",""))</f>
        <v/>
      </c>
      <c r="J1081" s="6" t="str">
        <f aca="false">IF(B1081&lt;Outliers!$E$7,"Low",IF(B1081&gt;Outliers!$F$7,"High",""))</f>
        <v/>
      </c>
      <c r="K1081" s="6" t="str">
        <f aca="false">IF(C1081&lt;Outliers!$E$8,"Low",IF(C1081&gt;Outliers!$F$8,"High",""))</f>
        <v/>
      </c>
      <c r="L1081" s="6" t="str">
        <f aca="false">A1081&amp;";"&amp;B1081&amp;";"&amp;C1081</f>
        <v>28.22776705;98.00403016;23.4106597674531</v>
      </c>
      <c r="M1081" s="6" t="n">
        <f aca="false">IF(COUNTIF($L$2:$L$2201,L1081)&gt;1,1,0)</f>
        <v>0</v>
      </c>
      <c r="N1081" s="6" t="str">
        <f aca="false">IF(AND(C1081&lt;Assumptions!$B$9,B1081&lt;Assumptions!$B$10),"Irrigate Now",IF(AND(C1081&gt;=Assumptions!$B$11,B1081&gt;=Assumptions!$B$12),"No Irrigation Needed","Monitor"))</f>
        <v>Monitor</v>
      </c>
      <c r="O1081" s="6" t="n">
        <f aca="false">IF(N1081=G1081,1,0)</f>
        <v>1</v>
      </c>
    </row>
    <row r="1082" customFormat="false" ht="15" hidden="false" customHeight="false" outlineLevel="0" collapsed="false">
      <c r="A1082" s="16" t="n">
        <v>28.1279509</v>
      </c>
      <c r="B1082" s="16" t="n">
        <v>103.5045395</v>
      </c>
      <c r="C1082" s="16" t="n">
        <v>25.7848455892463</v>
      </c>
      <c r="D1082" s="6" t="s">
        <v>57</v>
      </c>
      <c r="E1082" s="6" t="s">
        <v>57</v>
      </c>
      <c r="F1082" s="6" t="s">
        <v>23</v>
      </c>
      <c r="G1082" s="6" t="s">
        <v>58</v>
      </c>
      <c r="H1082" s="6" t="s">
        <v>59</v>
      </c>
      <c r="I1082" s="6" t="str">
        <f aca="false">IF(A1082&lt;Outliers!$E$6,"Low",IF(A1082&gt;Outliers!$F$6,"High",""))</f>
        <v/>
      </c>
      <c r="J1082" s="6" t="str">
        <f aca="false">IF(B1082&lt;Outliers!$E$7,"Low",IF(B1082&gt;Outliers!$F$7,"High",""))</f>
        <v/>
      </c>
      <c r="K1082" s="6" t="str">
        <f aca="false">IF(C1082&lt;Outliers!$E$8,"Low",IF(C1082&gt;Outliers!$F$8,"High",""))</f>
        <v/>
      </c>
      <c r="L1082" s="6" t="str">
        <f aca="false">A1082&amp;";"&amp;B1082&amp;";"&amp;C1082</f>
        <v>28.1279509;103.5045395;25.7848455892463</v>
      </c>
      <c r="M1082" s="6" t="n">
        <f aca="false">IF(COUNTIF($L$2:$L$2201,L1082)&gt;1,1,0)</f>
        <v>0</v>
      </c>
      <c r="N1082" s="6" t="str">
        <f aca="false">IF(AND(C1082&lt;Assumptions!$B$9,B1082&lt;Assumptions!$B$10),"Irrigate Now",IF(AND(C1082&gt;=Assumptions!$B$11,B1082&gt;=Assumptions!$B$12),"No Irrigation Needed","Monitor"))</f>
        <v>No Irrigation Needed</v>
      </c>
      <c r="O1082" s="6" t="n">
        <f aca="false">IF(N1082=G1082,1,0)</f>
        <v>1</v>
      </c>
    </row>
    <row r="1083" customFormat="false" ht="15" hidden="false" customHeight="false" outlineLevel="0" collapsed="false">
      <c r="A1083" s="16" t="n">
        <v>28.9470467</v>
      </c>
      <c r="B1083" s="16" t="n">
        <v>95.83016448</v>
      </c>
      <c r="C1083" s="16" t="n">
        <v>15.1417192671755</v>
      </c>
      <c r="D1083" s="6" t="s">
        <v>57</v>
      </c>
      <c r="E1083" s="6" t="s">
        <v>57</v>
      </c>
      <c r="F1083" s="6" t="s">
        <v>24</v>
      </c>
      <c r="G1083" s="6" t="s">
        <v>64</v>
      </c>
      <c r="H1083" s="6" t="s">
        <v>65</v>
      </c>
      <c r="I1083" s="6" t="str">
        <f aca="false">IF(A1083&lt;Outliers!$E$6,"Low",IF(A1083&gt;Outliers!$F$6,"High",""))</f>
        <v/>
      </c>
      <c r="J1083" s="6" t="str">
        <f aca="false">IF(B1083&lt;Outliers!$E$7,"Low",IF(B1083&gt;Outliers!$F$7,"High",""))</f>
        <v/>
      </c>
      <c r="K1083" s="6" t="str">
        <f aca="false">IF(C1083&lt;Outliers!$E$8,"Low",IF(C1083&gt;Outliers!$F$8,"High",""))</f>
        <v/>
      </c>
      <c r="L1083" s="6" t="str">
        <f aca="false">A1083&amp;";"&amp;B1083&amp;";"&amp;C1083</f>
        <v>28.9470467;95.83016448;15.1417192671755</v>
      </c>
      <c r="M1083" s="6" t="n">
        <f aca="false">IF(COUNTIF($L$2:$L$2201,L1083)&gt;1,1,0)</f>
        <v>0</v>
      </c>
      <c r="N1083" s="6" t="str">
        <f aca="false">IF(AND(C1083&lt;Assumptions!$B$9,B1083&lt;Assumptions!$B$10),"Irrigate Now",IF(AND(C1083&gt;=Assumptions!$B$11,B1083&gt;=Assumptions!$B$12),"No Irrigation Needed","Monitor"))</f>
        <v>Irrigate Now</v>
      </c>
      <c r="O1083" s="6" t="n">
        <f aca="false">IF(N1083=G1083,1,0)</f>
        <v>1</v>
      </c>
    </row>
    <row r="1084" customFormat="false" ht="15" hidden="false" customHeight="false" outlineLevel="0" collapsed="false">
      <c r="A1084" s="16" t="n">
        <v>27.96236771</v>
      </c>
      <c r="B1084" s="16" t="n">
        <v>97.55986676</v>
      </c>
      <c r="C1084" s="16" t="n">
        <v>11.2293870890278</v>
      </c>
      <c r="D1084" s="6" t="s">
        <v>57</v>
      </c>
      <c r="E1084" s="6" t="s">
        <v>57</v>
      </c>
      <c r="F1084" s="6" t="s">
        <v>24</v>
      </c>
      <c r="G1084" s="6" t="s">
        <v>64</v>
      </c>
      <c r="H1084" s="6" t="s">
        <v>65</v>
      </c>
      <c r="I1084" s="6" t="str">
        <f aca="false">IF(A1084&lt;Outliers!$E$6,"Low",IF(A1084&gt;Outliers!$F$6,"High",""))</f>
        <v/>
      </c>
      <c r="J1084" s="6" t="str">
        <f aca="false">IF(B1084&lt;Outliers!$E$7,"Low",IF(B1084&gt;Outliers!$F$7,"High",""))</f>
        <v/>
      </c>
      <c r="K1084" s="6" t="str">
        <f aca="false">IF(C1084&lt;Outliers!$E$8,"Low",IF(C1084&gt;Outliers!$F$8,"High",""))</f>
        <v/>
      </c>
      <c r="L1084" s="6" t="str">
        <f aca="false">A1084&amp;";"&amp;B1084&amp;";"&amp;C1084</f>
        <v>27.96236771;97.55986676;11.2293870890278</v>
      </c>
      <c r="M1084" s="6" t="n">
        <f aca="false">IF(COUNTIF($L$2:$L$2201,L1084)&gt;1,1,0)</f>
        <v>0</v>
      </c>
      <c r="N1084" s="6" t="str">
        <f aca="false">IF(AND(C1084&lt;Assumptions!$B$9,B1084&lt;Assumptions!$B$10),"Irrigate Now",IF(AND(C1084&gt;=Assumptions!$B$11,B1084&gt;=Assumptions!$B$12),"No Irrigation Needed","Monitor"))</f>
        <v>Irrigate Now</v>
      </c>
      <c r="O1084" s="6" t="n">
        <f aca="false">IF(N1084=G1084,1,0)</f>
        <v>1</v>
      </c>
    </row>
    <row r="1085" customFormat="false" ht="15" hidden="false" customHeight="false" outlineLevel="0" collapsed="false">
      <c r="A1085" s="16" t="n">
        <v>28.00316034</v>
      </c>
      <c r="B1085" s="16" t="n">
        <v>94.68180316</v>
      </c>
      <c r="C1085" s="16" t="n">
        <v>22.6683783274186</v>
      </c>
      <c r="D1085" s="6" t="s">
        <v>57</v>
      </c>
      <c r="E1085" s="6" t="s">
        <v>57</v>
      </c>
      <c r="F1085" s="6" t="s">
        <v>60</v>
      </c>
      <c r="G1085" s="6" t="s">
        <v>61</v>
      </c>
      <c r="H1085" s="6" t="s">
        <v>63</v>
      </c>
      <c r="I1085" s="6" t="str">
        <f aca="false">IF(A1085&lt;Outliers!$E$6,"Low",IF(A1085&gt;Outliers!$F$6,"High",""))</f>
        <v/>
      </c>
      <c r="J1085" s="6" t="str">
        <f aca="false">IF(B1085&lt;Outliers!$E$7,"Low",IF(B1085&gt;Outliers!$F$7,"High",""))</f>
        <v/>
      </c>
      <c r="K1085" s="6" t="str">
        <f aca="false">IF(C1085&lt;Outliers!$E$8,"Low",IF(C1085&gt;Outliers!$F$8,"High",""))</f>
        <v/>
      </c>
      <c r="L1085" s="6" t="str">
        <f aca="false">A1085&amp;";"&amp;B1085&amp;";"&amp;C1085</f>
        <v>28.00316034;94.68180316;22.6683783274186</v>
      </c>
      <c r="M1085" s="6" t="n">
        <f aca="false">IF(COUNTIF($L$2:$L$2201,L1085)&gt;1,1,0)</f>
        <v>0</v>
      </c>
      <c r="N1085" s="6" t="str">
        <f aca="false">IF(AND(C1085&lt;Assumptions!$B$9,B1085&lt;Assumptions!$B$10),"Irrigate Now",IF(AND(C1085&gt;=Assumptions!$B$11,B1085&gt;=Assumptions!$B$12),"No Irrigation Needed","Monitor"))</f>
        <v>Monitor</v>
      </c>
      <c r="O1085" s="6" t="n">
        <f aca="false">IF(N1085=G1085,1,0)</f>
        <v>1</v>
      </c>
    </row>
    <row r="1086" customFormat="false" ht="15" hidden="false" customHeight="false" outlineLevel="0" collapsed="false">
      <c r="A1086" s="16" t="n">
        <v>29.1400919</v>
      </c>
      <c r="B1086" s="16" t="n">
        <v>90.45142867</v>
      </c>
      <c r="C1086" s="16" t="n">
        <v>27.146732440318</v>
      </c>
      <c r="D1086" s="6" t="s">
        <v>57</v>
      </c>
      <c r="E1086" s="6" t="s">
        <v>57</v>
      </c>
      <c r="F1086" s="6" t="s">
        <v>23</v>
      </c>
      <c r="G1086" s="6" t="s">
        <v>61</v>
      </c>
      <c r="H1086" s="6" t="s">
        <v>63</v>
      </c>
      <c r="I1086" s="6" t="str">
        <f aca="false">IF(A1086&lt;Outliers!$E$6,"Low",IF(A1086&gt;Outliers!$F$6,"High",""))</f>
        <v/>
      </c>
      <c r="J1086" s="6" t="str">
        <f aca="false">IF(B1086&lt;Outliers!$E$7,"Low",IF(B1086&gt;Outliers!$F$7,"High",""))</f>
        <v/>
      </c>
      <c r="K1086" s="6" t="str">
        <f aca="false">IF(C1086&lt;Outliers!$E$8,"Low",IF(C1086&gt;Outliers!$F$8,"High",""))</f>
        <v/>
      </c>
      <c r="L1086" s="6" t="str">
        <f aca="false">A1086&amp;";"&amp;B1086&amp;";"&amp;C1086</f>
        <v>29.1400919;90.45142867;27.146732440318</v>
      </c>
      <c r="M1086" s="6" t="n">
        <f aca="false">IF(COUNTIF($L$2:$L$2201,L1086)&gt;1,1,0)</f>
        <v>0</v>
      </c>
      <c r="N1086" s="6" t="str">
        <f aca="false">IF(AND(C1086&lt;Assumptions!$B$9,B1086&lt;Assumptions!$B$10),"Irrigate Now",IF(AND(C1086&gt;=Assumptions!$B$11,B1086&gt;=Assumptions!$B$12),"No Irrigation Needed","Monitor"))</f>
        <v>Monitor</v>
      </c>
      <c r="O1086" s="6" t="n">
        <f aca="false">IF(N1086=G1086,1,0)</f>
        <v>1</v>
      </c>
    </row>
    <row r="1087" customFormat="false" ht="15" hidden="false" customHeight="false" outlineLevel="0" collapsed="false">
      <c r="A1087" s="16" t="n">
        <v>27.9122104</v>
      </c>
      <c r="B1087" s="16" t="n">
        <v>90.24211529</v>
      </c>
      <c r="C1087" s="16" t="n">
        <v>12.7978784438999</v>
      </c>
      <c r="D1087" s="6" t="s">
        <v>57</v>
      </c>
      <c r="E1087" s="6" t="s">
        <v>57</v>
      </c>
      <c r="F1087" s="6" t="s">
        <v>24</v>
      </c>
      <c r="G1087" s="6" t="s">
        <v>64</v>
      </c>
      <c r="H1087" s="6" t="s">
        <v>65</v>
      </c>
      <c r="I1087" s="6" t="str">
        <f aca="false">IF(A1087&lt;Outliers!$E$6,"Low",IF(A1087&gt;Outliers!$F$6,"High",""))</f>
        <v/>
      </c>
      <c r="J1087" s="6" t="str">
        <f aca="false">IF(B1087&lt;Outliers!$E$7,"Low",IF(B1087&gt;Outliers!$F$7,"High",""))</f>
        <v/>
      </c>
      <c r="K1087" s="6" t="str">
        <f aca="false">IF(C1087&lt;Outliers!$E$8,"Low",IF(C1087&gt;Outliers!$F$8,"High",""))</f>
        <v/>
      </c>
      <c r="L1087" s="6" t="str">
        <f aca="false">A1087&amp;";"&amp;B1087&amp;";"&amp;C1087</f>
        <v>27.9122104;90.24211529;12.7978784438999</v>
      </c>
      <c r="M1087" s="6" t="n">
        <f aca="false">IF(COUNTIF($L$2:$L$2201,L1087)&gt;1,1,0)</f>
        <v>0</v>
      </c>
      <c r="N1087" s="6" t="str">
        <f aca="false">IF(AND(C1087&lt;Assumptions!$B$9,B1087&lt;Assumptions!$B$10),"Irrigate Now",IF(AND(C1087&gt;=Assumptions!$B$11,B1087&gt;=Assumptions!$B$12),"No Irrigation Needed","Monitor"))</f>
        <v>Irrigate Now</v>
      </c>
      <c r="O1087" s="6" t="n">
        <f aca="false">IF(N1087=G1087,1,0)</f>
        <v>1</v>
      </c>
    </row>
    <row r="1088" customFormat="false" ht="15" hidden="false" customHeight="false" outlineLevel="0" collapsed="false">
      <c r="A1088" s="16" t="n">
        <v>25.43480512</v>
      </c>
      <c r="B1088" s="16" t="n">
        <v>96.47800391</v>
      </c>
      <c r="C1088" s="16" t="n">
        <v>19.8036836293929</v>
      </c>
      <c r="D1088" s="6" t="s">
        <v>57</v>
      </c>
      <c r="E1088" s="6" t="s">
        <v>57</v>
      </c>
      <c r="F1088" s="6" t="s">
        <v>60</v>
      </c>
      <c r="G1088" s="6" t="s">
        <v>61</v>
      </c>
      <c r="H1088" s="6" t="s">
        <v>63</v>
      </c>
      <c r="I1088" s="6" t="str">
        <f aca="false">IF(A1088&lt;Outliers!$E$6,"Low",IF(A1088&gt;Outliers!$F$6,"High",""))</f>
        <v/>
      </c>
      <c r="J1088" s="6" t="str">
        <f aca="false">IF(B1088&lt;Outliers!$E$7,"Low",IF(B1088&gt;Outliers!$F$7,"High",""))</f>
        <v/>
      </c>
      <c r="K1088" s="6" t="str">
        <f aca="false">IF(C1088&lt;Outliers!$E$8,"Low",IF(C1088&gt;Outliers!$F$8,"High",""))</f>
        <v/>
      </c>
      <c r="L1088" s="6" t="str">
        <f aca="false">A1088&amp;";"&amp;B1088&amp;";"&amp;C1088</f>
        <v>25.43480512;96.47800391;19.8036836293929</v>
      </c>
      <c r="M1088" s="6" t="n">
        <f aca="false">IF(COUNTIF($L$2:$L$2201,L1088)&gt;1,1,0)</f>
        <v>0</v>
      </c>
      <c r="N1088" s="6" t="str">
        <f aca="false">IF(AND(C1088&lt;Assumptions!$B$9,B1088&lt;Assumptions!$B$10),"Irrigate Now",IF(AND(C1088&gt;=Assumptions!$B$11,B1088&gt;=Assumptions!$B$12),"No Irrigation Needed","Monitor"))</f>
        <v>Monitor</v>
      </c>
      <c r="O1088" s="6" t="n">
        <f aca="false">IF(N1088=G1088,1,0)</f>
        <v>1</v>
      </c>
    </row>
    <row r="1089" customFormat="false" ht="15" hidden="false" customHeight="false" outlineLevel="0" collapsed="false">
      <c r="A1089" s="16" t="n">
        <v>28.55980972</v>
      </c>
      <c r="B1089" s="16" t="n">
        <v>111.0843029</v>
      </c>
      <c r="C1089" s="16" t="n">
        <v>28.9578142379535</v>
      </c>
      <c r="D1089" s="6" t="s">
        <v>57</v>
      </c>
      <c r="E1089" s="6" t="s">
        <v>57</v>
      </c>
      <c r="F1089" s="6" t="s">
        <v>23</v>
      </c>
      <c r="G1089" s="6" t="s">
        <v>58</v>
      </c>
      <c r="H1089" s="6" t="s">
        <v>59</v>
      </c>
      <c r="I1089" s="6" t="str">
        <f aca="false">IF(A1089&lt;Outliers!$E$6,"Low",IF(A1089&gt;Outliers!$F$6,"High",""))</f>
        <v/>
      </c>
      <c r="J1089" s="6" t="str">
        <f aca="false">IF(B1089&lt;Outliers!$E$7,"Low",IF(B1089&gt;Outliers!$F$7,"High",""))</f>
        <v/>
      </c>
      <c r="K1089" s="6" t="str">
        <f aca="false">IF(C1089&lt;Outliers!$E$8,"Low",IF(C1089&gt;Outliers!$F$8,"High",""))</f>
        <v/>
      </c>
      <c r="L1089" s="6" t="str">
        <f aca="false">A1089&amp;";"&amp;B1089&amp;";"&amp;C1089</f>
        <v>28.55980972;111.0843029;28.9578142379535</v>
      </c>
      <c r="M1089" s="6" t="n">
        <f aca="false">IF(COUNTIF($L$2:$L$2201,L1089)&gt;1,1,0)</f>
        <v>0</v>
      </c>
      <c r="N1089" s="6" t="str">
        <f aca="false">IF(AND(C1089&lt;Assumptions!$B$9,B1089&lt;Assumptions!$B$10),"Irrigate Now",IF(AND(C1089&gt;=Assumptions!$B$11,B1089&gt;=Assumptions!$B$12),"No Irrigation Needed","Monitor"))</f>
        <v>No Irrigation Needed</v>
      </c>
      <c r="O1089" s="6" t="n">
        <f aca="false">IF(N1089=G1089,1,0)</f>
        <v>1</v>
      </c>
    </row>
    <row r="1090" customFormat="false" ht="15" hidden="false" customHeight="false" outlineLevel="0" collapsed="false">
      <c r="A1090" s="16" t="n">
        <v>26.59580783</v>
      </c>
      <c r="B1090" s="16" t="n">
        <v>100.5123341</v>
      </c>
      <c r="C1090" s="16" t="n">
        <v>21.3540070528829</v>
      </c>
      <c r="D1090" s="6" t="s">
        <v>57</v>
      </c>
      <c r="E1090" s="6" t="s">
        <v>57</v>
      </c>
      <c r="F1090" s="6" t="s">
        <v>60</v>
      </c>
      <c r="G1090" s="6" t="s">
        <v>61</v>
      </c>
      <c r="H1090" s="6" t="s">
        <v>63</v>
      </c>
      <c r="I1090" s="6" t="str">
        <f aca="false">IF(A1090&lt;Outliers!$E$6,"Low",IF(A1090&gt;Outliers!$F$6,"High",""))</f>
        <v/>
      </c>
      <c r="J1090" s="6" t="str">
        <f aca="false">IF(B1090&lt;Outliers!$E$7,"Low",IF(B1090&gt;Outliers!$F$7,"High",""))</f>
        <v/>
      </c>
      <c r="K1090" s="6" t="str">
        <f aca="false">IF(C1090&lt;Outliers!$E$8,"Low",IF(C1090&gt;Outliers!$F$8,"High",""))</f>
        <v/>
      </c>
      <c r="L1090" s="6" t="str">
        <f aca="false">A1090&amp;";"&amp;B1090&amp;";"&amp;C1090</f>
        <v>26.59580783;100.5123341;21.3540070528829</v>
      </c>
      <c r="M1090" s="6" t="n">
        <f aca="false">IF(COUNTIF($L$2:$L$2201,L1090)&gt;1,1,0)</f>
        <v>0</v>
      </c>
      <c r="N1090" s="6" t="str">
        <f aca="false">IF(AND(C1090&lt;Assumptions!$B$9,B1090&lt;Assumptions!$B$10),"Irrigate Now",IF(AND(C1090&gt;=Assumptions!$B$11,B1090&gt;=Assumptions!$B$12),"No Irrigation Needed","Monitor"))</f>
        <v>Monitor</v>
      </c>
      <c r="O1090" s="6" t="n">
        <f aca="false">IF(N1090=G1090,1,0)</f>
        <v>1</v>
      </c>
    </row>
    <row r="1091" customFormat="false" ht="15" hidden="false" customHeight="false" outlineLevel="0" collapsed="false">
      <c r="A1091" s="16" t="n">
        <v>27.19711623</v>
      </c>
      <c r="B1091" s="16" t="n">
        <v>99.46950465</v>
      </c>
      <c r="C1091" s="16" t="n">
        <v>29.7843971182034</v>
      </c>
      <c r="D1091" s="6" t="s">
        <v>57</v>
      </c>
      <c r="E1091" s="6" t="s">
        <v>57</v>
      </c>
      <c r="F1091" s="6" t="s">
        <v>23</v>
      </c>
      <c r="G1091" s="6" t="s">
        <v>61</v>
      </c>
      <c r="H1091" s="6" t="s">
        <v>63</v>
      </c>
      <c r="I1091" s="6" t="str">
        <f aca="false">IF(A1091&lt;Outliers!$E$6,"Low",IF(A1091&gt;Outliers!$F$6,"High",""))</f>
        <v/>
      </c>
      <c r="J1091" s="6" t="str">
        <f aca="false">IF(B1091&lt;Outliers!$E$7,"Low",IF(B1091&gt;Outliers!$F$7,"High",""))</f>
        <v/>
      </c>
      <c r="K1091" s="6" t="str">
        <f aca="false">IF(C1091&lt;Outliers!$E$8,"Low",IF(C1091&gt;Outliers!$F$8,"High",""))</f>
        <v/>
      </c>
      <c r="L1091" s="6" t="str">
        <f aca="false">A1091&amp;";"&amp;B1091&amp;";"&amp;C1091</f>
        <v>27.19711623;99.46950465;29.7843971182034</v>
      </c>
      <c r="M1091" s="6" t="n">
        <f aca="false">IF(COUNTIF($L$2:$L$2201,L1091)&gt;1,1,0)</f>
        <v>0</v>
      </c>
      <c r="N1091" s="6" t="str">
        <f aca="false">IF(AND(C1091&lt;Assumptions!$B$9,B1091&lt;Assumptions!$B$10),"Irrigate Now",IF(AND(C1091&gt;=Assumptions!$B$11,B1091&gt;=Assumptions!$B$12),"No Irrigation Needed","Monitor"))</f>
        <v>Monitor</v>
      </c>
      <c r="O1091" s="6" t="n">
        <f aca="false">IF(N1091=G1091,1,0)</f>
        <v>1</v>
      </c>
    </row>
    <row r="1092" customFormat="false" ht="15" hidden="false" customHeight="false" outlineLevel="0" collapsed="false">
      <c r="A1092" s="16" t="n">
        <v>25.29391516</v>
      </c>
      <c r="B1092" s="16" t="n">
        <v>105.4220251</v>
      </c>
      <c r="C1092" s="16" t="n">
        <v>15.584397075121</v>
      </c>
      <c r="D1092" s="6" t="s">
        <v>57</v>
      </c>
      <c r="E1092" s="6" t="s">
        <v>57</v>
      </c>
      <c r="F1092" s="6" t="s">
        <v>24</v>
      </c>
      <c r="G1092" s="6" t="s">
        <v>61</v>
      </c>
      <c r="H1092" s="6" t="s">
        <v>63</v>
      </c>
      <c r="I1092" s="6" t="str">
        <f aca="false">IF(A1092&lt;Outliers!$E$6,"Low",IF(A1092&gt;Outliers!$F$6,"High",""))</f>
        <v/>
      </c>
      <c r="J1092" s="6" t="str">
        <f aca="false">IF(B1092&lt;Outliers!$E$7,"Low",IF(B1092&gt;Outliers!$F$7,"High",""))</f>
        <v/>
      </c>
      <c r="K1092" s="6" t="str">
        <f aca="false">IF(C1092&lt;Outliers!$E$8,"Low",IF(C1092&gt;Outliers!$F$8,"High",""))</f>
        <v/>
      </c>
      <c r="L1092" s="6" t="str">
        <f aca="false">A1092&amp;";"&amp;B1092&amp;";"&amp;C1092</f>
        <v>25.29391516;105.4220251;15.584397075121</v>
      </c>
      <c r="M1092" s="6" t="n">
        <f aca="false">IF(COUNTIF($L$2:$L$2201,L1092)&gt;1,1,0)</f>
        <v>0</v>
      </c>
      <c r="N1092" s="6" t="str">
        <f aca="false">IF(AND(C1092&lt;Assumptions!$B$9,B1092&lt;Assumptions!$B$10),"Irrigate Now",IF(AND(C1092&gt;=Assumptions!$B$11,B1092&gt;=Assumptions!$B$12),"No Irrigation Needed","Monitor"))</f>
        <v>Monitor</v>
      </c>
      <c r="O1092" s="6" t="n">
        <f aca="false">IF(N1092=G1092,1,0)</f>
        <v>1</v>
      </c>
    </row>
    <row r="1093" customFormat="false" ht="15" hidden="false" customHeight="false" outlineLevel="0" collapsed="false">
      <c r="A1093" s="16" t="n">
        <v>29.90888522</v>
      </c>
      <c r="B1093" s="16" t="n">
        <v>91.99964712</v>
      </c>
      <c r="C1093" s="16" t="n">
        <v>28.7746174481768</v>
      </c>
      <c r="D1093" s="6" t="s">
        <v>57</v>
      </c>
      <c r="E1093" s="6" t="s">
        <v>57</v>
      </c>
      <c r="F1093" s="6" t="s">
        <v>23</v>
      </c>
      <c r="G1093" s="6" t="s">
        <v>61</v>
      </c>
      <c r="H1093" s="6" t="s">
        <v>63</v>
      </c>
      <c r="I1093" s="6" t="str">
        <f aca="false">IF(A1093&lt;Outliers!$E$6,"Low",IF(A1093&gt;Outliers!$F$6,"High",""))</f>
        <v/>
      </c>
      <c r="J1093" s="6" t="str">
        <f aca="false">IF(B1093&lt;Outliers!$E$7,"Low",IF(B1093&gt;Outliers!$F$7,"High",""))</f>
        <v/>
      </c>
      <c r="K1093" s="6" t="str">
        <f aca="false">IF(C1093&lt;Outliers!$E$8,"Low",IF(C1093&gt;Outliers!$F$8,"High",""))</f>
        <v/>
      </c>
      <c r="L1093" s="6" t="str">
        <f aca="false">A1093&amp;";"&amp;B1093&amp;";"&amp;C1093</f>
        <v>29.90888522;91.99964712;28.7746174481768</v>
      </c>
      <c r="M1093" s="6" t="n">
        <f aca="false">IF(COUNTIF($L$2:$L$2201,L1093)&gt;1,1,0)</f>
        <v>0</v>
      </c>
      <c r="N1093" s="6" t="str">
        <f aca="false">IF(AND(C1093&lt;Assumptions!$B$9,B1093&lt;Assumptions!$B$10),"Irrigate Now",IF(AND(C1093&gt;=Assumptions!$B$11,B1093&gt;=Assumptions!$B$12),"No Irrigation Needed","Monitor"))</f>
        <v>Monitor</v>
      </c>
      <c r="O1093" s="6" t="n">
        <f aca="false">IF(N1093=G1093,1,0)</f>
        <v>1</v>
      </c>
    </row>
    <row r="1094" customFormat="false" ht="15" hidden="false" customHeight="false" outlineLevel="0" collapsed="false">
      <c r="A1094" s="16" t="n">
        <v>27.94972463</v>
      </c>
      <c r="B1094" s="16" t="n">
        <v>109.0921631</v>
      </c>
      <c r="C1094" s="16" t="n">
        <v>26.9757935498682</v>
      </c>
      <c r="D1094" s="6" t="s">
        <v>57</v>
      </c>
      <c r="E1094" s="6" t="s">
        <v>57</v>
      </c>
      <c r="F1094" s="6" t="s">
        <v>23</v>
      </c>
      <c r="G1094" s="6" t="s">
        <v>58</v>
      </c>
      <c r="H1094" s="6" t="s">
        <v>59</v>
      </c>
      <c r="I1094" s="6" t="str">
        <f aca="false">IF(A1094&lt;Outliers!$E$6,"Low",IF(A1094&gt;Outliers!$F$6,"High",""))</f>
        <v/>
      </c>
      <c r="J1094" s="6" t="str">
        <f aca="false">IF(B1094&lt;Outliers!$E$7,"Low",IF(B1094&gt;Outliers!$F$7,"High",""))</f>
        <v/>
      </c>
      <c r="K1094" s="6" t="str">
        <f aca="false">IF(C1094&lt;Outliers!$E$8,"Low",IF(C1094&gt;Outliers!$F$8,"High",""))</f>
        <v/>
      </c>
      <c r="L1094" s="6" t="str">
        <f aca="false">A1094&amp;";"&amp;B1094&amp;";"&amp;C1094</f>
        <v>27.94972463;109.0921631;26.9757935498682</v>
      </c>
      <c r="M1094" s="6" t="n">
        <f aca="false">IF(COUNTIF($L$2:$L$2201,L1094)&gt;1,1,0)</f>
        <v>0</v>
      </c>
      <c r="N1094" s="6" t="str">
        <f aca="false">IF(AND(C1094&lt;Assumptions!$B$9,B1094&lt;Assumptions!$B$10),"Irrigate Now",IF(AND(C1094&gt;=Assumptions!$B$11,B1094&gt;=Assumptions!$B$12),"No Irrigation Needed","Monitor"))</f>
        <v>No Irrigation Needed</v>
      </c>
      <c r="O1094" s="6" t="n">
        <f aca="false">IF(N1094=G1094,1,0)</f>
        <v>1</v>
      </c>
    </row>
    <row r="1095" customFormat="false" ht="15" hidden="false" customHeight="false" outlineLevel="0" collapsed="false">
      <c r="A1095" s="16" t="n">
        <v>25.01018457</v>
      </c>
      <c r="B1095" s="16" t="n">
        <v>108.3690513</v>
      </c>
      <c r="C1095" s="16" t="n">
        <v>25.9853975215501</v>
      </c>
      <c r="D1095" s="6" t="s">
        <v>57</v>
      </c>
      <c r="E1095" s="6" t="s">
        <v>57</v>
      </c>
      <c r="F1095" s="6" t="s">
        <v>23</v>
      </c>
      <c r="G1095" s="6" t="s">
        <v>58</v>
      </c>
      <c r="H1095" s="6" t="s">
        <v>59</v>
      </c>
      <c r="I1095" s="6" t="str">
        <f aca="false">IF(A1095&lt;Outliers!$E$6,"Low",IF(A1095&gt;Outliers!$F$6,"High",""))</f>
        <v/>
      </c>
      <c r="J1095" s="6" t="str">
        <f aca="false">IF(B1095&lt;Outliers!$E$7,"Low",IF(B1095&gt;Outliers!$F$7,"High",""))</f>
        <v/>
      </c>
      <c r="K1095" s="6" t="str">
        <f aca="false">IF(C1095&lt;Outliers!$E$8,"Low",IF(C1095&gt;Outliers!$F$8,"High",""))</f>
        <v/>
      </c>
      <c r="L1095" s="6" t="str">
        <f aca="false">A1095&amp;";"&amp;B1095&amp;";"&amp;C1095</f>
        <v>25.01018457;108.3690513;25.9853975215501</v>
      </c>
      <c r="M1095" s="6" t="n">
        <f aca="false">IF(COUNTIF($L$2:$L$2201,L1095)&gt;1,1,0)</f>
        <v>0</v>
      </c>
      <c r="N1095" s="6" t="str">
        <f aca="false">IF(AND(C1095&lt;Assumptions!$B$9,B1095&lt;Assumptions!$B$10),"Irrigate Now",IF(AND(C1095&gt;=Assumptions!$B$11,B1095&gt;=Assumptions!$B$12),"No Irrigation Needed","Monitor"))</f>
        <v>No Irrigation Needed</v>
      </c>
      <c r="O1095" s="6" t="n">
        <f aca="false">IF(N1095=G1095,1,0)</f>
        <v>1</v>
      </c>
    </row>
    <row r="1096" customFormat="false" ht="15" hidden="false" customHeight="false" outlineLevel="0" collapsed="false">
      <c r="A1096" s="16" t="n">
        <v>29.21144871</v>
      </c>
      <c r="B1096" s="16" t="n">
        <v>108.5501443</v>
      </c>
      <c r="C1096" s="16" t="n">
        <v>14.4826819721691</v>
      </c>
      <c r="D1096" s="6" t="s">
        <v>57</v>
      </c>
      <c r="E1096" s="6" t="s">
        <v>57</v>
      </c>
      <c r="F1096" s="6" t="s">
        <v>24</v>
      </c>
      <c r="G1096" s="6" t="s">
        <v>61</v>
      </c>
      <c r="H1096" s="6" t="s">
        <v>63</v>
      </c>
      <c r="I1096" s="6" t="str">
        <f aca="false">IF(A1096&lt;Outliers!$E$6,"Low",IF(A1096&gt;Outliers!$F$6,"High",""))</f>
        <v/>
      </c>
      <c r="J1096" s="6" t="str">
        <f aca="false">IF(B1096&lt;Outliers!$E$7,"Low",IF(B1096&gt;Outliers!$F$7,"High",""))</f>
        <v/>
      </c>
      <c r="K1096" s="6" t="str">
        <f aca="false">IF(C1096&lt;Outliers!$E$8,"Low",IF(C1096&gt;Outliers!$F$8,"High",""))</f>
        <v/>
      </c>
      <c r="L1096" s="6" t="str">
        <f aca="false">A1096&amp;";"&amp;B1096&amp;";"&amp;C1096</f>
        <v>29.21144871;108.5501443;14.4826819721691</v>
      </c>
      <c r="M1096" s="6" t="n">
        <f aca="false">IF(COUNTIF($L$2:$L$2201,L1096)&gt;1,1,0)</f>
        <v>0</v>
      </c>
      <c r="N1096" s="6" t="str">
        <f aca="false">IF(AND(C1096&lt;Assumptions!$B$9,B1096&lt;Assumptions!$B$10),"Irrigate Now",IF(AND(C1096&gt;=Assumptions!$B$11,B1096&gt;=Assumptions!$B$12),"No Irrigation Needed","Monitor"))</f>
        <v>Monitor</v>
      </c>
      <c r="O1096" s="6" t="n">
        <f aca="false">IF(N1096=G1096,1,0)</f>
        <v>1</v>
      </c>
    </row>
    <row r="1097" customFormat="false" ht="15" hidden="false" customHeight="false" outlineLevel="0" collapsed="false">
      <c r="A1097" s="16" t="n">
        <v>27.35911627</v>
      </c>
      <c r="B1097" s="16" t="n">
        <v>90.81250457</v>
      </c>
      <c r="C1097" s="16" t="n">
        <v>20.6471744278659</v>
      </c>
      <c r="D1097" s="6" t="s">
        <v>57</v>
      </c>
      <c r="E1097" s="6" t="s">
        <v>57</v>
      </c>
      <c r="F1097" s="6" t="s">
        <v>60</v>
      </c>
      <c r="G1097" s="6" t="s">
        <v>61</v>
      </c>
      <c r="H1097" s="6" t="s">
        <v>63</v>
      </c>
      <c r="I1097" s="6" t="str">
        <f aca="false">IF(A1097&lt;Outliers!$E$6,"Low",IF(A1097&gt;Outliers!$F$6,"High",""))</f>
        <v/>
      </c>
      <c r="J1097" s="6" t="str">
        <f aca="false">IF(B1097&lt;Outliers!$E$7,"Low",IF(B1097&gt;Outliers!$F$7,"High",""))</f>
        <v/>
      </c>
      <c r="K1097" s="6" t="str">
        <f aca="false">IF(C1097&lt;Outliers!$E$8,"Low",IF(C1097&gt;Outliers!$F$8,"High",""))</f>
        <v/>
      </c>
      <c r="L1097" s="6" t="str">
        <f aca="false">A1097&amp;";"&amp;B1097&amp;";"&amp;C1097</f>
        <v>27.35911627;90.81250457;20.6471744278659</v>
      </c>
      <c r="M1097" s="6" t="n">
        <f aca="false">IF(COUNTIF($L$2:$L$2201,L1097)&gt;1,1,0)</f>
        <v>0</v>
      </c>
      <c r="N1097" s="6" t="str">
        <f aca="false">IF(AND(C1097&lt;Assumptions!$B$9,B1097&lt;Assumptions!$B$10),"Irrigate Now",IF(AND(C1097&gt;=Assumptions!$B$11,B1097&gt;=Assumptions!$B$12),"No Irrigation Needed","Monitor"))</f>
        <v>Monitor</v>
      </c>
      <c r="O1097" s="6" t="n">
        <f aca="false">IF(N1097=G1097,1,0)</f>
        <v>1</v>
      </c>
    </row>
    <row r="1098" customFormat="false" ht="15" hidden="false" customHeight="false" outlineLevel="0" collapsed="false">
      <c r="A1098" s="16" t="n">
        <v>28.0106804</v>
      </c>
      <c r="B1098" s="16" t="n">
        <v>103.7040783</v>
      </c>
      <c r="C1098" s="16" t="n">
        <v>15.2833420190338</v>
      </c>
      <c r="D1098" s="6" t="s">
        <v>57</v>
      </c>
      <c r="E1098" s="6" t="s">
        <v>57</v>
      </c>
      <c r="F1098" s="6" t="s">
        <v>24</v>
      </c>
      <c r="G1098" s="6" t="s">
        <v>61</v>
      </c>
      <c r="H1098" s="6" t="s">
        <v>63</v>
      </c>
      <c r="I1098" s="6" t="str">
        <f aca="false">IF(A1098&lt;Outliers!$E$6,"Low",IF(A1098&gt;Outliers!$F$6,"High",""))</f>
        <v/>
      </c>
      <c r="J1098" s="6" t="str">
        <f aca="false">IF(B1098&lt;Outliers!$E$7,"Low",IF(B1098&gt;Outliers!$F$7,"High",""))</f>
        <v/>
      </c>
      <c r="K1098" s="6" t="str">
        <f aca="false">IF(C1098&lt;Outliers!$E$8,"Low",IF(C1098&gt;Outliers!$F$8,"High",""))</f>
        <v/>
      </c>
      <c r="L1098" s="6" t="str">
        <f aca="false">A1098&amp;";"&amp;B1098&amp;";"&amp;C1098</f>
        <v>28.0106804;103.7040783;15.2833420190338</v>
      </c>
      <c r="M1098" s="6" t="n">
        <f aca="false">IF(COUNTIF($L$2:$L$2201,L1098)&gt;1,1,0)</f>
        <v>0</v>
      </c>
      <c r="N1098" s="6" t="str">
        <f aca="false">IF(AND(C1098&lt;Assumptions!$B$9,B1098&lt;Assumptions!$B$10),"Irrigate Now",IF(AND(C1098&gt;=Assumptions!$B$11,B1098&gt;=Assumptions!$B$12),"No Irrigation Needed","Monitor"))</f>
        <v>Monitor</v>
      </c>
      <c r="O1098" s="6" t="n">
        <f aca="false">IF(N1098=G1098,1,0)</f>
        <v>1</v>
      </c>
    </row>
    <row r="1099" customFormat="false" ht="15" hidden="false" customHeight="false" outlineLevel="0" collapsed="false">
      <c r="A1099" s="16" t="n">
        <v>28.67208915</v>
      </c>
      <c r="B1099" s="16" t="n">
        <v>94.37987496</v>
      </c>
      <c r="C1099" s="16" t="n">
        <v>28.3998523464907</v>
      </c>
      <c r="D1099" s="6" t="s">
        <v>57</v>
      </c>
      <c r="E1099" s="6" t="s">
        <v>57</v>
      </c>
      <c r="F1099" s="6" t="s">
        <v>23</v>
      </c>
      <c r="G1099" s="6" t="s">
        <v>61</v>
      </c>
      <c r="H1099" s="6" t="s">
        <v>63</v>
      </c>
      <c r="I1099" s="6" t="str">
        <f aca="false">IF(A1099&lt;Outliers!$E$6,"Low",IF(A1099&gt;Outliers!$F$6,"High",""))</f>
        <v/>
      </c>
      <c r="J1099" s="6" t="str">
        <f aca="false">IF(B1099&lt;Outliers!$E$7,"Low",IF(B1099&gt;Outliers!$F$7,"High",""))</f>
        <v/>
      </c>
      <c r="K1099" s="6" t="str">
        <f aca="false">IF(C1099&lt;Outliers!$E$8,"Low",IF(C1099&gt;Outliers!$F$8,"High",""))</f>
        <v/>
      </c>
      <c r="L1099" s="6" t="str">
        <f aca="false">A1099&amp;";"&amp;B1099&amp;";"&amp;C1099</f>
        <v>28.67208915;94.37987496;28.3998523464907</v>
      </c>
      <c r="M1099" s="6" t="n">
        <f aca="false">IF(COUNTIF($L$2:$L$2201,L1099)&gt;1,1,0)</f>
        <v>0</v>
      </c>
      <c r="N1099" s="6" t="str">
        <f aca="false">IF(AND(C1099&lt;Assumptions!$B$9,B1099&lt;Assumptions!$B$10),"Irrigate Now",IF(AND(C1099&gt;=Assumptions!$B$11,B1099&gt;=Assumptions!$B$12),"No Irrigation Needed","Monitor"))</f>
        <v>Monitor</v>
      </c>
      <c r="O1099" s="6" t="n">
        <f aca="false">IF(N1099=G1099,1,0)</f>
        <v>1</v>
      </c>
    </row>
    <row r="1100" customFormat="false" ht="15" hidden="false" customHeight="false" outlineLevel="0" collapsed="false">
      <c r="A1100" s="16" t="n">
        <v>27.34585147</v>
      </c>
      <c r="B1100" s="16" t="n">
        <v>92.15524332</v>
      </c>
      <c r="C1100" s="16" t="n">
        <v>18.5551436877445</v>
      </c>
      <c r="D1100" s="6" t="s">
        <v>57</v>
      </c>
      <c r="E1100" s="6" t="s">
        <v>57</v>
      </c>
      <c r="F1100" s="6" t="s">
        <v>60</v>
      </c>
      <c r="G1100" s="6" t="s">
        <v>61</v>
      </c>
      <c r="H1100" s="6" t="s">
        <v>63</v>
      </c>
      <c r="I1100" s="6" t="str">
        <f aca="false">IF(A1100&lt;Outliers!$E$6,"Low",IF(A1100&gt;Outliers!$F$6,"High",""))</f>
        <v/>
      </c>
      <c r="J1100" s="6" t="str">
        <f aca="false">IF(B1100&lt;Outliers!$E$7,"Low",IF(B1100&gt;Outliers!$F$7,"High",""))</f>
        <v/>
      </c>
      <c r="K1100" s="6" t="str">
        <f aca="false">IF(C1100&lt;Outliers!$E$8,"Low",IF(C1100&gt;Outliers!$F$8,"High",""))</f>
        <v/>
      </c>
      <c r="L1100" s="6" t="str">
        <f aca="false">A1100&amp;";"&amp;B1100&amp;";"&amp;C1100</f>
        <v>27.34585147;92.15524332;18.5551436877445</v>
      </c>
      <c r="M1100" s="6" t="n">
        <f aca="false">IF(COUNTIF($L$2:$L$2201,L1100)&gt;1,1,0)</f>
        <v>0</v>
      </c>
      <c r="N1100" s="6" t="str">
        <f aca="false">IF(AND(C1100&lt;Assumptions!$B$9,B1100&lt;Assumptions!$B$10),"Irrigate Now",IF(AND(C1100&gt;=Assumptions!$B$11,B1100&gt;=Assumptions!$B$12),"No Irrigation Needed","Monitor"))</f>
        <v>Monitor</v>
      </c>
      <c r="O1100" s="6" t="n">
        <f aca="false">IF(N1100=G1100,1,0)</f>
        <v>1</v>
      </c>
    </row>
    <row r="1101" customFormat="false" ht="15" hidden="false" customHeight="false" outlineLevel="0" collapsed="false">
      <c r="A1101" s="16" t="n">
        <v>29.50704598</v>
      </c>
      <c r="B1101" s="16" t="n">
        <v>98.12565829</v>
      </c>
      <c r="C1101" s="16" t="n">
        <v>11.5732710674195</v>
      </c>
      <c r="D1101" s="6" t="s">
        <v>57</v>
      </c>
      <c r="E1101" s="6" t="s">
        <v>57</v>
      </c>
      <c r="F1101" s="6" t="s">
        <v>24</v>
      </c>
      <c r="G1101" s="6" t="s">
        <v>64</v>
      </c>
      <c r="H1101" s="6" t="s">
        <v>65</v>
      </c>
      <c r="I1101" s="6" t="str">
        <f aca="false">IF(A1101&lt;Outliers!$E$6,"Low",IF(A1101&gt;Outliers!$F$6,"High",""))</f>
        <v/>
      </c>
      <c r="J1101" s="6" t="str">
        <f aca="false">IF(B1101&lt;Outliers!$E$7,"Low",IF(B1101&gt;Outliers!$F$7,"High",""))</f>
        <v/>
      </c>
      <c r="K1101" s="6" t="str">
        <f aca="false">IF(C1101&lt;Outliers!$E$8,"Low",IF(C1101&gt;Outliers!$F$8,"High",""))</f>
        <v/>
      </c>
      <c r="L1101" s="6" t="str">
        <f aca="false">A1101&amp;";"&amp;B1101&amp;";"&amp;C1101</f>
        <v>29.50704598;98.12565829;11.5732710674195</v>
      </c>
      <c r="M1101" s="6" t="n">
        <f aca="false">IF(COUNTIF($L$2:$L$2201,L1101)&gt;1,1,0)</f>
        <v>0</v>
      </c>
      <c r="N1101" s="6" t="str">
        <f aca="false">IF(AND(C1101&lt;Assumptions!$B$9,B1101&lt;Assumptions!$B$10),"Irrigate Now",IF(AND(C1101&gt;=Assumptions!$B$11,B1101&gt;=Assumptions!$B$12),"No Irrigation Needed","Monitor"))</f>
        <v>Irrigate Now</v>
      </c>
      <c r="O1101" s="6" t="n">
        <f aca="false">IF(N1101=G1101,1,0)</f>
        <v>1</v>
      </c>
    </row>
    <row r="1102" customFormat="false" ht="15" hidden="false" customHeight="false" outlineLevel="0" collapsed="false">
      <c r="A1102" s="16" t="n">
        <v>29.73770045</v>
      </c>
      <c r="B1102" s="16" t="n">
        <v>90.09586854</v>
      </c>
      <c r="C1102" s="16" t="n">
        <v>15.1532377643186</v>
      </c>
      <c r="D1102" s="6" t="s">
        <v>57</v>
      </c>
      <c r="E1102" s="6" t="s">
        <v>57</v>
      </c>
      <c r="F1102" s="6" t="s">
        <v>24</v>
      </c>
      <c r="G1102" s="6" t="s">
        <v>64</v>
      </c>
      <c r="H1102" s="6" t="s">
        <v>65</v>
      </c>
      <c r="I1102" s="6" t="str">
        <f aca="false">IF(A1102&lt;Outliers!$E$6,"Low",IF(A1102&gt;Outliers!$F$6,"High",""))</f>
        <v/>
      </c>
      <c r="J1102" s="6" t="str">
        <f aca="false">IF(B1102&lt;Outliers!$E$7,"Low",IF(B1102&gt;Outliers!$F$7,"High",""))</f>
        <v/>
      </c>
      <c r="K1102" s="6" t="str">
        <f aca="false">IF(C1102&lt;Outliers!$E$8,"Low",IF(C1102&gt;Outliers!$F$8,"High",""))</f>
        <v/>
      </c>
      <c r="L1102" s="6" t="str">
        <f aca="false">A1102&amp;";"&amp;B1102&amp;";"&amp;C1102</f>
        <v>29.73770045;90.09586854;15.1532377643186</v>
      </c>
      <c r="M1102" s="6" t="n">
        <f aca="false">IF(COUNTIF($L$2:$L$2201,L1102)&gt;1,1,0)</f>
        <v>0</v>
      </c>
      <c r="N1102" s="6" t="str">
        <f aca="false">IF(AND(C1102&lt;Assumptions!$B$9,B1102&lt;Assumptions!$B$10),"Irrigate Now",IF(AND(C1102&gt;=Assumptions!$B$11,B1102&gt;=Assumptions!$B$12),"No Irrigation Needed","Monitor"))</f>
        <v>Irrigate Now</v>
      </c>
      <c r="O1102" s="6" t="n">
        <f aca="false">IF(N1102=G1102,1,0)</f>
        <v>1</v>
      </c>
    </row>
    <row r="1103" customFormat="false" ht="15" hidden="false" customHeight="false" outlineLevel="0" collapsed="false">
      <c r="A1103" s="16" t="n">
        <v>33.55695561</v>
      </c>
      <c r="B1103" s="16" t="n">
        <v>98.67527561</v>
      </c>
      <c r="C1103" s="16" t="n">
        <v>29.8156896302546</v>
      </c>
      <c r="D1103" s="6" t="s">
        <v>67</v>
      </c>
      <c r="E1103" s="6" t="s">
        <v>57</v>
      </c>
      <c r="F1103" s="6" t="s">
        <v>23</v>
      </c>
      <c r="G1103" s="6" t="s">
        <v>61</v>
      </c>
      <c r="H1103" s="6" t="s">
        <v>63</v>
      </c>
      <c r="I1103" s="6" t="str">
        <f aca="false">IF(A1103&lt;Outliers!$E$6,"Low",IF(A1103&gt;Outliers!$F$6,"High",""))</f>
        <v/>
      </c>
      <c r="J1103" s="6" t="str">
        <f aca="false">IF(B1103&lt;Outliers!$E$7,"Low",IF(B1103&gt;Outliers!$F$7,"High",""))</f>
        <v/>
      </c>
      <c r="K1103" s="6" t="str">
        <f aca="false">IF(C1103&lt;Outliers!$E$8,"Low",IF(C1103&gt;Outliers!$F$8,"High",""))</f>
        <v/>
      </c>
      <c r="L1103" s="6" t="str">
        <f aca="false">A1103&amp;";"&amp;B1103&amp;";"&amp;C1103</f>
        <v>33.55695561;98.67527561;29.8156896302546</v>
      </c>
      <c r="M1103" s="6" t="n">
        <f aca="false">IF(COUNTIF($L$2:$L$2201,L1103)&gt;1,1,0)</f>
        <v>0</v>
      </c>
      <c r="N1103" s="6" t="str">
        <f aca="false">IF(AND(C1103&lt;Assumptions!$B$9,B1103&lt;Assumptions!$B$10),"Irrigate Now",IF(AND(C1103&gt;=Assumptions!$B$11,B1103&gt;=Assumptions!$B$12),"No Irrigation Needed","Monitor"))</f>
        <v>Monitor</v>
      </c>
      <c r="O1103" s="6" t="n">
        <f aca="false">IF(N1103=G1103,1,0)</f>
        <v>1</v>
      </c>
    </row>
    <row r="1104" customFormat="false" ht="15" hidden="false" customHeight="false" outlineLevel="0" collapsed="false">
      <c r="A1104" s="16" t="n">
        <v>27.00315545</v>
      </c>
      <c r="B1104" s="16" t="n">
        <v>95.85118326</v>
      </c>
      <c r="C1104" s="16" t="n">
        <v>27.3856557598331</v>
      </c>
      <c r="D1104" s="6" t="s">
        <v>57</v>
      </c>
      <c r="E1104" s="6" t="s">
        <v>57</v>
      </c>
      <c r="F1104" s="6" t="s">
        <v>23</v>
      </c>
      <c r="G1104" s="6" t="s">
        <v>61</v>
      </c>
      <c r="H1104" s="6" t="s">
        <v>63</v>
      </c>
      <c r="I1104" s="6" t="str">
        <f aca="false">IF(A1104&lt;Outliers!$E$6,"Low",IF(A1104&gt;Outliers!$F$6,"High",""))</f>
        <v/>
      </c>
      <c r="J1104" s="6" t="str">
        <f aca="false">IF(B1104&lt;Outliers!$E$7,"Low",IF(B1104&gt;Outliers!$F$7,"High",""))</f>
        <v/>
      </c>
      <c r="K1104" s="6" t="str">
        <f aca="false">IF(C1104&lt;Outliers!$E$8,"Low",IF(C1104&gt;Outliers!$F$8,"High",""))</f>
        <v/>
      </c>
      <c r="L1104" s="6" t="str">
        <f aca="false">A1104&amp;";"&amp;B1104&amp;";"&amp;C1104</f>
        <v>27.00315545;95.85118326;27.3856557598331</v>
      </c>
      <c r="M1104" s="6" t="n">
        <f aca="false">IF(COUNTIF($L$2:$L$2201,L1104)&gt;1,1,0)</f>
        <v>0</v>
      </c>
      <c r="N1104" s="6" t="str">
        <f aca="false">IF(AND(C1104&lt;Assumptions!$B$9,B1104&lt;Assumptions!$B$10),"Irrigate Now",IF(AND(C1104&gt;=Assumptions!$B$11,B1104&gt;=Assumptions!$B$12),"No Irrigation Needed","Monitor"))</f>
        <v>Monitor</v>
      </c>
      <c r="O1104" s="6" t="n">
        <f aca="false">IF(N1104=G1104,1,0)</f>
        <v>1</v>
      </c>
    </row>
    <row r="1105" customFormat="false" ht="15" hidden="false" customHeight="false" outlineLevel="0" collapsed="false">
      <c r="A1105" s="16" t="n">
        <v>33.56150184</v>
      </c>
      <c r="B1105" s="16" t="n">
        <v>95.70525913</v>
      </c>
      <c r="C1105" s="16" t="n">
        <v>18.972881644167</v>
      </c>
      <c r="D1105" s="6" t="s">
        <v>67</v>
      </c>
      <c r="E1105" s="6" t="s">
        <v>57</v>
      </c>
      <c r="F1105" s="6" t="s">
        <v>60</v>
      </c>
      <c r="G1105" s="6" t="s">
        <v>61</v>
      </c>
      <c r="H1105" s="6" t="s">
        <v>68</v>
      </c>
      <c r="I1105" s="6" t="str">
        <f aca="false">IF(A1105&lt;Outliers!$E$6,"Low",IF(A1105&gt;Outliers!$F$6,"High",""))</f>
        <v/>
      </c>
      <c r="J1105" s="6" t="str">
        <f aca="false">IF(B1105&lt;Outliers!$E$7,"Low",IF(B1105&gt;Outliers!$F$7,"High",""))</f>
        <v/>
      </c>
      <c r="K1105" s="6" t="str">
        <f aca="false">IF(C1105&lt;Outliers!$E$8,"Low",IF(C1105&gt;Outliers!$F$8,"High",""))</f>
        <v/>
      </c>
      <c r="L1105" s="6" t="str">
        <f aca="false">A1105&amp;";"&amp;B1105&amp;";"&amp;C1105</f>
        <v>33.56150184;95.70525913;18.972881644167</v>
      </c>
      <c r="M1105" s="6" t="n">
        <f aca="false">IF(COUNTIF($L$2:$L$2201,L1105)&gt;1,1,0)</f>
        <v>0</v>
      </c>
      <c r="N1105" s="6" t="str">
        <f aca="false">IF(AND(C1105&lt;Assumptions!$B$9,B1105&lt;Assumptions!$B$10),"Irrigate Now",IF(AND(C1105&gt;=Assumptions!$B$11,B1105&gt;=Assumptions!$B$12),"No Irrigation Needed","Monitor"))</f>
        <v>Monitor</v>
      </c>
      <c r="O1105" s="6" t="n">
        <f aca="false">IF(N1105=G1105,1,0)</f>
        <v>1</v>
      </c>
    </row>
    <row r="1106" customFormat="false" ht="15" hidden="false" customHeight="false" outlineLevel="0" collapsed="false">
      <c r="A1106" s="16" t="n">
        <v>35.89855625</v>
      </c>
      <c r="B1106" s="16" t="n">
        <v>92.19721736</v>
      </c>
      <c r="C1106" s="16" t="n">
        <v>11.9284006582219</v>
      </c>
      <c r="D1106" s="6" t="s">
        <v>67</v>
      </c>
      <c r="E1106" s="6" t="s">
        <v>57</v>
      </c>
      <c r="F1106" s="6" t="s">
        <v>24</v>
      </c>
      <c r="G1106" s="6" t="s">
        <v>64</v>
      </c>
      <c r="H1106" s="6" t="s">
        <v>65</v>
      </c>
      <c r="I1106" s="6" t="str">
        <f aca="false">IF(A1106&lt;Outliers!$E$6,"Low",IF(A1106&gt;Outliers!$F$6,"High",""))</f>
        <v/>
      </c>
      <c r="J1106" s="6" t="str">
        <f aca="false">IF(B1106&lt;Outliers!$E$7,"Low",IF(B1106&gt;Outliers!$F$7,"High",""))</f>
        <v/>
      </c>
      <c r="K1106" s="6" t="str">
        <f aca="false">IF(C1106&lt;Outliers!$E$8,"Low",IF(C1106&gt;Outliers!$F$8,"High",""))</f>
        <v/>
      </c>
      <c r="L1106" s="6" t="str">
        <f aca="false">A1106&amp;";"&amp;B1106&amp;";"&amp;C1106</f>
        <v>35.89855625;92.19721736;11.9284006582219</v>
      </c>
      <c r="M1106" s="6" t="n">
        <f aca="false">IF(COUNTIF($L$2:$L$2201,L1106)&gt;1,1,0)</f>
        <v>0</v>
      </c>
      <c r="N1106" s="6" t="str">
        <f aca="false">IF(AND(C1106&lt;Assumptions!$B$9,B1106&lt;Assumptions!$B$10),"Irrigate Now",IF(AND(C1106&gt;=Assumptions!$B$11,B1106&gt;=Assumptions!$B$12),"No Irrigation Needed","Monitor"))</f>
        <v>Irrigate Now</v>
      </c>
      <c r="O1106" s="6" t="n">
        <f aca="false">IF(N1106=G1106,1,0)</f>
        <v>1</v>
      </c>
    </row>
    <row r="1107" customFormat="false" ht="15" hidden="false" customHeight="false" outlineLevel="0" collapsed="false">
      <c r="A1107" s="16" t="n">
        <v>34.17719782</v>
      </c>
      <c r="B1107" s="16" t="n">
        <v>98.00687989</v>
      </c>
      <c r="C1107" s="16" t="n">
        <v>14.6758725625358</v>
      </c>
      <c r="D1107" s="6" t="s">
        <v>67</v>
      </c>
      <c r="E1107" s="6" t="s">
        <v>57</v>
      </c>
      <c r="F1107" s="6" t="s">
        <v>24</v>
      </c>
      <c r="G1107" s="6" t="s">
        <v>64</v>
      </c>
      <c r="H1107" s="6" t="s">
        <v>65</v>
      </c>
      <c r="I1107" s="6" t="str">
        <f aca="false">IF(A1107&lt;Outliers!$E$6,"Low",IF(A1107&gt;Outliers!$F$6,"High",""))</f>
        <v/>
      </c>
      <c r="J1107" s="6" t="str">
        <f aca="false">IF(B1107&lt;Outliers!$E$7,"Low",IF(B1107&gt;Outliers!$F$7,"High",""))</f>
        <v/>
      </c>
      <c r="K1107" s="6" t="str">
        <f aca="false">IF(C1107&lt;Outliers!$E$8,"Low",IF(C1107&gt;Outliers!$F$8,"High",""))</f>
        <v/>
      </c>
      <c r="L1107" s="6" t="str">
        <f aca="false">A1107&amp;";"&amp;B1107&amp;";"&amp;C1107</f>
        <v>34.17719782;98.00687989;14.6758725625358</v>
      </c>
      <c r="M1107" s="6" t="n">
        <f aca="false">IF(COUNTIF($L$2:$L$2201,L1107)&gt;1,1,0)</f>
        <v>0</v>
      </c>
      <c r="N1107" s="6" t="str">
        <f aca="false">IF(AND(C1107&lt;Assumptions!$B$9,B1107&lt;Assumptions!$B$10),"Irrigate Now",IF(AND(C1107&gt;=Assumptions!$B$11,B1107&gt;=Assumptions!$B$12),"No Irrigation Needed","Monitor"))</f>
        <v>Irrigate Now</v>
      </c>
      <c r="O1107" s="6" t="n">
        <f aca="false">IF(N1107=G1107,1,0)</f>
        <v>1</v>
      </c>
    </row>
    <row r="1108" customFormat="false" ht="15" hidden="false" customHeight="false" outlineLevel="0" collapsed="false">
      <c r="A1108" s="16" t="n">
        <v>30.01592643</v>
      </c>
      <c r="B1108" s="16" t="n">
        <v>97.72843182</v>
      </c>
      <c r="C1108" s="16" t="n">
        <v>25.9402718385405</v>
      </c>
      <c r="D1108" s="6" t="s">
        <v>67</v>
      </c>
      <c r="E1108" s="6" t="s">
        <v>57</v>
      </c>
      <c r="F1108" s="6" t="s">
        <v>23</v>
      </c>
      <c r="G1108" s="6" t="s">
        <v>61</v>
      </c>
      <c r="H1108" s="6" t="s">
        <v>63</v>
      </c>
      <c r="I1108" s="6" t="str">
        <f aca="false">IF(A1108&lt;Outliers!$E$6,"Low",IF(A1108&gt;Outliers!$F$6,"High",""))</f>
        <v/>
      </c>
      <c r="J1108" s="6" t="str">
        <f aca="false">IF(B1108&lt;Outliers!$E$7,"Low",IF(B1108&gt;Outliers!$F$7,"High",""))</f>
        <v/>
      </c>
      <c r="K1108" s="6" t="str">
        <f aca="false">IF(C1108&lt;Outliers!$E$8,"Low",IF(C1108&gt;Outliers!$F$8,"High",""))</f>
        <v/>
      </c>
      <c r="L1108" s="6" t="str">
        <f aca="false">A1108&amp;";"&amp;B1108&amp;";"&amp;C1108</f>
        <v>30.01592643;97.72843182;25.9402718385405</v>
      </c>
      <c r="M1108" s="6" t="n">
        <f aca="false">IF(COUNTIF($L$2:$L$2201,L1108)&gt;1,1,0)</f>
        <v>0</v>
      </c>
      <c r="N1108" s="6" t="str">
        <f aca="false">IF(AND(C1108&lt;Assumptions!$B$9,B1108&lt;Assumptions!$B$10),"Irrigate Now",IF(AND(C1108&gt;=Assumptions!$B$11,B1108&gt;=Assumptions!$B$12),"No Irrigation Needed","Monitor"))</f>
        <v>Monitor</v>
      </c>
      <c r="O1108" s="6" t="n">
        <f aca="false">IF(N1108=G1108,1,0)</f>
        <v>1</v>
      </c>
    </row>
    <row r="1109" customFormat="false" ht="15" hidden="false" customHeight="false" outlineLevel="0" collapsed="false">
      <c r="A1109" s="16" t="n">
        <v>31.74592134</v>
      </c>
      <c r="B1109" s="16" t="n">
        <v>93.75441586</v>
      </c>
      <c r="C1109" s="16" t="n">
        <v>29.0559998448495</v>
      </c>
      <c r="D1109" s="6" t="s">
        <v>67</v>
      </c>
      <c r="E1109" s="6" t="s">
        <v>57</v>
      </c>
      <c r="F1109" s="6" t="s">
        <v>23</v>
      </c>
      <c r="G1109" s="6" t="s">
        <v>61</v>
      </c>
      <c r="H1109" s="6" t="s">
        <v>63</v>
      </c>
      <c r="I1109" s="6" t="str">
        <f aca="false">IF(A1109&lt;Outliers!$E$6,"Low",IF(A1109&gt;Outliers!$F$6,"High",""))</f>
        <v/>
      </c>
      <c r="J1109" s="6" t="str">
        <f aca="false">IF(B1109&lt;Outliers!$E$7,"Low",IF(B1109&gt;Outliers!$F$7,"High",""))</f>
        <v/>
      </c>
      <c r="K1109" s="6" t="str">
        <f aca="false">IF(C1109&lt;Outliers!$E$8,"Low",IF(C1109&gt;Outliers!$F$8,"High",""))</f>
        <v/>
      </c>
      <c r="L1109" s="6" t="str">
        <f aca="false">A1109&amp;";"&amp;B1109&amp;";"&amp;C1109</f>
        <v>31.74592134;93.75441586;29.0559998448495</v>
      </c>
      <c r="M1109" s="6" t="n">
        <f aca="false">IF(COUNTIF($L$2:$L$2201,L1109)&gt;1,1,0)</f>
        <v>0</v>
      </c>
      <c r="N1109" s="6" t="str">
        <f aca="false">IF(AND(C1109&lt;Assumptions!$B$9,B1109&lt;Assumptions!$B$10),"Irrigate Now",IF(AND(C1109&gt;=Assumptions!$B$11,B1109&gt;=Assumptions!$B$12),"No Irrigation Needed","Monitor"))</f>
        <v>Monitor</v>
      </c>
      <c r="O1109" s="6" t="n">
        <f aca="false">IF(N1109=G1109,1,0)</f>
        <v>1</v>
      </c>
    </row>
    <row r="1110" customFormat="false" ht="15" hidden="false" customHeight="false" outlineLevel="0" collapsed="false">
      <c r="A1110" s="16" t="n">
        <v>35.99009679</v>
      </c>
      <c r="B1110" s="16" t="n">
        <v>95.3713484</v>
      </c>
      <c r="C1110" s="16" t="n">
        <v>12.9702539892189</v>
      </c>
      <c r="D1110" s="6" t="s">
        <v>67</v>
      </c>
      <c r="E1110" s="6" t="s">
        <v>57</v>
      </c>
      <c r="F1110" s="6" t="s">
        <v>24</v>
      </c>
      <c r="G1110" s="6" t="s">
        <v>64</v>
      </c>
      <c r="H1110" s="6" t="s">
        <v>65</v>
      </c>
      <c r="I1110" s="6" t="str">
        <f aca="false">IF(A1110&lt;Outliers!$E$6,"Low",IF(A1110&gt;Outliers!$F$6,"High",""))</f>
        <v/>
      </c>
      <c r="J1110" s="6" t="str">
        <f aca="false">IF(B1110&lt;Outliers!$E$7,"Low",IF(B1110&gt;Outliers!$F$7,"High",""))</f>
        <v/>
      </c>
      <c r="K1110" s="6" t="str">
        <f aca="false">IF(C1110&lt;Outliers!$E$8,"Low",IF(C1110&gt;Outliers!$F$8,"High",""))</f>
        <v/>
      </c>
      <c r="L1110" s="6" t="str">
        <f aca="false">A1110&amp;";"&amp;B1110&amp;";"&amp;C1110</f>
        <v>35.99009679;95.3713484;12.9702539892189</v>
      </c>
      <c r="M1110" s="6" t="n">
        <f aca="false">IF(COUNTIF($L$2:$L$2201,L1110)&gt;1,1,0)</f>
        <v>0</v>
      </c>
      <c r="N1110" s="6" t="str">
        <f aca="false">IF(AND(C1110&lt;Assumptions!$B$9,B1110&lt;Assumptions!$B$10),"Irrigate Now",IF(AND(C1110&gt;=Assumptions!$B$11,B1110&gt;=Assumptions!$B$12),"No Irrigation Needed","Monitor"))</f>
        <v>Irrigate Now</v>
      </c>
      <c r="O1110" s="6" t="n">
        <f aca="false">IF(N1110=G1110,1,0)</f>
        <v>1</v>
      </c>
    </row>
    <row r="1111" customFormat="false" ht="15" hidden="false" customHeight="false" outlineLevel="0" collapsed="false">
      <c r="A1111" s="16" t="n">
        <v>31.86641378</v>
      </c>
      <c r="B1111" s="16" t="n">
        <v>98.46768642</v>
      </c>
      <c r="C1111" s="16" t="n">
        <v>13.1756176006729</v>
      </c>
      <c r="D1111" s="6" t="s">
        <v>67</v>
      </c>
      <c r="E1111" s="6" t="s">
        <v>57</v>
      </c>
      <c r="F1111" s="6" t="s">
        <v>24</v>
      </c>
      <c r="G1111" s="6" t="s">
        <v>64</v>
      </c>
      <c r="H1111" s="6" t="s">
        <v>65</v>
      </c>
      <c r="I1111" s="6" t="str">
        <f aca="false">IF(A1111&lt;Outliers!$E$6,"Low",IF(A1111&gt;Outliers!$F$6,"High",""))</f>
        <v/>
      </c>
      <c r="J1111" s="6" t="str">
        <f aca="false">IF(B1111&lt;Outliers!$E$7,"Low",IF(B1111&gt;Outliers!$F$7,"High",""))</f>
        <v/>
      </c>
      <c r="K1111" s="6" t="str">
        <f aca="false">IF(C1111&lt;Outliers!$E$8,"Low",IF(C1111&gt;Outliers!$F$8,"High",""))</f>
        <v/>
      </c>
      <c r="L1111" s="6" t="str">
        <f aca="false">A1111&amp;";"&amp;B1111&amp;";"&amp;C1111</f>
        <v>31.86641378;98.46768642;13.1756176006729</v>
      </c>
      <c r="M1111" s="6" t="n">
        <f aca="false">IF(COUNTIF($L$2:$L$2201,L1111)&gt;1,1,0)</f>
        <v>0</v>
      </c>
      <c r="N1111" s="6" t="str">
        <f aca="false">IF(AND(C1111&lt;Assumptions!$B$9,B1111&lt;Assumptions!$B$10),"Irrigate Now",IF(AND(C1111&gt;=Assumptions!$B$11,B1111&gt;=Assumptions!$B$12),"No Irrigation Needed","Monitor"))</f>
        <v>Irrigate Now</v>
      </c>
      <c r="O1111" s="6" t="n">
        <f aca="false">IF(N1111=G1111,1,0)</f>
        <v>1</v>
      </c>
    </row>
    <row r="1112" customFormat="false" ht="15" hidden="false" customHeight="false" outlineLevel="0" collapsed="false">
      <c r="A1112" s="16" t="n">
        <v>27.75518664</v>
      </c>
      <c r="B1112" s="16" t="n">
        <v>94.11213345</v>
      </c>
      <c r="C1112" s="16" t="n">
        <v>24.4766917887424</v>
      </c>
      <c r="D1112" s="6" t="s">
        <v>57</v>
      </c>
      <c r="E1112" s="6" t="s">
        <v>57</v>
      </c>
      <c r="F1112" s="6" t="s">
        <v>23</v>
      </c>
      <c r="G1112" s="6" t="s">
        <v>61</v>
      </c>
      <c r="H1112" s="6" t="s">
        <v>63</v>
      </c>
      <c r="I1112" s="6" t="str">
        <f aca="false">IF(A1112&lt;Outliers!$E$6,"Low",IF(A1112&gt;Outliers!$F$6,"High",""))</f>
        <v/>
      </c>
      <c r="J1112" s="6" t="str">
        <f aca="false">IF(B1112&lt;Outliers!$E$7,"Low",IF(B1112&gt;Outliers!$F$7,"High",""))</f>
        <v/>
      </c>
      <c r="K1112" s="6" t="str">
        <f aca="false">IF(C1112&lt;Outliers!$E$8,"Low",IF(C1112&gt;Outliers!$F$8,"High",""))</f>
        <v/>
      </c>
      <c r="L1112" s="6" t="str">
        <f aca="false">A1112&amp;";"&amp;B1112&amp;";"&amp;C1112</f>
        <v>27.75518664;94.11213345;24.4766917887424</v>
      </c>
      <c r="M1112" s="6" t="n">
        <f aca="false">IF(COUNTIF($L$2:$L$2201,L1112)&gt;1,1,0)</f>
        <v>0</v>
      </c>
      <c r="N1112" s="6" t="str">
        <f aca="false">IF(AND(C1112&lt;Assumptions!$B$9,B1112&lt;Assumptions!$B$10),"Irrigate Now",IF(AND(C1112&gt;=Assumptions!$B$11,B1112&gt;=Assumptions!$B$12),"No Irrigation Needed","Monitor"))</f>
        <v>Monitor</v>
      </c>
      <c r="O1112" s="6" t="n">
        <f aca="false">IF(N1112=G1112,1,0)</f>
        <v>1</v>
      </c>
    </row>
    <row r="1113" customFormat="false" ht="15" hidden="false" customHeight="false" outlineLevel="0" collapsed="false">
      <c r="A1113" s="16" t="n">
        <v>34.72413192</v>
      </c>
      <c r="B1113" s="16" t="n">
        <v>97.31258083</v>
      </c>
      <c r="C1113" s="16" t="n">
        <v>10.1137734824468</v>
      </c>
      <c r="D1113" s="6" t="s">
        <v>67</v>
      </c>
      <c r="E1113" s="6" t="s">
        <v>57</v>
      </c>
      <c r="F1113" s="6" t="s">
        <v>24</v>
      </c>
      <c r="G1113" s="6" t="s">
        <v>64</v>
      </c>
      <c r="H1113" s="6" t="s">
        <v>65</v>
      </c>
      <c r="I1113" s="6" t="str">
        <f aca="false">IF(A1113&lt;Outliers!$E$6,"Low",IF(A1113&gt;Outliers!$F$6,"High",""))</f>
        <v/>
      </c>
      <c r="J1113" s="6" t="str">
        <f aca="false">IF(B1113&lt;Outliers!$E$7,"Low",IF(B1113&gt;Outliers!$F$7,"High",""))</f>
        <v/>
      </c>
      <c r="K1113" s="6" t="str">
        <f aca="false">IF(C1113&lt;Outliers!$E$8,"Low",IF(C1113&gt;Outliers!$F$8,"High",""))</f>
        <v/>
      </c>
      <c r="L1113" s="6" t="str">
        <f aca="false">A1113&amp;";"&amp;B1113&amp;";"&amp;C1113</f>
        <v>34.72413192;97.31258083;10.1137734824468</v>
      </c>
      <c r="M1113" s="6" t="n">
        <f aca="false">IF(COUNTIF($L$2:$L$2201,L1113)&gt;1,1,0)</f>
        <v>0</v>
      </c>
      <c r="N1113" s="6" t="str">
        <f aca="false">IF(AND(C1113&lt;Assumptions!$B$9,B1113&lt;Assumptions!$B$10),"Irrigate Now",IF(AND(C1113&gt;=Assumptions!$B$11,B1113&gt;=Assumptions!$B$12),"No Irrigation Needed","Monitor"))</f>
        <v>Irrigate Now</v>
      </c>
      <c r="O1113" s="6" t="n">
        <f aca="false">IF(N1113=G1113,1,0)</f>
        <v>1</v>
      </c>
    </row>
    <row r="1114" customFormat="false" ht="15" hidden="false" customHeight="false" outlineLevel="0" collapsed="false">
      <c r="A1114" s="16" t="n">
        <v>27.53907547</v>
      </c>
      <c r="B1114" s="16" t="n">
        <v>99.35408185</v>
      </c>
      <c r="C1114" s="16" t="n">
        <v>14.6771244138615</v>
      </c>
      <c r="D1114" s="6" t="s">
        <v>57</v>
      </c>
      <c r="E1114" s="6" t="s">
        <v>57</v>
      </c>
      <c r="F1114" s="6" t="s">
        <v>24</v>
      </c>
      <c r="G1114" s="6" t="s">
        <v>64</v>
      </c>
      <c r="H1114" s="6" t="s">
        <v>65</v>
      </c>
      <c r="I1114" s="6" t="str">
        <f aca="false">IF(A1114&lt;Outliers!$E$6,"Low",IF(A1114&gt;Outliers!$F$6,"High",""))</f>
        <v/>
      </c>
      <c r="J1114" s="6" t="str">
        <f aca="false">IF(B1114&lt;Outliers!$E$7,"Low",IF(B1114&gt;Outliers!$F$7,"High",""))</f>
        <v/>
      </c>
      <c r="K1114" s="6" t="str">
        <f aca="false">IF(C1114&lt;Outliers!$E$8,"Low",IF(C1114&gt;Outliers!$F$8,"High",""))</f>
        <v/>
      </c>
      <c r="L1114" s="6" t="str">
        <f aca="false">A1114&amp;";"&amp;B1114&amp;";"&amp;C1114</f>
        <v>27.53907547;99.35408185;14.6771244138615</v>
      </c>
      <c r="M1114" s="6" t="n">
        <f aca="false">IF(COUNTIF($L$2:$L$2201,L1114)&gt;1,1,0)</f>
        <v>0</v>
      </c>
      <c r="N1114" s="6" t="str">
        <f aca="false">IF(AND(C1114&lt;Assumptions!$B$9,B1114&lt;Assumptions!$B$10),"Irrigate Now",IF(AND(C1114&gt;=Assumptions!$B$11,B1114&gt;=Assumptions!$B$12),"No Irrigation Needed","Monitor"))</f>
        <v>Irrigate Now</v>
      </c>
      <c r="O1114" s="6" t="n">
        <f aca="false">IF(N1114=G1114,1,0)</f>
        <v>1</v>
      </c>
    </row>
    <row r="1115" customFormat="false" ht="15" hidden="false" customHeight="false" outlineLevel="0" collapsed="false">
      <c r="A1115" s="16" t="n">
        <v>27.69637763</v>
      </c>
      <c r="B1115" s="16" t="n">
        <v>89.85646496</v>
      </c>
      <c r="C1115" s="16" t="n">
        <v>28.4660599688897</v>
      </c>
      <c r="D1115" s="6" t="s">
        <v>57</v>
      </c>
      <c r="E1115" s="6" t="s">
        <v>57</v>
      </c>
      <c r="F1115" s="6" t="s">
        <v>23</v>
      </c>
      <c r="G1115" s="6" t="s">
        <v>61</v>
      </c>
      <c r="H1115" s="6" t="s">
        <v>63</v>
      </c>
      <c r="I1115" s="6" t="str">
        <f aca="false">IF(A1115&lt;Outliers!$E$6,"Low",IF(A1115&gt;Outliers!$F$6,"High",""))</f>
        <v/>
      </c>
      <c r="J1115" s="6" t="str">
        <f aca="false">IF(B1115&lt;Outliers!$E$7,"Low",IF(B1115&gt;Outliers!$F$7,"High",""))</f>
        <v/>
      </c>
      <c r="K1115" s="6" t="str">
        <f aca="false">IF(C1115&lt;Outliers!$E$8,"Low",IF(C1115&gt;Outliers!$F$8,"High",""))</f>
        <v/>
      </c>
      <c r="L1115" s="6" t="str">
        <f aca="false">A1115&amp;";"&amp;B1115&amp;";"&amp;C1115</f>
        <v>27.69637763;89.85646496;28.4660599688897</v>
      </c>
      <c r="M1115" s="6" t="n">
        <f aca="false">IF(COUNTIF($L$2:$L$2201,L1115)&gt;1,1,0)</f>
        <v>0</v>
      </c>
      <c r="N1115" s="6" t="str">
        <f aca="false">IF(AND(C1115&lt;Assumptions!$B$9,B1115&lt;Assumptions!$B$10),"Irrigate Now",IF(AND(C1115&gt;=Assumptions!$B$11,B1115&gt;=Assumptions!$B$12),"No Irrigation Needed","Monitor"))</f>
        <v>Monitor</v>
      </c>
      <c r="O1115" s="6" t="n">
        <f aca="false">IF(N1115=G1115,1,0)</f>
        <v>1</v>
      </c>
    </row>
    <row r="1116" customFormat="false" ht="15" hidden="false" customHeight="false" outlineLevel="0" collapsed="false">
      <c r="A1116" s="16" t="n">
        <v>27.25373364</v>
      </c>
      <c r="B1116" s="16" t="n">
        <v>91.87312479</v>
      </c>
      <c r="C1116" s="16" t="n">
        <v>12.1162688608286</v>
      </c>
      <c r="D1116" s="6" t="s">
        <v>57</v>
      </c>
      <c r="E1116" s="6" t="s">
        <v>57</v>
      </c>
      <c r="F1116" s="6" t="s">
        <v>24</v>
      </c>
      <c r="G1116" s="6" t="s">
        <v>64</v>
      </c>
      <c r="H1116" s="6" t="s">
        <v>65</v>
      </c>
      <c r="I1116" s="6" t="str">
        <f aca="false">IF(A1116&lt;Outliers!$E$6,"Low",IF(A1116&gt;Outliers!$F$6,"High",""))</f>
        <v/>
      </c>
      <c r="J1116" s="6" t="str">
        <f aca="false">IF(B1116&lt;Outliers!$E$7,"Low",IF(B1116&gt;Outliers!$F$7,"High",""))</f>
        <v/>
      </c>
      <c r="K1116" s="6" t="str">
        <f aca="false">IF(C1116&lt;Outliers!$E$8,"Low",IF(C1116&gt;Outliers!$F$8,"High",""))</f>
        <v/>
      </c>
      <c r="L1116" s="6" t="str">
        <f aca="false">A1116&amp;";"&amp;B1116&amp;";"&amp;C1116</f>
        <v>27.25373364;91.87312479;12.1162688608286</v>
      </c>
      <c r="M1116" s="6" t="n">
        <f aca="false">IF(COUNTIF($L$2:$L$2201,L1116)&gt;1,1,0)</f>
        <v>0</v>
      </c>
      <c r="N1116" s="6" t="str">
        <f aca="false">IF(AND(C1116&lt;Assumptions!$B$9,B1116&lt;Assumptions!$B$10),"Irrigate Now",IF(AND(C1116&gt;=Assumptions!$B$11,B1116&gt;=Assumptions!$B$12),"No Irrigation Needed","Monitor"))</f>
        <v>Irrigate Now</v>
      </c>
      <c r="O1116" s="6" t="n">
        <f aca="false">IF(N1116=G1116,1,0)</f>
        <v>1</v>
      </c>
    </row>
    <row r="1117" customFormat="false" ht="15" hidden="false" customHeight="false" outlineLevel="0" collapsed="false">
      <c r="A1117" s="16" t="n">
        <v>30.33723921</v>
      </c>
      <c r="B1117" s="16" t="n">
        <v>94.42850522</v>
      </c>
      <c r="C1117" s="16" t="n">
        <v>10.5672999826165</v>
      </c>
      <c r="D1117" s="6" t="s">
        <v>67</v>
      </c>
      <c r="E1117" s="6" t="s">
        <v>57</v>
      </c>
      <c r="F1117" s="6" t="s">
        <v>24</v>
      </c>
      <c r="G1117" s="6" t="s">
        <v>64</v>
      </c>
      <c r="H1117" s="6" t="s">
        <v>65</v>
      </c>
      <c r="I1117" s="6" t="str">
        <f aca="false">IF(A1117&lt;Outliers!$E$6,"Low",IF(A1117&gt;Outliers!$F$6,"High",""))</f>
        <v/>
      </c>
      <c r="J1117" s="6" t="str">
        <f aca="false">IF(B1117&lt;Outliers!$E$7,"Low",IF(B1117&gt;Outliers!$F$7,"High",""))</f>
        <v/>
      </c>
      <c r="K1117" s="6" t="str">
        <f aca="false">IF(C1117&lt;Outliers!$E$8,"Low",IF(C1117&gt;Outliers!$F$8,"High",""))</f>
        <v/>
      </c>
      <c r="L1117" s="6" t="str">
        <f aca="false">A1117&amp;";"&amp;B1117&amp;";"&amp;C1117</f>
        <v>30.33723921;94.42850522;10.5672999826165</v>
      </c>
      <c r="M1117" s="6" t="n">
        <f aca="false">IF(COUNTIF($L$2:$L$2201,L1117)&gt;1,1,0)</f>
        <v>0</v>
      </c>
      <c r="N1117" s="6" t="str">
        <f aca="false">IF(AND(C1117&lt;Assumptions!$B$9,B1117&lt;Assumptions!$B$10),"Irrigate Now",IF(AND(C1117&gt;=Assumptions!$B$11,B1117&gt;=Assumptions!$B$12),"No Irrigation Needed","Monitor"))</f>
        <v>Irrigate Now</v>
      </c>
      <c r="O1117" s="6" t="n">
        <f aca="false">IF(N1117=G1117,1,0)</f>
        <v>1</v>
      </c>
    </row>
    <row r="1118" customFormat="false" ht="15" hidden="false" customHeight="false" outlineLevel="0" collapsed="false">
      <c r="A1118" s="16" t="n">
        <v>31.85744939</v>
      </c>
      <c r="B1118" s="16" t="n">
        <v>91.55845821</v>
      </c>
      <c r="C1118" s="16" t="n">
        <v>16.0203525722806</v>
      </c>
      <c r="D1118" s="6" t="s">
        <v>67</v>
      </c>
      <c r="E1118" s="6" t="s">
        <v>57</v>
      </c>
      <c r="F1118" s="6" t="s">
        <v>24</v>
      </c>
      <c r="G1118" s="6" t="s">
        <v>64</v>
      </c>
      <c r="H1118" s="6" t="s">
        <v>65</v>
      </c>
      <c r="I1118" s="6" t="str">
        <f aca="false">IF(A1118&lt;Outliers!$E$6,"Low",IF(A1118&gt;Outliers!$F$6,"High",""))</f>
        <v/>
      </c>
      <c r="J1118" s="6" t="str">
        <f aca="false">IF(B1118&lt;Outliers!$E$7,"Low",IF(B1118&gt;Outliers!$F$7,"High",""))</f>
        <v/>
      </c>
      <c r="K1118" s="6" t="str">
        <f aca="false">IF(C1118&lt;Outliers!$E$8,"Low",IF(C1118&gt;Outliers!$F$8,"High",""))</f>
        <v/>
      </c>
      <c r="L1118" s="6" t="str">
        <f aca="false">A1118&amp;";"&amp;B1118&amp;";"&amp;C1118</f>
        <v>31.85744939;91.55845821;16.0203525722806</v>
      </c>
      <c r="M1118" s="6" t="n">
        <f aca="false">IF(COUNTIF($L$2:$L$2201,L1118)&gt;1,1,0)</f>
        <v>0</v>
      </c>
      <c r="N1118" s="6" t="str">
        <f aca="false">IF(AND(C1118&lt;Assumptions!$B$9,B1118&lt;Assumptions!$B$10),"Irrigate Now",IF(AND(C1118&gt;=Assumptions!$B$11,B1118&gt;=Assumptions!$B$12),"No Irrigation Needed","Monitor"))</f>
        <v>Irrigate Now</v>
      </c>
      <c r="O1118" s="6" t="n">
        <f aca="false">IF(N1118=G1118,1,0)</f>
        <v>1</v>
      </c>
    </row>
    <row r="1119" customFormat="false" ht="15" hidden="false" customHeight="false" outlineLevel="0" collapsed="false">
      <c r="A1119" s="16" t="n">
        <v>35.39986338</v>
      </c>
      <c r="B1119" s="16" t="n">
        <v>97.41054011</v>
      </c>
      <c r="C1119" s="16" t="n">
        <v>13.5157166396958</v>
      </c>
      <c r="D1119" s="6" t="s">
        <v>67</v>
      </c>
      <c r="E1119" s="6" t="s">
        <v>57</v>
      </c>
      <c r="F1119" s="6" t="s">
        <v>24</v>
      </c>
      <c r="G1119" s="6" t="s">
        <v>64</v>
      </c>
      <c r="H1119" s="6" t="s">
        <v>65</v>
      </c>
      <c r="I1119" s="6" t="str">
        <f aca="false">IF(A1119&lt;Outliers!$E$6,"Low",IF(A1119&gt;Outliers!$F$6,"High",""))</f>
        <v/>
      </c>
      <c r="J1119" s="6" t="str">
        <f aca="false">IF(B1119&lt;Outliers!$E$7,"Low",IF(B1119&gt;Outliers!$F$7,"High",""))</f>
        <v/>
      </c>
      <c r="K1119" s="6" t="str">
        <f aca="false">IF(C1119&lt;Outliers!$E$8,"Low",IF(C1119&gt;Outliers!$F$8,"High",""))</f>
        <v/>
      </c>
      <c r="L1119" s="6" t="str">
        <f aca="false">A1119&amp;";"&amp;B1119&amp;";"&amp;C1119</f>
        <v>35.39986338;97.41054011;13.5157166396958</v>
      </c>
      <c r="M1119" s="6" t="n">
        <f aca="false">IF(COUNTIF($L$2:$L$2201,L1119)&gt;1,1,0)</f>
        <v>0</v>
      </c>
      <c r="N1119" s="6" t="str">
        <f aca="false">IF(AND(C1119&lt;Assumptions!$B$9,B1119&lt;Assumptions!$B$10),"Irrigate Now",IF(AND(C1119&gt;=Assumptions!$B$11,B1119&gt;=Assumptions!$B$12),"No Irrigation Needed","Monitor"))</f>
        <v>Irrigate Now</v>
      </c>
      <c r="O1119" s="6" t="n">
        <f aca="false">IF(N1119=G1119,1,0)</f>
        <v>1</v>
      </c>
    </row>
    <row r="1120" customFormat="false" ht="15" hidden="false" customHeight="false" outlineLevel="0" collapsed="false">
      <c r="A1120" s="16" t="n">
        <v>29.80747243</v>
      </c>
      <c r="B1120" s="16" t="n">
        <v>95.74606104</v>
      </c>
      <c r="C1120" s="16" t="n">
        <v>15.8304490957504</v>
      </c>
      <c r="D1120" s="6" t="s">
        <v>57</v>
      </c>
      <c r="E1120" s="6" t="s">
        <v>57</v>
      </c>
      <c r="F1120" s="6" t="s">
        <v>24</v>
      </c>
      <c r="G1120" s="6" t="s">
        <v>64</v>
      </c>
      <c r="H1120" s="6" t="s">
        <v>65</v>
      </c>
      <c r="I1120" s="6" t="str">
        <f aca="false">IF(A1120&lt;Outliers!$E$6,"Low",IF(A1120&gt;Outliers!$F$6,"High",""))</f>
        <v/>
      </c>
      <c r="J1120" s="6" t="str">
        <f aca="false">IF(B1120&lt;Outliers!$E$7,"Low",IF(B1120&gt;Outliers!$F$7,"High",""))</f>
        <v/>
      </c>
      <c r="K1120" s="6" t="str">
        <f aca="false">IF(C1120&lt;Outliers!$E$8,"Low",IF(C1120&gt;Outliers!$F$8,"High",""))</f>
        <v/>
      </c>
      <c r="L1120" s="6" t="str">
        <f aca="false">A1120&amp;";"&amp;B1120&amp;";"&amp;C1120</f>
        <v>29.80747243;95.74606104;15.8304490957504</v>
      </c>
      <c r="M1120" s="6" t="n">
        <f aca="false">IF(COUNTIF($L$2:$L$2201,L1120)&gt;1,1,0)</f>
        <v>0</v>
      </c>
      <c r="N1120" s="6" t="str">
        <f aca="false">IF(AND(C1120&lt;Assumptions!$B$9,B1120&lt;Assumptions!$B$10),"Irrigate Now",IF(AND(C1120&gt;=Assumptions!$B$11,B1120&gt;=Assumptions!$B$12),"No Irrigation Needed","Monitor"))</f>
        <v>Irrigate Now</v>
      </c>
      <c r="O1120" s="6" t="n">
        <f aca="false">IF(N1120=G1120,1,0)</f>
        <v>1</v>
      </c>
    </row>
    <row r="1121" customFormat="false" ht="15" hidden="false" customHeight="false" outlineLevel="0" collapsed="false">
      <c r="A1121" s="16" t="n">
        <v>34.16438906</v>
      </c>
      <c r="B1121" s="16" t="n">
        <v>98.33351125</v>
      </c>
      <c r="C1121" s="16" t="n">
        <v>15.520950459783</v>
      </c>
      <c r="D1121" s="6" t="s">
        <v>67</v>
      </c>
      <c r="E1121" s="6" t="s">
        <v>57</v>
      </c>
      <c r="F1121" s="6" t="s">
        <v>24</v>
      </c>
      <c r="G1121" s="6" t="s">
        <v>64</v>
      </c>
      <c r="H1121" s="6" t="s">
        <v>65</v>
      </c>
      <c r="I1121" s="6" t="str">
        <f aca="false">IF(A1121&lt;Outliers!$E$6,"Low",IF(A1121&gt;Outliers!$F$6,"High",""))</f>
        <v/>
      </c>
      <c r="J1121" s="6" t="str">
        <f aca="false">IF(B1121&lt;Outliers!$E$7,"Low",IF(B1121&gt;Outliers!$F$7,"High",""))</f>
        <v/>
      </c>
      <c r="K1121" s="6" t="str">
        <f aca="false">IF(C1121&lt;Outliers!$E$8,"Low",IF(C1121&gt;Outliers!$F$8,"High",""))</f>
        <v/>
      </c>
      <c r="L1121" s="6" t="str">
        <f aca="false">A1121&amp;";"&amp;B1121&amp;";"&amp;C1121</f>
        <v>34.16438906;98.33351125;15.520950459783</v>
      </c>
      <c r="M1121" s="6" t="n">
        <f aca="false">IF(COUNTIF($L$2:$L$2201,L1121)&gt;1,1,0)</f>
        <v>0</v>
      </c>
      <c r="N1121" s="6" t="str">
        <f aca="false">IF(AND(C1121&lt;Assumptions!$B$9,B1121&lt;Assumptions!$B$10),"Irrigate Now",IF(AND(C1121&gt;=Assumptions!$B$11,B1121&gt;=Assumptions!$B$12),"No Irrigation Needed","Monitor"))</f>
        <v>Irrigate Now</v>
      </c>
      <c r="O1121" s="6" t="n">
        <f aca="false">IF(N1121=G1121,1,0)</f>
        <v>1</v>
      </c>
    </row>
    <row r="1122" customFormat="false" ht="15" hidden="false" customHeight="false" outlineLevel="0" collapsed="false">
      <c r="A1122" s="16" t="n">
        <v>28.93270187</v>
      </c>
      <c r="B1122" s="16" t="n">
        <v>99.9834242</v>
      </c>
      <c r="C1122" s="16" t="n">
        <v>25.4518921602057</v>
      </c>
      <c r="D1122" s="6" t="s">
        <v>57</v>
      </c>
      <c r="E1122" s="6" t="s">
        <v>57</v>
      </c>
      <c r="F1122" s="6" t="s">
        <v>23</v>
      </c>
      <c r="G1122" s="6" t="s">
        <v>61</v>
      </c>
      <c r="H1122" s="6" t="s">
        <v>63</v>
      </c>
      <c r="I1122" s="6" t="str">
        <f aca="false">IF(A1122&lt;Outliers!$E$6,"Low",IF(A1122&gt;Outliers!$F$6,"High",""))</f>
        <v/>
      </c>
      <c r="J1122" s="6" t="str">
        <f aca="false">IF(B1122&lt;Outliers!$E$7,"Low",IF(B1122&gt;Outliers!$F$7,"High",""))</f>
        <v/>
      </c>
      <c r="K1122" s="6" t="str">
        <f aca="false">IF(C1122&lt;Outliers!$E$8,"Low",IF(C1122&gt;Outliers!$F$8,"High",""))</f>
        <v/>
      </c>
      <c r="L1122" s="6" t="str">
        <f aca="false">A1122&amp;";"&amp;B1122&amp;";"&amp;C1122</f>
        <v>28.93270187;99.9834242;25.4518921602057</v>
      </c>
      <c r="M1122" s="6" t="n">
        <f aca="false">IF(COUNTIF($L$2:$L$2201,L1122)&gt;1,1,0)</f>
        <v>0</v>
      </c>
      <c r="N1122" s="6" t="str">
        <f aca="false">IF(AND(C1122&lt;Assumptions!$B$9,B1122&lt;Assumptions!$B$10),"Irrigate Now",IF(AND(C1122&gt;=Assumptions!$B$11,B1122&gt;=Assumptions!$B$12),"No Irrigation Needed","Monitor"))</f>
        <v>Monitor</v>
      </c>
      <c r="O1122" s="6" t="n">
        <f aca="false">IF(N1122=G1122,1,0)</f>
        <v>1</v>
      </c>
    </row>
    <row r="1123" customFormat="false" ht="15" hidden="false" customHeight="false" outlineLevel="0" collapsed="false">
      <c r="A1123" s="16" t="n">
        <v>27.98392787</v>
      </c>
      <c r="B1123" s="16" t="n">
        <v>99.61465679</v>
      </c>
      <c r="C1123" s="16" t="n">
        <v>22.6375026764087</v>
      </c>
      <c r="D1123" s="6" t="s">
        <v>57</v>
      </c>
      <c r="E1123" s="6" t="s">
        <v>57</v>
      </c>
      <c r="F1123" s="6" t="s">
        <v>60</v>
      </c>
      <c r="G1123" s="6" t="s">
        <v>61</v>
      </c>
      <c r="H1123" s="6" t="s">
        <v>63</v>
      </c>
      <c r="I1123" s="6" t="str">
        <f aca="false">IF(A1123&lt;Outliers!$E$6,"Low",IF(A1123&gt;Outliers!$F$6,"High",""))</f>
        <v/>
      </c>
      <c r="J1123" s="6" t="str">
        <f aca="false">IF(B1123&lt;Outliers!$E$7,"Low",IF(B1123&gt;Outliers!$F$7,"High",""))</f>
        <v/>
      </c>
      <c r="K1123" s="6" t="str">
        <f aca="false">IF(C1123&lt;Outliers!$E$8,"Low",IF(C1123&gt;Outliers!$F$8,"High",""))</f>
        <v/>
      </c>
      <c r="L1123" s="6" t="str">
        <f aca="false">A1123&amp;";"&amp;B1123&amp;";"&amp;C1123</f>
        <v>27.98392787;99.61465679;22.6375026764087</v>
      </c>
      <c r="M1123" s="6" t="n">
        <f aca="false">IF(COUNTIF($L$2:$L$2201,L1123)&gt;1,1,0)</f>
        <v>0</v>
      </c>
      <c r="N1123" s="6" t="str">
        <f aca="false">IF(AND(C1123&lt;Assumptions!$B$9,B1123&lt;Assumptions!$B$10),"Irrigate Now",IF(AND(C1123&gt;=Assumptions!$B$11,B1123&gt;=Assumptions!$B$12),"No Irrigation Needed","Monitor"))</f>
        <v>Monitor</v>
      </c>
      <c r="O1123" s="6" t="n">
        <f aca="false">IF(N1123=G1123,1,0)</f>
        <v>1</v>
      </c>
    </row>
    <row r="1124" customFormat="false" ht="15" hidden="false" customHeight="false" outlineLevel="0" collapsed="false">
      <c r="A1124" s="16" t="n">
        <v>31.20478173</v>
      </c>
      <c r="B1124" s="16" t="n">
        <v>94.62954663</v>
      </c>
      <c r="C1124" s="16" t="n">
        <v>18.5930397765709</v>
      </c>
      <c r="D1124" s="6" t="s">
        <v>67</v>
      </c>
      <c r="E1124" s="6" t="s">
        <v>57</v>
      </c>
      <c r="F1124" s="6" t="s">
        <v>60</v>
      </c>
      <c r="G1124" s="6" t="s">
        <v>61</v>
      </c>
      <c r="H1124" s="6" t="s">
        <v>68</v>
      </c>
      <c r="I1124" s="6" t="str">
        <f aca="false">IF(A1124&lt;Outliers!$E$6,"Low",IF(A1124&gt;Outliers!$F$6,"High",""))</f>
        <v/>
      </c>
      <c r="J1124" s="6" t="str">
        <f aca="false">IF(B1124&lt;Outliers!$E$7,"Low",IF(B1124&gt;Outliers!$F$7,"High",""))</f>
        <v/>
      </c>
      <c r="K1124" s="6" t="str">
        <f aca="false">IF(C1124&lt;Outliers!$E$8,"Low",IF(C1124&gt;Outliers!$F$8,"High",""))</f>
        <v/>
      </c>
      <c r="L1124" s="6" t="str">
        <f aca="false">A1124&amp;";"&amp;B1124&amp;";"&amp;C1124</f>
        <v>31.20478173;94.62954663;18.5930397765709</v>
      </c>
      <c r="M1124" s="6" t="n">
        <f aca="false">IF(COUNTIF($L$2:$L$2201,L1124)&gt;1,1,0)</f>
        <v>0</v>
      </c>
      <c r="N1124" s="6" t="str">
        <f aca="false">IF(AND(C1124&lt;Assumptions!$B$9,B1124&lt;Assumptions!$B$10),"Irrigate Now",IF(AND(C1124&gt;=Assumptions!$B$11,B1124&gt;=Assumptions!$B$12),"No Irrigation Needed","Monitor"))</f>
        <v>Monitor</v>
      </c>
      <c r="O1124" s="6" t="n">
        <f aca="false">IF(N1124=G1124,1,0)</f>
        <v>1</v>
      </c>
    </row>
    <row r="1125" customFormat="false" ht="15" hidden="false" customHeight="false" outlineLevel="0" collapsed="false">
      <c r="A1125" s="16" t="n">
        <v>32.13409675</v>
      </c>
      <c r="B1125" s="16" t="n">
        <v>98.63333684</v>
      </c>
      <c r="C1125" s="16" t="n">
        <v>24.5392211591287</v>
      </c>
      <c r="D1125" s="6" t="s">
        <v>67</v>
      </c>
      <c r="E1125" s="6" t="s">
        <v>57</v>
      </c>
      <c r="F1125" s="6" t="s">
        <v>23</v>
      </c>
      <c r="G1125" s="6" t="s">
        <v>61</v>
      </c>
      <c r="H1125" s="6" t="s">
        <v>63</v>
      </c>
      <c r="I1125" s="6" t="str">
        <f aca="false">IF(A1125&lt;Outliers!$E$6,"Low",IF(A1125&gt;Outliers!$F$6,"High",""))</f>
        <v/>
      </c>
      <c r="J1125" s="6" t="str">
        <f aca="false">IF(B1125&lt;Outliers!$E$7,"Low",IF(B1125&gt;Outliers!$F$7,"High",""))</f>
        <v/>
      </c>
      <c r="K1125" s="6" t="str">
        <f aca="false">IF(C1125&lt;Outliers!$E$8,"Low",IF(C1125&gt;Outliers!$F$8,"High",""))</f>
        <v/>
      </c>
      <c r="L1125" s="6" t="str">
        <f aca="false">A1125&amp;";"&amp;B1125&amp;";"&amp;C1125</f>
        <v>32.13409675;98.63333684;24.5392211591287</v>
      </c>
      <c r="M1125" s="6" t="n">
        <f aca="false">IF(COUNTIF($L$2:$L$2201,L1125)&gt;1,1,0)</f>
        <v>0</v>
      </c>
      <c r="N1125" s="6" t="str">
        <f aca="false">IF(AND(C1125&lt;Assumptions!$B$9,B1125&lt;Assumptions!$B$10),"Irrigate Now",IF(AND(C1125&gt;=Assumptions!$B$11,B1125&gt;=Assumptions!$B$12),"No Irrigation Needed","Monitor"))</f>
        <v>Monitor</v>
      </c>
      <c r="O1125" s="6" t="n">
        <f aca="false">IF(N1125=G1125,1,0)</f>
        <v>1</v>
      </c>
    </row>
    <row r="1126" customFormat="false" ht="15" hidden="false" customHeight="false" outlineLevel="0" collapsed="false">
      <c r="A1126" s="16" t="n">
        <v>28.91862016</v>
      </c>
      <c r="B1126" s="16" t="n">
        <v>97.01331604</v>
      </c>
      <c r="C1126" s="16" t="n">
        <v>22.1093091805169</v>
      </c>
      <c r="D1126" s="6" t="s">
        <v>57</v>
      </c>
      <c r="E1126" s="6" t="s">
        <v>57</v>
      </c>
      <c r="F1126" s="6" t="s">
        <v>60</v>
      </c>
      <c r="G1126" s="6" t="s">
        <v>61</v>
      </c>
      <c r="H1126" s="6" t="s">
        <v>63</v>
      </c>
      <c r="I1126" s="6" t="str">
        <f aca="false">IF(A1126&lt;Outliers!$E$6,"Low",IF(A1126&gt;Outliers!$F$6,"High",""))</f>
        <v/>
      </c>
      <c r="J1126" s="6" t="str">
        <f aca="false">IF(B1126&lt;Outliers!$E$7,"Low",IF(B1126&gt;Outliers!$F$7,"High",""))</f>
        <v/>
      </c>
      <c r="K1126" s="6" t="str">
        <f aca="false">IF(C1126&lt;Outliers!$E$8,"Low",IF(C1126&gt;Outliers!$F$8,"High",""))</f>
        <v/>
      </c>
      <c r="L1126" s="6" t="str">
        <f aca="false">A1126&amp;";"&amp;B1126&amp;";"&amp;C1126</f>
        <v>28.91862016;97.01331604;22.1093091805169</v>
      </c>
      <c r="M1126" s="6" t="n">
        <f aca="false">IF(COUNTIF($L$2:$L$2201,L1126)&gt;1,1,0)</f>
        <v>0</v>
      </c>
      <c r="N1126" s="6" t="str">
        <f aca="false">IF(AND(C1126&lt;Assumptions!$B$9,B1126&lt;Assumptions!$B$10),"Irrigate Now",IF(AND(C1126&gt;=Assumptions!$B$11,B1126&gt;=Assumptions!$B$12),"No Irrigation Needed","Monitor"))</f>
        <v>Monitor</v>
      </c>
      <c r="O1126" s="6" t="n">
        <f aca="false">IF(N1126=G1126,1,0)</f>
        <v>1</v>
      </c>
    </row>
    <row r="1127" customFormat="false" ht="15" hidden="false" customHeight="false" outlineLevel="0" collapsed="false">
      <c r="A1127" s="16" t="n">
        <v>31.09779147</v>
      </c>
      <c r="B1127" s="16" t="n">
        <v>90.28624348</v>
      </c>
      <c r="C1127" s="16" t="n">
        <v>28.976514135789</v>
      </c>
      <c r="D1127" s="6" t="s">
        <v>67</v>
      </c>
      <c r="E1127" s="6" t="s">
        <v>57</v>
      </c>
      <c r="F1127" s="6" t="s">
        <v>23</v>
      </c>
      <c r="G1127" s="6" t="s">
        <v>61</v>
      </c>
      <c r="H1127" s="6" t="s">
        <v>63</v>
      </c>
      <c r="I1127" s="6" t="str">
        <f aca="false">IF(A1127&lt;Outliers!$E$6,"Low",IF(A1127&gt;Outliers!$F$6,"High",""))</f>
        <v/>
      </c>
      <c r="J1127" s="6" t="str">
        <f aca="false">IF(B1127&lt;Outliers!$E$7,"Low",IF(B1127&gt;Outliers!$F$7,"High",""))</f>
        <v/>
      </c>
      <c r="K1127" s="6" t="str">
        <f aca="false">IF(C1127&lt;Outliers!$E$8,"Low",IF(C1127&gt;Outliers!$F$8,"High",""))</f>
        <v/>
      </c>
      <c r="L1127" s="6" t="str">
        <f aca="false">A1127&amp;";"&amp;B1127&amp;";"&amp;C1127</f>
        <v>31.09779147;90.28624348;28.976514135789</v>
      </c>
      <c r="M1127" s="6" t="n">
        <f aca="false">IF(COUNTIF($L$2:$L$2201,L1127)&gt;1,1,0)</f>
        <v>0</v>
      </c>
      <c r="N1127" s="6" t="str">
        <f aca="false">IF(AND(C1127&lt;Assumptions!$B$9,B1127&lt;Assumptions!$B$10),"Irrigate Now",IF(AND(C1127&gt;=Assumptions!$B$11,B1127&gt;=Assumptions!$B$12),"No Irrigation Needed","Monitor"))</f>
        <v>Monitor</v>
      </c>
      <c r="O1127" s="6" t="n">
        <f aca="false">IF(N1127=G1127,1,0)</f>
        <v>1</v>
      </c>
    </row>
    <row r="1128" customFormat="false" ht="15" hidden="false" customHeight="false" outlineLevel="0" collapsed="false">
      <c r="A1128" s="16" t="n">
        <v>34.73823882</v>
      </c>
      <c r="B1128" s="16" t="n">
        <v>90.65022183</v>
      </c>
      <c r="C1128" s="16" t="n">
        <v>25.9647270091995</v>
      </c>
      <c r="D1128" s="6" t="s">
        <v>67</v>
      </c>
      <c r="E1128" s="6" t="s">
        <v>57</v>
      </c>
      <c r="F1128" s="6" t="s">
        <v>23</v>
      </c>
      <c r="G1128" s="6" t="s">
        <v>61</v>
      </c>
      <c r="H1128" s="6" t="s">
        <v>63</v>
      </c>
      <c r="I1128" s="6" t="str">
        <f aca="false">IF(A1128&lt;Outliers!$E$6,"Low",IF(A1128&gt;Outliers!$F$6,"High",""))</f>
        <v/>
      </c>
      <c r="J1128" s="6" t="str">
        <f aca="false">IF(B1128&lt;Outliers!$E$7,"Low",IF(B1128&gt;Outliers!$F$7,"High",""))</f>
        <v/>
      </c>
      <c r="K1128" s="6" t="str">
        <f aca="false">IF(C1128&lt;Outliers!$E$8,"Low",IF(C1128&gt;Outliers!$F$8,"High",""))</f>
        <v/>
      </c>
      <c r="L1128" s="6" t="str">
        <f aca="false">A1128&amp;";"&amp;B1128&amp;";"&amp;C1128</f>
        <v>34.73823882;90.65022183;25.9647270091995</v>
      </c>
      <c r="M1128" s="6" t="n">
        <f aca="false">IF(COUNTIF($L$2:$L$2201,L1128)&gt;1,1,0)</f>
        <v>0</v>
      </c>
      <c r="N1128" s="6" t="str">
        <f aca="false">IF(AND(C1128&lt;Assumptions!$B$9,B1128&lt;Assumptions!$B$10),"Irrigate Now",IF(AND(C1128&gt;=Assumptions!$B$11,B1128&gt;=Assumptions!$B$12),"No Irrigation Needed","Monitor"))</f>
        <v>Monitor</v>
      </c>
      <c r="O1128" s="6" t="n">
        <f aca="false">IF(N1128=G1128,1,0)</f>
        <v>1</v>
      </c>
    </row>
    <row r="1129" customFormat="false" ht="15" hidden="false" customHeight="false" outlineLevel="0" collapsed="false">
      <c r="A1129" s="16" t="n">
        <v>29.98080499</v>
      </c>
      <c r="B1129" s="16" t="n">
        <v>91.82271568</v>
      </c>
      <c r="C1129" s="16" t="n">
        <v>17.3496567674433</v>
      </c>
      <c r="D1129" s="6" t="s">
        <v>57</v>
      </c>
      <c r="E1129" s="6" t="s">
        <v>57</v>
      </c>
      <c r="F1129" s="6" t="s">
        <v>60</v>
      </c>
      <c r="G1129" s="6" t="s">
        <v>64</v>
      </c>
      <c r="H1129" s="6" t="s">
        <v>65</v>
      </c>
      <c r="I1129" s="6" t="str">
        <f aca="false">IF(A1129&lt;Outliers!$E$6,"Low",IF(A1129&gt;Outliers!$F$6,"High",""))</f>
        <v/>
      </c>
      <c r="J1129" s="6" t="str">
        <f aca="false">IF(B1129&lt;Outliers!$E$7,"Low",IF(B1129&gt;Outliers!$F$7,"High",""))</f>
        <v/>
      </c>
      <c r="K1129" s="6" t="str">
        <f aca="false">IF(C1129&lt;Outliers!$E$8,"Low",IF(C1129&gt;Outliers!$F$8,"High",""))</f>
        <v/>
      </c>
      <c r="L1129" s="6" t="str">
        <f aca="false">A1129&amp;";"&amp;B1129&amp;";"&amp;C1129</f>
        <v>29.98080499;91.82271568;17.3496567674433</v>
      </c>
      <c r="M1129" s="6" t="n">
        <f aca="false">IF(COUNTIF($L$2:$L$2201,L1129)&gt;1,1,0)</f>
        <v>0</v>
      </c>
      <c r="N1129" s="6" t="str">
        <f aca="false">IF(AND(C1129&lt;Assumptions!$B$9,B1129&lt;Assumptions!$B$10),"Irrigate Now",IF(AND(C1129&gt;=Assumptions!$B$11,B1129&gt;=Assumptions!$B$12),"No Irrigation Needed","Monitor"))</f>
        <v>Irrigate Now</v>
      </c>
      <c r="O1129" s="6" t="n">
        <f aca="false">IF(N1129=G1129,1,0)</f>
        <v>1</v>
      </c>
    </row>
    <row r="1130" customFormat="false" ht="15" hidden="false" customHeight="false" outlineLevel="0" collapsed="false">
      <c r="A1130" s="16" t="n">
        <v>33.80398664</v>
      </c>
      <c r="B1130" s="16" t="n">
        <v>90.82549241</v>
      </c>
      <c r="C1130" s="16" t="n">
        <v>15.634928991882</v>
      </c>
      <c r="D1130" s="6" t="s">
        <v>67</v>
      </c>
      <c r="E1130" s="6" t="s">
        <v>57</v>
      </c>
      <c r="F1130" s="6" t="s">
        <v>24</v>
      </c>
      <c r="G1130" s="6" t="s">
        <v>64</v>
      </c>
      <c r="H1130" s="6" t="s">
        <v>65</v>
      </c>
      <c r="I1130" s="6" t="str">
        <f aca="false">IF(A1130&lt;Outliers!$E$6,"Low",IF(A1130&gt;Outliers!$F$6,"High",""))</f>
        <v/>
      </c>
      <c r="J1130" s="6" t="str">
        <f aca="false">IF(B1130&lt;Outliers!$E$7,"Low",IF(B1130&gt;Outliers!$F$7,"High",""))</f>
        <v/>
      </c>
      <c r="K1130" s="6" t="str">
        <f aca="false">IF(C1130&lt;Outliers!$E$8,"Low",IF(C1130&gt;Outliers!$F$8,"High",""))</f>
        <v/>
      </c>
      <c r="L1130" s="6" t="str">
        <f aca="false">A1130&amp;";"&amp;B1130&amp;";"&amp;C1130</f>
        <v>33.80398664;90.82549241;15.634928991882</v>
      </c>
      <c r="M1130" s="6" t="n">
        <f aca="false">IF(COUNTIF($L$2:$L$2201,L1130)&gt;1,1,0)</f>
        <v>0</v>
      </c>
      <c r="N1130" s="6" t="str">
        <f aca="false">IF(AND(C1130&lt;Assumptions!$B$9,B1130&lt;Assumptions!$B$10),"Irrigate Now",IF(AND(C1130&gt;=Assumptions!$B$11,B1130&gt;=Assumptions!$B$12),"No Irrigation Needed","Monitor"))</f>
        <v>Irrigate Now</v>
      </c>
      <c r="O1130" s="6" t="n">
        <f aca="false">IF(N1130=G1130,1,0)</f>
        <v>1</v>
      </c>
    </row>
    <row r="1131" customFormat="false" ht="15" hidden="false" customHeight="false" outlineLevel="0" collapsed="false">
      <c r="A1131" s="16" t="n">
        <v>30.07202564</v>
      </c>
      <c r="B1131" s="16" t="n">
        <v>92.09609766</v>
      </c>
      <c r="C1131" s="16" t="n">
        <v>20.7150766061689</v>
      </c>
      <c r="D1131" s="6" t="s">
        <v>67</v>
      </c>
      <c r="E1131" s="6" t="s">
        <v>57</v>
      </c>
      <c r="F1131" s="6" t="s">
        <v>60</v>
      </c>
      <c r="G1131" s="6" t="s">
        <v>61</v>
      </c>
      <c r="H1131" s="6" t="s">
        <v>68</v>
      </c>
      <c r="I1131" s="6" t="str">
        <f aca="false">IF(A1131&lt;Outliers!$E$6,"Low",IF(A1131&gt;Outliers!$F$6,"High",""))</f>
        <v/>
      </c>
      <c r="J1131" s="6" t="str">
        <f aca="false">IF(B1131&lt;Outliers!$E$7,"Low",IF(B1131&gt;Outliers!$F$7,"High",""))</f>
        <v/>
      </c>
      <c r="K1131" s="6" t="str">
        <f aca="false">IF(C1131&lt;Outliers!$E$8,"Low",IF(C1131&gt;Outliers!$F$8,"High",""))</f>
        <v/>
      </c>
      <c r="L1131" s="6" t="str">
        <f aca="false">A1131&amp;";"&amp;B1131&amp;";"&amp;C1131</f>
        <v>30.07202564;92.09609766;20.7150766061689</v>
      </c>
      <c r="M1131" s="6" t="n">
        <f aca="false">IF(COUNTIF($L$2:$L$2201,L1131)&gt;1,1,0)</f>
        <v>0</v>
      </c>
      <c r="N1131" s="6" t="str">
        <f aca="false">IF(AND(C1131&lt;Assumptions!$B$9,B1131&lt;Assumptions!$B$10),"Irrigate Now",IF(AND(C1131&gt;=Assumptions!$B$11,B1131&gt;=Assumptions!$B$12),"No Irrigation Needed","Monitor"))</f>
        <v>Monitor</v>
      </c>
      <c r="O1131" s="6" t="n">
        <f aca="false">IF(N1131=G1131,1,0)</f>
        <v>1</v>
      </c>
    </row>
    <row r="1132" customFormat="false" ht="15" hidden="false" customHeight="false" outlineLevel="0" collapsed="false">
      <c r="A1132" s="16" t="n">
        <v>27.92063282</v>
      </c>
      <c r="B1132" s="16" t="n">
        <v>100.2585673</v>
      </c>
      <c r="C1132" s="16" t="n">
        <v>12.4629260128231</v>
      </c>
      <c r="D1132" s="6" t="s">
        <v>57</v>
      </c>
      <c r="E1132" s="6" t="s">
        <v>57</v>
      </c>
      <c r="F1132" s="6" t="s">
        <v>24</v>
      </c>
      <c r="G1132" s="6" t="s">
        <v>61</v>
      </c>
      <c r="H1132" s="6" t="s">
        <v>63</v>
      </c>
      <c r="I1132" s="6" t="str">
        <f aca="false">IF(A1132&lt;Outliers!$E$6,"Low",IF(A1132&gt;Outliers!$F$6,"High",""))</f>
        <v/>
      </c>
      <c r="J1132" s="6" t="str">
        <f aca="false">IF(B1132&lt;Outliers!$E$7,"Low",IF(B1132&gt;Outliers!$F$7,"High",""))</f>
        <v/>
      </c>
      <c r="K1132" s="6" t="str">
        <f aca="false">IF(C1132&lt;Outliers!$E$8,"Low",IF(C1132&gt;Outliers!$F$8,"High",""))</f>
        <v/>
      </c>
      <c r="L1132" s="6" t="str">
        <f aca="false">A1132&amp;";"&amp;B1132&amp;";"&amp;C1132</f>
        <v>27.92063282;100.2585673;12.4629260128231</v>
      </c>
      <c r="M1132" s="6" t="n">
        <f aca="false">IF(COUNTIF($L$2:$L$2201,L1132)&gt;1,1,0)</f>
        <v>0</v>
      </c>
      <c r="N1132" s="6" t="str">
        <f aca="false">IF(AND(C1132&lt;Assumptions!$B$9,B1132&lt;Assumptions!$B$10),"Irrigate Now",IF(AND(C1132&gt;=Assumptions!$B$11,B1132&gt;=Assumptions!$B$12),"No Irrigation Needed","Monitor"))</f>
        <v>Monitor</v>
      </c>
      <c r="O1132" s="6" t="n">
        <f aca="false">IF(N1132=G1132,1,0)</f>
        <v>1</v>
      </c>
    </row>
    <row r="1133" customFormat="false" ht="15" hidden="false" customHeight="false" outlineLevel="0" collapsed="false">
      <c r="A1133" s="16" t="n">
        <v>31.40948821</v>
      </c>
      <c r="B1133" s="16" t="n">
        <v>92.99739415</v>
      </c>
      <c r="C1133" s="16" t="n">
        <v>15.7206837474764</v>
      </c>
      <c r="D1133" s="6" t="s">
        <v>67</v>
      </c>
      <c r="E1133" s="6" t="s">
        <v>57</v>
      </c>
      <c r="F1133" s="6" t="s">
        <v>24</v>
      </c>
      <c r="G1133" s="6" t="s">
        <v>64</v>
      </c>
      <c r="H1133" s="6" t="s">
        <v>65</v>
      </c>
      <c r="I1133" s="6" t="str">
        <f aca="false">IF(A1133&lt;Outliers!$E$6,"Low",IF(A1133&gt;Outliers!$F$6,"High",""))</f>
        <v/>
      </c>
      <c r="J1133" s="6" t="str">
        <f aca="false">IF(B1133&lt;Outliers!$E$7,"Low",IF(B1133&gt;Outliers!$F$7,"High",""))</f>
        <v/>
      </c>
      <c r="K1133" s="6" t="str">
        <f aca="false">IF(C1133&lt;Outliers!$E$8,"Low",IF(C1133&gt;Outliers!$F$8,"High",""))</f>
        <v/>
      </c>
      <c r="L1133" s="6" t="str">
        <f aca="false">A1133&amp;";"&amp;B1133&amp;";"&amp;C1133</f>
        <v>31.40948821;92.99739415;15.7206837474764</v>
      </c>
      <c r="M1133" s="6" t="n">
        <f aca="false">IF(COUNTIF($L$2:$L$2201,L1133)&gt;1,1,0)</f>
        <v>0</v>
      </c>
      <c r="N1133" s="6" t="str">
        <f aca="false">IF(AND(C1133&lt;Assumptions!$B$9,B1133&lt;Assumptions!$B$10),"Irrigate Now",IF(AND(C1133&gt;=Assumptions!$B$11,B1133&gt;=Assumptions!$B$12),"No Irrigation Needed","Monitor"))</f>
        <v>Irrigate Now</v>
      </c>
      <c r="O1133" s="6" t="n">
        <f aca="false">IF(N1133=G1133,1,0)</f>
        <v>1</v>
      </c>
    </row>
    <row r="1134" customFormat="false" ht="15" hidden="false" customHeight="false" outlineLevel="0" collapsed="false">
      <c r="A1134" s="16" t="n">
        <v>35.7877738</v>
      </c>
      <c r="B1134" s="16" t="n">
        <v>100.2160615</v>
      </c>
      <c r="C1134" s="16" t="n">
        <v>20.5799571613638</v>
      </c>
      <c r="D1134" s="6" t="s">
        <v>67</v>
      </c>
      <c r="E1134" s="6" t="s">
        <v>57</v>
      </c>
      <c r="F1134" s="6" t="s">
        <v>60</v>
      </c>
      <c r="G1134" s="6" t="s">
        <v>61</v>
      </c>
      <c r="H1134" s="6" t="s">
        <v>68</v>
      </c>
      <c r="I1134" s="6" t="str">
        <f aca="false">IF(A1134&lt;Outliers!$E$6,"Low",IF(A1134&gt;Outliers!$F$6,"High",""))</f>
        <v/>
      </c>
      <c r="J1134" s="6" t="str">
        <f aca="false">IF(B1134&lt;Outliers!$E$7,"Low",IF(B1134&gt;Outliers!$F$7,"High",""))</f>
        <v/>
      </c>
      <c r="K1134" s="6" t="str">
        <f aca="false">IF(C1134&lt;Outliers!$E$8,"Low",IF(C1134&gt;Outliers!$F$8,"High",""))</f>
        <v/>
      </c>
      <c r="L1134" s="6" t="str">
        <f aca="false">A1134&amp;";"&amp;B1134&amp;";"&amp;C1134</f>
        <v>35.7877738;100.2160615;20.5799571613638</v>
      </c>
      <c r="M1134" s="6" t="n">
        <f aca="false">IF(COUNTIF($L$2:$L$2201,L1134)&gt;1,1,0)</f>
        <v>0</v>
      </c>
      <c r="N1134" s="6" t="str">
        <f aca="false">IF(AND(C1134&lt;Assumptions!$B$9,B1134&lt;Assumptions!$B$10),"Irrigate Now",IF(AND(C1134&gt;=Assumptions!$B$11,B1134&gt;=Assumptions!$B$12),"No Irrigation Needed","Monitor"))</f>
        <v>Monitor</v>
      </c>
      <c r="O1134" s="6" t="n">
        <f aca="false">IF(N1134=G1134,1,0)</f>
        <v>1</v>
      </c>
    </row>
    <row r="1135" customFormat="false" ht="15" hidden="false" customHeight="false" outlineLevel="0" collapsed="false">
      <c r="A1135" s="16" t="n">
        <v>33.36140093</v>
      </c>
      <c r="B1135" s="16" t="n">
        <v>98.81596545</v>
      </c>
      <c r="C1135" s="16" t="n">
        <v>13.087241229946</v>
      </c>
      <c r="D1135" s="6" t="s">
        <v>67</v>
      </c>
      <c r="E1135" s="6" t="s">
        <v>57</v>
      </c>
      <c r="F1135" s="6" t="s">
        <v>24</v>
      </c>
      <c r="G1135" s="6" t="s">
        <v>64</v>
      </c>
      <c r="H1135" s="6" t="s">
        <v>65</v>
      </c>
      <c r="I1135" s="6" t="str">
        <f aca="false">IF(A1135&lt;Outliers!$E$6,"Low",IF(A1135&gt;Outliers!$F$6,"High",""))</f>
        <v/>
      </c>
      <c r="J1135" s="6" t="str">
        <f aca="false">IF(B1135&lt;Outliers!$E$7,"Low",IF(B1135&gt;Outliers!$F$7,"High",""))</f>
        <v/>
      </c>
      <c r="K1135" s="6" t="str">
        <f aca="false">IF(C1135&lt;Outliers!$E$8,"Low",IF(C1135&gt;Outliers!$F$8,"High",""))</f>
        <v/>
      </c>
      <c r="L1135" s="6" t="str">
        <f aca="false">A1135&amp;";"&amp;B1135&amp;";"&amp;C1135</f>
        <v>33.36140093;98.81596545;13.087241229946</v>
      </c>
      <c r="M1135" s="6" t="n">
        <f aca="false">IF(COUNTIF($L$2:$L$2201,L1135)&gt;1,1,0)</f>
        <v>0</v>
      </c>
      <c r="N1135" s="6" t="str">
        <f aca="false">IF(AND(C1135&lt;Assumptions!$B$9,B1135&lt;Assumptions!$B$10),"Irrigate Now",IF(AND(C1135&gt;=Assumptions!$B$11,B1135&gt;=Assumptions!$B$12),"No Irrigation Needed","Monitor"))</f>
        <v>Irrigate Now</v>
      </c>
      <c r="O1135" s="6" t="n">
        <f aca="false">IF(N1135=G1135,1,0)</f>
        <v>1</v>
      </c>
    </row>
    <row r="1136" customFormat="false" ht="15" hidden="false" customHeight="false" outlineLevel="0" collapsed="false">
      <c r="A1136" s="16" t="n">
        <v>35.96054636</v>
      </c>
      <c r="B1136" s="16" t="n">
        <v>98.00644238</v>
      </c>
      <c r="C1136" s="16" t="n">
        <v>19.6915139550891</v>
      </c>
      <c r="D1136" s="6" t="s">
        <v>67</v>
      </c>
      <c r="E1136" s="6" t="s">
        <v>57</v>
      </c>
      <c r="F1136" s="6" t="s">
        <v>60</v>
      </c>
      <c r="G1136" s="6" t="s">
        <v>61</v>
      </c>
      <c r="H1136" s="6" t="s">
        <v>68</v>
      </c>
      <c r="I1136" s="6" t="str">
        <f aca="false">IF(A1136&lt;Outliers!$E$6,"Low",IF(A1136&gt;Outliers!$F$6,"High",""))</f>
        <v/>
      </c>
      <c r="J1136" s="6" t="str">
        <f aca="false">IF(B1136&lt;Outliers!$E$7,"Low",IF(B1136&gt;Outliers!$F$7,"High",""))</f>
        <v/>
      </c>
      <c r="K1136" s="6" t="str">
        <f aca="false">IF(C1136&lt;Outliers!$E$8,"Low",IF(C1136&gt;Outliers!$F$8,"High",""))</f>
        <v/>
      </c>
      <c r="L1136" s="6" t="str">
        <f aca="false">A1136&amp;";"&amp;B1136&amp;";"&amp;C1136</f>
        <v>35.96054636;98.00644238;19.6915139550891</v>
      </c>
      <c r="M1136" s="6" t="n">
        <f aca="false">IF(COUNTIF($L$2:$L$2201,L1136)&gt;1,1,0)</f>
        <v>0</v>
      </c>
      <c r="N1136" s="6" t="str">
        <f aca="false">IF(AND(C1136&lt;Assumptions!$B$9,B1136&lt;Assumptions!$B$10),"Irrigate Now",IF(AND(C1136&gt;=Assumptions!$B$11,B1136&gt;=Assumptions!$B$12),"No Irrigation Needed","Monitor"))</f>
        <v>Monitor</v>
      </c>
      <c r="O1136" s="6" t="n">
        <f aca="false">IF(N1136=G1136,1,0)</f>
        <v>1</v>
      </c>
    </row>
    <row r="1137" customFormat="false" ht="15" hidden="false" customHeight="false" outlineLevel="0" collapsed="false">
      <c r="A1137" s="16" t="n">
        <v>28.33333307</v>
      </c>
      <c r="B1137" s="16" t="n">
        <v>91.67241761</v>
      </c>
      <c r="C1137" s="16" t="n">
        <v>13.5646589459503</v>
      </c>
      <c r="D1137" s="6" t="s">
        <v>57</v>
      </c>
      <c r="E1137" s="6" t="s">
        <v>57</v>
      </c>
      <c r="F1137" s="6" t="s">
        <v>24</v>
      </c>
      <c r="G1137" s="6" t="s">
        <v>64</v>
      </c>
      <c r="H1137" s="6" t="s">
        <v>65</v>
      </c>
      <c r="I1137" s="6" t="str">
        <f aca="false">IF(A1137&lt;Outliers!$E$6,"Low",IF(A1137&gt;Outliers!$F$6,"High",""))</f>
        <v/>
      </c>
      <c r="J1137" s="6" t="str">
        <f aca="false">IF(B1137&lt;Outliers!$E$7,"Low",IF(B1137&gt;Outliers!$F$7,"High",""))</f>
        <v/>
      </c>
      <c r="K1137" s="6" t="str">
        <f aca="false">IF(C1137&lt;Outliers!$E$8,"Low",IF(C1137&gt;Outliers!$F$8,"High",""))</f>
        <v/>
      </c>
      <c r="L1137" s="6" t="str">
        <f aca="false">A1137&amp;";"&amp;B1137&amp;";"&amp;C1137</f>
        <v>28.33333307;91.67241761;13.5646589459503</v>
      </c>
      <c r="M1137" s="6" t="n">
        <f aca="false">IF(COUNTIF($L$2:$L$2201,L1137)&gt;1,1,0)</f>
        <v>0</v>
      </c>
      <c r="N1137" s="6" t="str">
        <f aca="false">IF(AND(C1137&lt;Assumptions!$B$9,B1137&lt;Assumptions!$B$10),"Irrigate Now",IF(AND(C1137&gt;=Assumptions!$B$11,B1137&gt;=Assumptions!$B$12),"No Irrigation Needed","Monitor"))</f>
        <v>Irrigate Now</v>
      </c>
      <c r="O1137" s="6" t="n">
        <f aca="false">IF(N1137=G1137,1,0)</f>
        <v>1</v>
      </c>
    </row>
    <row r="1138" customFormat="false" ht="15" hidden="false" customHeight="false" outlineLevel="0" collapsed="false">
      <c r="A1138" s="16" t="n">
        <v>32.27652024</v>
      </c>
      <c r="B1138" s="16" t="n">
        <v>95.99487068</v>
      </c>
      <c r="C1138" s="16" t="n">
        <v>28.9450678698602</v>
      </c>
      <c r="D1138" s="6" t="s">
        <v>67</v>
      </c>
      <c r="E1138" s="6" t="s">
        <v>57</v>
      </c>
      <c r="F1138" s="6" t="s">
        <v>23</v>
      </c>
      <c r="G1138" s="6" t="s">
        <v>61</v>
      </c>
      <c r="H1138" s="6" t="s">
        <v>63</v>
      </c>
      <c r="I1138" s="6" t="str">
        <f aca="false">IF(A1138&lt;Outliers!$E$6,"Low",IF(A1138&gt;Outliers!$F$6,"High",""))</f>
        <v/>
      </c>
      <c r="J1138" s="6" t="str">
        <f aca="false">IF(B1138&lt;Outliers!$E$7,"Low",IF(B1138&gt;Outliers!$F$7,"High",""))</f>
        <v/>
      </c>
      <c r="K1138" s="6" t="str">
        <f aca="false">IF(C1138&lt;Outliers!$E$8,"Low",IF(C1138&gt;Outliers!$F$8,"High",""))</f>
        <v/>
      </c>
      <c r="L1138" s="6" t="str">
        <f aca="false">A1138&amp;";"&amp;B1138&amp;";"&amp;C1138</f>
        <v>32.27652024;95.99487068;28.9450678698602</v>
      </c>
      <c r="M1138" s="6" t="n">
        <f aca="false">IF(COUNTIF($L$2:$L$2201,L1138)&gt;1,1,0)</f>
        <v>0</v>
      </c>
      <c r="N1138" s="6" t="str">
        <f aca="false">IF(AND(C1138&lt;Assumptions!$B$9,B1138&lt;Assumptions!$B$10),"Irrigate Now",IF(AND(C1138&gt;=Assumptions!$B$11,B1138&gt;=Assumptions!$B$12),"No Irrigation Needed","Monitor"))</f>
        <v>Monitor</v>
      </c>
      <c r="O1138" s="6" t="n">
        <f aca="false">IF(N1138=G1138,1,0)</f>
        <v>1</v>
      </c>
    </row>
    <row r="1139" customFormat="false" ht="15" hidden="false" customHeight="false" outlineLevel="0" collapsed="false">
      <c r="A1139" s="16" t="n">
        <v>31.99490489</v>
      </c>
      <c r="B1139" s="16" t="n">
        <v>97.38741498</v>
      </c>
      <c r="C1139" s="16" t="n">
        <v>26.1408503742956</v>
      </c>
      <c r="D1139" s="6" t="s">
        <v>67</v>
      </c>
      <c r="E1139" s="6" t="s">
        <v>57</v>
      </c>
      <c r="F1139" s="6" t="s">
        <v>23</v>
      </c>
      <c r="G1139" s="6" t="s">
        <v>61</v>
      </c>
      <c r="H1139" s="6" t="s">
        <v>63</v>
      </c>
      <c r="I1139" s="6" t="str">
        <f aca="false">IF(A1139&lt;Outliers!$E$6,"Low",IF(A1139&gt;Outliers!$F$6,"High",""))</f>
        <v/>
      </c>
      <c r="J1139" s="6" t="str">
        <f aca="false">IF(B1139&lt;Outliers!$E$7,"Low",IF(B1139&gt;Outliers!$F$7,"High",""))</f>
        <v/>
      </c>
      <c r="K1139" s="6" t="str">
        <f aca="false">IF(C1139&lt;Outliers!$E$8,"Low",IF(C1139&gt;Outliers!$F$8,"High",""))</f>
        <v/>
      </c>
      <c r="L1139" s="6" t="str">
        <f aca="false">A1139&amp;";"&amp;B1139&amp;";"&amp;C1139</f>
        <v>31.99490489;97.38741498;26.1408503742956</v>
      </c>
      <c r="M1139" s="6" t="n">
        <f aca="false">IF(COUNTIF($L$2:$L$2201,L1139)&gt;1,1,0)</f>
        <v>0</v>
      </c>
      <c r="N1139" s="6" t="str">
        <f aca="false">IF(AND(C1139&lt;Assumptions!$B$9,B1139&lt;Assumptions!$B$10),"Irrigate Now",IF(AND(C1139&gt;=Assumptions!$B$11,B1139&gt;=Assumptions!$B$12),"No Irrigation Needed","Monitor"))</f>
        <v>Monitor</v>
      </c>
      <c r="O1139" s="6" t="n">
        <f aca="false">IF(N1139=G1139,1,0)</f>
        <v>1</v>
      </c>
    </row>
    <row r="1140" customFormat="false" ht="15" hidden="false" customHeight="false" outlineLevel="0" collapsed="false">
      <c r="A1140" s="16" t="n">
        <v>27.58258929</v>
      </c>
      <c r="B1140" s="16" t="n">
        <v>95.8445641</v>
      </c>
      <c r="C1140" s="16" t="n">
        <v>25.3924625889856</v>
      </c>
      <c r="D1140" s="6" t="s">
        <v>57</v>
      </c>
      <c r="E1140" s="6" t="s">
        <v>57</v>
      </c>
      <c r="F1140" s="6" t="s">
        <v>23</v>
      </c>
      <c r="G1140" s="6" t="s">
        <v>61</v>
      </c>
      <c r="H1140" s="6" t="s">
        <v>63</v>
      </c>
      <c r="I1140" s="6" t="str">
        <f aca="false">IF(A1140&lt;Outliers!$E$6,"Low",IF(A1140&gt;Outliers!$F$6,"High",""))</f>
        <v/>
      </c>
      <c r="J1140" s="6" t="str">
        <f aca="false">IF(B1140&lt;Outliers!$E$7,"Low",IF(B1140&gt;Outliers!$F$7,"High",""))</f>
        <v/>
      </c>
      <c r="K1140" s="6" t="str">
        <f aca="false">IF(C1140&lt;Outliers!$E$8,"Low",IF(C1140&gt;Outliers!$F$8,"High",""))</f>
        <v/>
      </c>
      <c r="L1140" s="6" t="str">
        <f aca="false">A1140&amp;";"&amp;B1140&amp;";"&amp;C1140</f>
        <v>27.58258929;95.8445641;25.3924625889856</v>
      </c>
      <c r="M1140" s="6" t="n">
        <f aca="false">IF(COUNTIF($L$2:$L$2201,L1140)&gt;1,1,0)</f>
        <v>0</v>
      </c>
      <c r="N1140" s="6" t="str">
        <f aca="false">IF(AND(C1140&lt;Assumptions!$B$9,B1140&lt;Assumptions!$B$10),"Irrigate Now",IF(AND(C1140&gt;=Assumptions!$B$11,B1140&gt;=Assumptions!$B$12),"No Irrigation Needed","Monitor"))</f>
        <v>Monitor</v>
      </c>
      <c r="O1140" s="6" t="n">
        <f aca="false">IF(N1140=G1140,1,0)</f>
        <v>1</v>
      </c>
    </row>
    <row r="1141" customFormat="false" ht="15" hidden="false" customHeight="false" outlineLevel="0" collapsed="false">
      <c r="A1141" s="16" t="n">
        <v>29.38471637</v>
      </c>
      <c r="B1141" s="16" t="n">
        <v>100.8124659</v>
      </c>
      <c r="C1141" s="16" t="n">
        <v>13.3225006855374</v>
      </c>
      <c r="D1141" s="6" t="s">
        <v>57</v>
      </c>
      <c r="E1141" s="6" t="s">
        <v>57</v>
      </c>
      <c r="F1141" s="6" t="s">
        <v>24</v>
      </c>
      <c r="G1141" s="6" t="s">
        <v>61</v>
      </c>
      <c r="H1141" s="6" t="s">
        <v>63</v>
      </c>
      <c r="I1141" s="6" t="str">
        <f aca="false">IF(A1141&lt;Outliers!$E$6,"Low",IF(A1141&gt;Outliers!$F$6,"High",""))</f>
        <v/>
      </c>
      <c r="J1141" s="6" t="str">
        <f aca="false">IF(B1141&lt;Outliers!$E$7,"Low",IF(B1141&gt;Outliers!$F$7,"High",""))</f>
        <v/>
      </c>
      <c r="K1141" s="6" t="str">
        <f aca="false">IF(C1141&lt;Outliers!$E$8,"Low",IF(C1141&gt;Outliers!$F$8,"High",""))</f>
        <v/>
      </c>
      <c r="L1141" s="6" t="str">
        <f aca="false">A1141&amp;";"&amp;B1141&amp;";"&amp;C1141</f>
        <v>29.38471637;100.8124659;13.3225006855374</v>
      </c>
      <c r="M1141" s="6" t="n">
        <f aca="false">IF(COUNTIF($L$2:$L$2201,L1141)&gt;1,1,0)</f>
        <v>0</v>
      </c>
      <c r="N1141" s="6" t="str">
        <f aca="false">IF(AND(C1141&lt;Assumptions!$B$9,B1141&lt;Assumptions!$B$10),"Irrigate Now",IF(AND(C1141&gt;=Assumptions!$B$11,B1141&gt;=Assumptions!$B$12),"No Irrigation Needed","Monitor"))</f>
        <v>Monitor</v>
      </c>
      <c r="O1141" s="6" t="n">
        <f aca="false">IF(N1141=G1141,1,0)</f>
        <v>1</v>
      </c>
    </row>
    <row r="1142" customFormat="false" ht="15" hidden="false" customHeight="false" outlineLevel="0" collapsed="false">
      <c r="A1142" s="16" t="n">
        <v>32.38697531</v>
      </c>
      <c r="B1142" s="16" t="n">
        <v>90.21633216</v>
      </c>
      <c r="C1142" s="16" t="n">
        <v>25.6864585405054</v>
      </c>
      <c r="D1142" s="6" t="s">
        <v>67</v>
      </c>
      <c r="E1142" s="6" t="s">
        <v>57</v>
      </c>
      <c r="F1142" s="6" t="s">
        <v>23</v>
      </c>
      <c r="G1142" s="6" t="s">
        <v>61</v>
      </c>
      <c r="H1142" s="6" t="s">
        <v>63</v>
      </c>
      <c r="I1142" s="6" t="str">
        <f aca="false">IF(A1142&lt;Outliers!$E$6,"Low",IF(A1142&gt;Outliers!$F$6,"High",""))</f>
        <v/>
      </c>
      <c r="J1142" s="6" t="str">
        <f aca="false">IF(B1142&lt;Outliers!$E$7,"Low",IF(B1142&gt;Outliers!$F$7,"High",""))</f>
        <v/>
      </c>
      <c r="K1142" s="6" t="str">
        <f aca="false">IF(C1142&lt;Outliers!$E$8,"Low",IF(C1142&gt;Outliers!$F$8,"High",""))</f>
        <v/>
      </c>
      <c r="L1142" s="6" t="str">
        <f aca="false">A1142&amp;";"&amp;B1142&amp;";"&amp;C1142</f>
        <v>32.38697531;90.21633216;25.6864585405054</v>
      </c>
      <c r="M1142" s="6" t="n">
        <f aca="false">IF(COUNTIF($L$2:$L$2201,L1142)&gt;1,1,0)</f>
        <v>0</v>
      </c>
      <c r="N1142" s="6" t="str">
        <f aca="false">IF(AND(C1142&lt;Assumptions!$B$9,B1142&lt;Assumptions!$B$10),"Irrigate Now",IF(AND(C1142&gt;=Assumptions!$B$11,B1142&gt;=Assumptions!$B$12),"No Irrigation Needed","Monitor"))</f>
        <v>Monitor</v>
      </c>
      <c r="O1142" s="6" t="n">
        <f aca="false">IF(N1142=G1142,1,0)</f>
        <v>1</v>
      </c>
    </row>
    <row r="1143" customFormat="false" ht="15" hidden="false" customHeight="false" outlineLevel="0" collapsed="false">
      <c r="A1143" s="16" t="n">
        <v>30.91471455</v>
      </c>
      <c r="B1143" s="16" t="n">
        <v>90.14047759</v>
      </c>
      <c r="C1143" s="16" t="n">
        <v>18.1341743172165</v>
      </c>
      <c r="D1143" s="6" t="s">
        <v>67</v>
      </c>
      <c r="E1143" s="6" t="s">
        <v>57</v>
      </c>
      <c r="F1143" s="6" t="s">
        <v>60</v>
      </c>
      <c r="G1143" s="6" t="s">
        <v>61</v>
      </c>
      <c r="H1143" s="6" t="s">
        <v>68</v>
      </c>
      <c r="I1143" s="6" t="str">
        <f aca="false">IF(A1143&lt;Outliers!$E$6,"Low",IF(A1143&gt;Outliers!$F$6,"High",""))</f>
        <v/>
      </c>
      <c r="J1143" s="6" t="str">
        <f aca="false">IF(B1143&lt;Outliers!$E$7,"Low",IF(B1143&gt;Outliers!$F$7,"High",""))</f>
        <v/>
      </c>
      <c r="K1143" s="6" t="str">
        <f aca="false">IF(C1143&lt;Outliers!$E$8,"Low",IF(C1143&gt;Outliers!$F$8,"High",""))</f>
        <v/>
      </c>
      <c r="L1143" s="6" t="str">
        <f aca="false">A1143&amp;";"&amp;B1143&amp;";"&amp;C1143</f>
        <v>30.91471455;90.14047759;18.1341743172165</v>
      </c>
      <c r="M1143" s="6" t="n">
        <f aca="false">IF(COUNTIF($L$2:$L$2201,L1143)&gt;1,1,0)</f>
        <v>0</v>
      </c>
      <c r="N1143" s="6" t="str">
        <f aca="false">IF(AND(C1143&lt;Assumptions!$B$9,B1143&lt;Assumptions!$B$10),"Irrigate Now",IF(AND(C1143&gt;=Assumptions!$B$11,B1143&gt;=Assumptions!$B$12),"No Irrigation Needed","Monitor"))</f>
        <v>Monitor</v>
      </c>
      <c r="O1143" s="6" t="n">
        <f aca="false">IF(N1143=G1143,1,0)</f>
        <v>1</v>
      </c>
    </row>
    <row r="1144" customFormat="false" ht="15" hidden="false" customHeight="false" outlineLevel="0" collapsed="false">
      <c r="A1144" s="16" t="n">
        <v>35.37775595</v>
      </c>
      <c r="B1144" s="16" t="n">
        <v>97.41586402</v>
      </c>
      <c r="C1144" s="16" t="n">
        <v>12.2509509339046</v>
      </c>
      <c r="D1144" s="6" t="s">
        <v>67</v>
      </c>
      <c r="E1144" s="6" t="s">
        <v>57</v>
      </c>
      <c r="F1144" s="6" t="s">
        <v>24</v>
      </c>
      <c r="G1144" s="6" t="s">
        <v>64</v>
      </c>
      <c r="H1144" s="6" t="s">
        <v>65</v>
      </c>
      <c r="I1144" s="6" t="str">
        <f aca="false">IF(A1144&lt;Outliers!$E$6,"Low",IF(A1144&gt;Outliers!$F$6,"High",""))</f>
        <v/>
      </c>
      <c r="J1144" s="6" t="str">
        <f aca="false">IF(B1144&lt;Outliers!$E$7,"Low",IF(B1144&gt;Outliers!$F$7,"High",""))</f>
        <v/>
      </c>
      <c r="K1144" s="6" t="str">
        <f aca="false">IF(C1144&lt;Outliers!$E$8,"Low",IF(C1144&gt;Outliers!$F$8,"High",""))</f>
        <v/>
      </c>
      <c r="L1144" s="6" t="str">
        <f aca="false">A1144&amp;";"&amp;B1144&amp;";"&amp;C1144</f>
        <v>35.37775595;97.41586402;12.2509509339046</v>
      </c>
      <c r="M1144" s="6" t="n">
        <f aca="false">IF(COUNTIF($L$2:$L$2201,L1144)&gt;1,1,0)</f>
        <v>0</v>
      </c>
      <c r="N1144" s="6" t="str">
        <f aca="false">IF(AND(C1144&lt;Assumptions!$B$9,B1144&lt;Assumptions!$B$10),"Irrigate Now",IF(AND(C1144&gt;=Assumptions!$B$11,B1144&gt;=Assumptions!$B$12),"No Irrigation Needed","Monitor"))</f>
        <v>Irrigate Now</v>
      </c>
      <c r="O1144" s="6" t="n">
        <f aca="false">IF(N1144=G1144,1,0)</f>
        <v>1</v>
      </c>
    </row>
    <row r="1145" customFormat="false" ht="15" hidden="false" customHeight="false" outlineLevel="0" collapsed="false">
      <c r="A1145" s="16" t="n">
        <v>32.32362177</v>
      </c>
      <c r="B1145" s="16" t="n">
        <v>93.36718816</v>
      </c>
      <c r="C1145" s="16" t="n">
        <v>29.9343658223307</v>
      </c>
      <c r="D1145" s="6" t="s">
        <v>67</v>
      </c>
      <c r="E1145" s="6" t="s">
        <v>57</v>
      </c>
      <c r="F1145" s="6" t="s">
        <v>23</v>
      </c>
      <c r="G1145" s="6" t="s">
        <v>61</v>
      </c>
      <c r="H1145" s="6" t="s">
        <v>63</v>
      </c>
      <c r="I1145" s="6" t="str">
        <f aca="false">IF(A1145&lt;Outliers!$E$6,"Low",IF(A1145&gt;Outliers!$F$6,"High",""))</f>
        <v/>
      </c>
      <c r="J1145" s="6" t="str">
        <f aca="false">IF(B1145&lt;Outliers!$E$7,"Low",IF(B1145&gt;Outliers!$F$7,"High",""))</f>
        <v/>
      </c>
      <c r="K1145" s="6" t="str">
        <f aca="false">IF(C1145&lt;Outliers!$E$8,"Low",IF(C1145&gt;Outliers!$F$8,"High",""))</f>
        <v/>
      </c>
      <c r="L1145" s="6" t="str">
        <f aca="false">A1145&amp;";"&amp;B1145&amp;";"&amp;C1145</f>
        <v>32.32362177;93.36718816;29.9343658223307</v>
      </c>
      <c r="M1145" s="6" t="n">
        <f aca="false">IF(COUNTIF($L$2:$L$2201,L1145)&gt;1,1,0)</f>
        <v>0</v>
      </c>
      <c r="N1145" s="6" t="str">
        <f aca="false">IF(AND(C1145&lt;Assumptions!$B$9,B1145&lt;Assumptions!$B$10),"Irrigate Now",IF(AND(C1145&gt;=Assumptions!$B$11,B1145&gt;=Assumptions!$B$12),"No Irrigation Needed","Monitor"))</f>
        <v>Monitor</v>
      </c>
      <c r="O1145" s="6" t="n">
        <f aca="false">IF(N1145=G1145,1,0)</f>
        <v>1</v>
      </c>
    </row>
    <row r="1146" customFormat="false" ht="15" hidden="false" customHeight="false" outlineLevel="0" collapsed="false">
      <c r="A1146" s="16" t="n">
        <v>28.22373428</v>
      </c>
      <c r="B1146" s="16" t="n">
        <v>97.76832322</v>
      </c>
      <c r="C1146" s="16" t="n">
        <v>14.3839058382498</v>
      </c>
      <c r="D1146" s="6" t="s">
        <v>57</v>
      </c>
      <c r="E1146" s="6" t="s">
        <v>57</v>
      </c>
      <c r="F1146" s="6" t="s">
        <v>24</v>
      </c>
      <c r="G1146" s="6" t="s">
        <v>64</v>
      </c>
      <c r="H1146" s="6" t="s">
        <v>65</v>
      </c>
      <c r="I1146" s="6" t="str">
        <f aca="false">IF(A1146&lt;Outliers!$E$6,"Low",IF(A1146&gt;Outliers!$F$6,"High",""))</f>
        <v/>
      </c>
      <c r="J1146" s="6" t="str">
        <f aca="false">IF(B1146&lt;Outliers!$E$7,"Low",IF(B1146&gt;Outliers!$F$7,"High",""))</f>
        <v/>
      </c>
      <c r="K1146" s="6" t="str">
        <f aca="false">IF(C1146&lt;Outliers!$E$8,"Low",IF(C1146&gt;Outliers!$F$8,"High",""))</f>
        <v/>
      </c>
      <c r="L1146" s="6" t="str">
        <f aca="false">A1146&amp;";"&amp;B1146&amp;";"&amp;C1146</f>
        <v>28.22373428;97.76832322;14.3839058382498</v>
      </c>
      <c r="M1146" s="6" t="n">
        <f aca="false">IF(COUNTIF($L$2:$L$2201,L1146)&gt;1,1,0)</f>
        <v>0</v>
      </c>
      <c r="N1146" s="6" t="str">
        <f aca="false">IF(AND(C1146&lt;Assumptions!$B$9,B1146&lt;Assumptions!$B$10),"Irrigate Now",IF(AND(C1146&gt;=Assumptions!$B$11,B1146&gt;=Assumptions!$B$12),"No Irrigation Needed","Monitor"))</f>
        <v>Irrigate Now</v>
      </c>
      <c r="O1146" s="6" t="n">
        <f aca="false">IF(N1146=G1146,1,0)</f>
        <v>1</v>
      </c>
    </row>
    <row r="1147" customFormat="false" ht="15" hidden="false" customHeight="false" outlineLevel="0" collapsed="false">
      <c r="A1147" s="16" t="n">
        <v>27.27433181</v>
      </c>
      <c r="B1147" s="16" t="n">
        <v>95.257992</v>
      </c>
      <c r="C1147" s="16" t="n">
        <v>20.9503677405835</v>
      </c>
      <c r="D1147" s="6" t="s">
        <v>57</v>
      </c>
      <c r="E1147" s="6" t="s">
        <v>57</v>
      </c>
      <c r="F1147" s="6" t="s">
        <v>60</v>
      </c>
      <c r="G1147" s="6" t="s">
        <v>61</v>
      </c>
      <c r="H1147" s="6" t="s">
        <v>63</v>
      </c>
      <c r="I1147" s="6" t="str">
        <f aca="false">IF(A1147&lt;Outliers!$E$6,"Low",IF(A1147&gt;Outliers!$F$6,"High",""))</f>
        <v/>
      </c>
      <c r="J1147" s="6" t="str">
        <f aca="false">IF(B1147&lt;Outliers!$E$7,"Low",IF(B1147&gt;Outliers!$F$7,"High",""))</f>
        <v/>
      </c>
      <c r="K1147" s="6" t="str">
        <f aca="false">IF(C1147&lt;Outliers!$E$8,"Low",IF(C1147&gt;Outliers!$F$8,"High",""))</f>
        <v/>
      </c>
      <c r="L1147" s="6" t="str">
        <f aca="false">A1147&amp;";"&amp;B1147&amp;";"&amp;C1147</f>
        <v>27.27433181;95.257992;20.9503677405835</v>
      </c>
      <c r="M1147" s="6" t="n">
        <f aca="false">IF(COUNTIF($L$2:$L$2201,L1147)&gt;1,1,0)</f>
        <v>0</v>
      </c>
      <c r="N1147" s="6" t="str">
        <f aca="false">IF(AND(C1147&lt;Assumptions!$B$9,B1147&lt;Assumptions!$B$10),"Irrigate Now",IF(AND(C1147&gt;=Assumptions!$B$11,B1147&gt;=Assumptions!$B$12),"No Irrigation Needed","Monitor"))</f>
        <v>Monitor</v>
      </c>
      <c r="O1147" s="6" t="n">
        <f aca="false">IF(N1147=G1147,1,0)</f>
        <v>1</v>
      </c>
    </row>
    <row r="1148" customFormat="false" ht="15" hidden="false" customHeight="false" outlineLevel="0" collapsed="false">
      <c r="A1148" s="16" t="n">
        <v>27.10710832</v>
      </c>
      <c r="B1148" s="16" t="n">
        <v>92.37238878</v>
      </c>
      <c r="C1148" s="16" t="n">
        <v>17.7873945028644</v>
      </c>
      <c r="D1148" s="6" t="s">
        <v>57</v>
      </c>
      <c r="E1148" s="6" t="s">
        <v>57</v>
      </c>
      <c r="F1148" s="6" t="s">
        <v>60</v>
      </c>
      <c r="G1148" s="6" t="s">
        <v>64</v>
      </c>
      <c r="H1148" s="6" t="s">
        <v>65</v>
      </c>
      <c r="I1148" s="6" t="str">
        <f aca="false">IF(A1148&lt;Outliers!$E$6,"Low",IF(A1148&gt;Outliers!$F$6,"High",""))</f>
        <v/>
      </c>
      <c r="J1148" s="6" t="str">
        <f aca="false">IF(B1148&lt;Outliers!$E$7,"Low",IF(B1148&gt;Outliers!$F$7,"High",""))</f>
        <v/>
      </c>
      <c r="K1148" s="6" t="str">
        <f aca="false">IF(C1148&lt;Outliers!$E$8,"Low",IF(C1148&gt;Outliers!$F$8,"High",""))</f>
        <v/>
      </c>
      <c r="L1148" s="6" t="str">
        <f aca="false">A1148&amp;";"&amp;B1148&amp;";"&amp;C1148</f>
        <v>27.10710832;92.37238878;17.7873945028644</v>
      </c>
      <c r="M1148" s="6" t="n">
        <f aca="false">IF(COUNTIF($L$2:$L$2201,L1148)&gt;1,1,0)</f>
        <v>0</v>
      </c>
      <c r="N1148" s="6" t="str">
        <f aca="false">IF(AND(C1148&lt;Assumptions!$B$9,B1148&lt;Assumptions!$B$10),"Irrigate Now",IF(AND(C1148&gt;=Assumptions!$B$11,B1148&gt;=Assumptions!$B$12),"No Irrigation Needed","Monitor"))</f>
        <v>Irrigate Now</v>
      </c>
      <c r="O1148" s="6" t="n">
        <f aca="false">IF(N1148=G1148,1,0)</f>
        <v>1</v>
      </c>
    </row>
    <row r="1149" customFormat="false" ht="15" hidden="false" customHeight="false" outlineLevel="0" collapsed="false">
      <c r="A1149" s="16" t="n">
        <v>34.89226666</v>
      </c>
      <c r="B1149" s="16" t="n">
        <v>91.63074547</v>
      </c>
      <c r="C1149" s="16" t="n">
        <v>17.7127735118015</v>
      </c>
      <c r="D1149" s="6" t="s">
        <v>67</v>
      </c>
      <c r="E1149" s="6" t="s">
        <v>57</v>
      </c>
      <c r="F1149" s="6" t="s">
        <v>60</v>
      </c>
      <c r="G1149" s="6" t="s">
        <v>64</v>
      </c>
      <c r="H1149" s="6" t="s">
        <v>65</v>
      </c>
      <c r="I1149" s="6" t="str">
        <f aca="false">IF(A1149&lt;Outliers!$E$6,"Low",IF(A1149&gt;Outliers!$F$6,"High",""))</f>
        <v/>
      </c>
      <c r="J1149" s="6" t="str">
        <f aca="false">IF(B1149&lt;Outliers!$E$7,"Low",IF(B1149&gt;Outliers!$F$7,"High",""))</f>
        <v/>
      </c>
      <c r="K1149" s="6" t="str">
        <f aca="false">IF(C1149&lt;Outliers!$E$8,"Low",IF(C1149&gt;Outliers!$F$8,"High",""))</f>
        <v/>
      </c>
      <c r="L1149" s="6" t="str">
        <f aca="false">A1149&amp;";"&amp;B1149&amp;";"&amp;C1149</f>
        <v>34.89226666;91.63074547;17.7127735118015</v>
      </c>
      <c r="M1149" s="6" t="n">
        <f aca="false">IF(COUNTIF($L$2:$L$2201,L1149)&gt;1,1,0)</f>
        <v>0</v>
      </c>
      <c r="N1149" s="6" t="str">
        <f aca="false">IF(AND(C1149&lt;Assumptions!$B$9,B1149&lt;Assumptions!$B$10),"Irrigate Now",IF(AND(C1149&gt;=Assumptions!$B$11,B1149&gt;=Assumptions!$B$12),"No Irrigation Needed","Monitor"))</f>
        <v>Irrigate Now</v>
      </c>
      <c r="O1149" s="6" t="n">
        <f aca="false">IF(N1149=G1149,1,0)</f>
        <v>1</v>
      </c>
    </row>
    <row r="1150" customFormat="false" ht="15" hidden="false" customHeight="false" outlineLevel="0" collapsed="false">
      <c r="A1150" s="16" t="n">
        <v>33.7462686</v>
      </c>
      <c r="B1150" s="16" t="n">
        <v>92.26439205</v>
      </c>
      <c r="C1150" s="16" t="n">
        <v>20.5020788816764</v>
      </c>
      <c r="D1150" s="6" t="s">
        <v>67</v>
      </c>
      <c r="E1150" s="6" t="s">
        <v>57</v>
      </c>
      <c r="F1150" s="6" t="s">
        <v>60</v>
      </c>
      <c r="G1150" s="6" t="s">
        <v>61</v>
      </c>
      <c r="H1150" s="6" t="s">
        <v>68</v>
      </c>
      <c r="I1150" s="6" t="str">
        <f aca="false">IF(A1150&lt;Outliers!$E$6,"Low",IF(A1150&gt;Outliers!$F$6,"High",""))</f>
        <v/>
      </c>
      <c r="J1150" s="6" t="str">
        <f aca="false">IF(B1150&lt;Outliers!$E$7,"Low",IF(B1150&gt;Outliers!$F$7,"High",""))</f>
        <v/>
      </c>
      <c r="K1150" s="6" t="str">
        <f aca="false">IF(C1150&lt;Outliers!$E$8,"Low",IF(C1150&gt;Outliers!$F$8,"High",""))</f>
        <v/>
      </c>
      <c r="L1150" s="6" t="str">
        <f aca="false">A1150&amp;";"&amp;B1150&amp;";"&amp;C1150</f>
        <v>33.7462686;92.26439205;20.5020788816764</v>
      </c>
      <c r="M1150" s="6" t="n">
        <f aca="false">IF(COUNTIF($L$2:$L$2201,L1150)&gt;1,1,0)</f>
        <v>0</v>
      </c>
      <c r="N1150" s="6" t="str">
        <f aca="false">IF(AND(C1150&lt;Assumptions!$B$9,B1150&lt;Assumptions!$B$10),"Irrigate Now",IF(AND(C1150&gt;=Assumptions!$B$11,B1150&gt;=Assumptions!$B$12),"No Irrigation Needed","Monitor"))</f>
        <v>Monitor</v>
      </c>
      <c r="O1150" s="6" t="n">
        <f aca="false">IF(N1150=G1150,1,0)</f>
        <v>1</v>
      </c>
    </row>
    <row r="1151" customFormat="false" ht="15" hidden="false" customHeight="false" outlineLevel="0" collapsed="false">
      <c r="A1151" s="16" t="n">
        <v>27.3511056</v>
      </c>
      <c r="B1151" s="16" t="n">
        <v>96.27792547</v>
      </c>
      <c r="C1151" s="16" t="n">
        <v>25.3547387849963</v>
      </c>
      <c r="D1151" s="6" t="s">
        <v>57</v>
      </c>
      <c r="E1151" s="6" t="s">
        <v>57</v>
      </c>
      <c r="F1151" s="6" t="s">
        <v>23</v>
      </c>
      <c r="G1151" s="6" t="s">
        <v>61</v>
      </c>
      <c r="H1151" s="6" t="s">
        <v>63</v>
      </c>
      <c r="I1151" s="6" t="str">
        <f aca="false">IF(A1151&lt;Outliers!$E$6,"Low",IF(A1151&gt;Outliers!$F$6,"High",""))</f>
        <v/>
      </c>
      <c r="J1151" s="6" t="str">
        <f aca="false">IF(B1151&lt;Outliers!$E$7,"Low",IF(B1151&gt;Outliers!$F$7,"High",""))</f>
        <v/>
      </c>
      <c r="K1151" s="6" t="str">
        <f aca="false">IF(C1151&lt;Outliers!$E$8,"Low",IF(C1151&gt;Outliers!$F$8,"High",""))</f>
        <v/>
      </c>
      <c r="L1151" s="6" t="str">
        <f aca="false">A1151&amp;";"&amp;B1151&amp;";"&amp;C1151</f>
        <v>27.3511056;96.27792547;25.3547387849963</v>
      </c>
      <c r="M1151" s="6" t="n">
        <f aca="false">IF(COUNTIF($L$2:$L$2201,L1151)&gt;1,1,0)</f>
        <v>0</v>
      </c>
      <c r="N1151" s="6" t="str">
        <f aca="false">IF(AND(C1151&lt;Assumptions!$B$9,B1151&lt;Assumptions!$B$10),"Irrigate Now",IF(AND(C1151&gt;=Assumptions!$B$11,B1151&gt;=Assumptions!$B$12),"No Irrigation Needed","Monitor"))</f>
        <v>Monitor</v>
      </c>
      <c r="O1151" s="6" t="n">
        <f aca="false">IF(N1151=G1151,1,0)</f>
        <v>1</v>
      </c>
    </row>
    <row r="1152" customFormat="false" ht="15" hidden="false" customHeight="false" outlineLevel="0" collapsed="false">
      <c r="A1152" s="16" t="n">
        <v>32.89300162</v>
      </c>
      <c r="B1152" s="16" t="n">
        <v>94.49161372</v>
      </c>
      <c r="C1152" s="16" t="n">
        <v>13.8561051739054</v>
      </c>
      <c r="D1152" s="6" t="s">
        <v>67</v>
      </c>
      <c r="E1152" s="6" t="s">
        <v>57</v>
      </c>
      <c r="F1152" s="6" t="s">
        <v>24</v>
      </c>
      <c r="G1152" s="6" t="s">
        <v>64</v>
      </c>
      <c r="H1152" s="6" t="s">
        <v>65</v>
      </c>
      <c r="I1152" s="6" t="str">
        <f aca="false">IF(A1152&lt;Outliers!$E$6,"Low",IF(A1152&gt;Outliers!$F$6,"High",""))</f>
        <v/>
      </c>
      <c r="J1152" s="6" t="str">
        <f aca="false">IF(B1152&lt;Outliers!$E$7,"Low",IF(B1152&gt;Outliers!$F$7,"High",""))</f>
        <v/>
      </c>
      <c r="K1152" s="6" t="str">
        <f aca="false">IF(C1152&lt;Outliers!$E$8,"Low",IF(C1152&gt;Outliers!$F$8,"High",""))</f>
        <v/>
      </c>
      <c r="L1152" s="6" t="str">
        <f aca="false">A1152&amp;";"&amp;B1152&amp;";"&amp;C1152</f>
        <v>32.89300162;94.49161372;13.8561051739054</v>
      </c>
      <c r="M1152" s="6" t="n">
        <f aca="false">IF(COUNTIF($L$2:$L$2201,L1152)&gt;1,1,0)</f>
        <v>0</v>
      </c>
      <c r="N1152" s="6" t="str">
        <f aca="false">IF(AND(C1152&lt;Assumptions!$B$9,B1152&lt;Assumptions!$B$10),"Irrigate Now",IF(AND(C1152&gt;=Assumptions!$B$11,B1152&gt;=Assumptions!$B$12),"No Irrigation Needed","Monitor"))</f>
        <v>Irrigate Now</v>
      </c>
      <c r="O1152" s="6" t="n">
        <f aca="false">IF(N1152=G1152,1,0)</f>
        <v>1</v>
      </c>
    </row>
    <row r="1153" customFormat="false" ht="15" hidden="false" customHeight="false" outlineLevel="0" collapsed="false">
      <c r="A1153" s="16" t="n">
        <v>35.38598705</v>
      </c>
      <c r="B1153" s="16" t="n">
        <v>90.29643888</v>
      </c>
      <c r="C1153" s="16" t="n">
        <v>18.2091241551623</v>
      </c>
      <c r="D1153" s="6" t="s">
        <v>67</v>
      </c>
      <c r="E1153" s="6" t="s">
        <v>57</v>
      </c>
      <c r="F1153" s="6" t="s">
        <v>60</v>
      </c>
      <c r="G1153" s="6" t="s">
        <v>61</v>
      </c>
      <c r="H1153" s="6" t="s">
        <v>68</v>
      </c>
      <c r="I1153" s="6" t="str">
        <f aca="false">IF(A1153&lt;Outliers!$E$6,"Low",IF(A1153&gt;Outliers!$F$6,"High",""))</f>
        <v/>
      </c>
      <c r="J1153" s="6" t="str">
        <f aca="false">IF(B1153&lt;Outliers!$E$7,"Low",IF(B1153&gt;Outliers!$F$7,"High",""))</f>
        <v/>
      </c>
      <c r="K1153" s="6" t="str">
        <f aca="false">IF(C1153&lt;Outliers!$E$8,"Low",IF(C1153&gt;Outliers!$F$8,"High",""))</f>
        <v/>
      </c>
      <c r="L1153" s="6" t="str">
        <f aca="false">A1153&amp;";"&amp;B1153&amp;";"&amp;C1153</f>
        <v>35.38598705;90.29643888;18.2091241551623</v>
      </c>
      <c r="M1153" s="6" t="n">
        <f aca="false">IF(COUNTIF($L$2:$L$2201,L1153)&gt;1,1,0)</f>
        <v>0</v>
      </c>
      <c r="N1153" s="6" t="str">
        <f aca="false">IF(AND(C1153&lt;Assumptions!$B$9,B1153&lt;Assumptions!$B$10),"Irrigate Now",IF(AND(C1153&gt;=Assumptions!$B$11,B1153&gt;=Assumptions!$B$12),"No Irrigation Needed","Monitor"))</f>
        <v>Monitor</v>
      </c>
      <c r="O1153" s="6" t="n">
        <f aca="false">IF(N1153=G1153,1,0)</f>
        <v>1</v>
      </c>
    </row>
    <row r="1154" customFormat="false" ht="15" hidden="false" customHeight="false" outlineLevel="0" collapsed="false">
      <c r="A1154" s="16" t="n">
        <v>27.5529736</v>
      </c>
      <c r="B1154" s="16" t="n">
        <v>90.40332704</v>
      </c>
      <c r="C1154" s="16" t="n">
        <v>10.7839593112886</v>
      </c>
      <c r="D1154" s="6" t="s">
        <v>57</v>
      </c>
      <c r="E1154" s="6" t="s">
        <v>57</v>
      </c>
      <c r="F1154" s="6" t="s">
        <v>24</v>
      </c>
      <c r="G1154" s="6" t="s">
        <v>64</v>
      </c>
      <c r="H1154" s="6" t="s">
        <v>65</v>
      </c>
      <c r="I1154" s="6" t="str">
        <f aca="false">IF(A1154&lt;Outliers!$E$6,"Low",IF(A1154&gt;Outliers!$F$6,"High",""))</f>
        <v/>
      </c>
      <c r="J1154" s="6" t="str">
        <f aca="false">IF(B1154&lt;Outliers!$E$7,"Low",IF(B1154&gt;Outliers!$F$7,"High",""))</f>
        <v/>
      </c>
      <c r="K1154" s="6" t="str">
        <f aca="false">IF(C1154&lt;Outliers!$E$8,"Low",IF(C1154&gt;Outliers!$F$8,"High",""))</f>
        <v/>
      </c>
      <c r="L1154" s="6" t="str">
        <f aca="false">A1154&amp;";"&amp;B1154&amp;";"&amp;C1154</f>
        <v>27.5529736;90.40332704;10.7839593112886</v>
      </c>
      <c r="M1154" s="6" t="n">
        <f aca="false">IF(COUNTIF($L$2:$L$2201,L1154)&gt;1,1,0)</f>
        <v>0</v>
      </c>
      <c r="N1154" s="6" t="str">
        <f aca="false">IF(AND(C1154&lt;Assumptions!$B$9,B1154&lt;Assumptions!$B$10),"Irrigate Now",IF(AND(C1154&gt;=Assumptions!$B$11,B1154&gt;=Assumptions!$B$12),"No Irrigation Needed","Monitor"))</f>
        <v>Irrigate Now</v>
      </c>
      <c r="O1154" s="6" t="n">
        <f aca="false">IF(N1154=G1154,1,0)</f>
        <v>1</v>
      </c>
    </row>
    <row r="1155" customFormat="false" ht="15" hidden="false" customHeight="false" outlineLevel="0" collapsed="false">
      <c r="A1155" s="16" t="n">
        <v>32.82141065</v>
      </c>
      <c r="B1155" s="16" t="n">
        <v>90.89173106</v>
      </c>
      <c r="C1155" s="16" t="n">
        <v>26.9249313581068</v>
      </c>
      <c r="D1155" s="6" t="s">
        <v>67</v>
      </c>
      <c r="E1155" s="6" t="s">
        <v>57</v>
      </c>
      <c r="F1155" s="6" t="s">
        <v>23</v>
      </c>
      <c r="G1155" s="6" t="s">
        <v>61</v>
      </c>
      <c r="H1155" s="6" t="s">
        <v>63</v>
      </c>
      <c r="I1155" s="6" t="str">
        <f aca="false">IF(A1155&lt;Outliers!$E$6,"Low",IF(A1155&gt;Outliers!$F$6,"High",""))</f>
        <v/>
      </c>
      <c r="J1155" s="6" t="str">
        <f aca="false">IF(B1155&lt;Outliers!$E$7,"Low",IF(B1155&gt;Outliers!$F$7,"High",""))</f>
        <v/>
      </c>
      <c r="K1155" s="6" t="str">
        <f aca="false">IF(C1155&lt;Outliers!$E$8,"Low",IF(C1155&gt;Outliers!$F$8,"High",""))</f>
        <v/>
      </c>
      <c r="L1155" s="6" t="str">
        <f aca="false">A1155&amp;";"&amp;B1155&amp;";"&amp;C1155</f>
        <v>32.82141065;90.89173106;26.9249313581068</v>
      </c>
      <c r="M1155" s="6" t="n">
        <f aca="false">IF(COUNTIF($L$2:$L$2201,L1155)&gt;1,1,0)</f>
        <v>0</v>
      </c>
      <c r="N1155" s="6" t="str">
        <f aca="false">IF(AND(C1155&lt;Assumptions!$B$9,B1155&lt;Assumptions!$B$10),"Irrigate Now",IF(AND(C1155&gt;=Assumptions!$B$11,B1155&gt;=Assumptions!$B$12),"No Irrigation Needed","Monitor"))</f>
        <v>Monitor</v>
      </c>
      <c r="O1155" s="6" t="n">
        <f aca="false">IF(N1155=G1155,1,0)</f>
        <v>1</v>
      </c>
    </row>
    <row r="1156" customFormat="false" ht="15" hidden="false" customHeight="false" outlineLevel="0" collapsed="false">
      <c r="A1156" s="16" t="n">
        <v>30.17294105</v>
      </c>
      <c r="B1156" s="16" t="n">
        <v>95.23444287</v>
      </c>
      <c r="C1156" s="16" t="n">
        <v>22.3680350307716</v>
      </c>
      <c r="D1156" s="6" t="s">
        <v>67</v>
      </c>
      <c r="E1156" s="6" t="s">
        <v>57</v>
      </c>
      <c r="F1156" s="6" t="s">
        <v>60</v>
      </c>
      <c r="G1156" s="6" t="s">
        <v>61</v>
      </c>
      <c r="H1156" s="6" t="s">
        <v>63</v>
      </c>
      <c r="I1156" s="6" t="str">
        <f aca="false">IF(A1156&lt;Outliers!$E$6,"Low",IF(A1156&gt;Outliers!$F$6,"High",""))</f>
        <v/>
      </c>
      <c r="J1156" s="6" t="str">
        <f aca="false">IF(B1156&lt;Outliers!$E$7,"Low",IF(B1156&gt;Outliers!$F$7,"High",""))</f>
        <v/>
      </c>
      <c r="K1156" s="6" t="str">
        <f aca="false">IF(C1156&lt;Outliers!$E$8,"Low",IF(C1156&gt;Outliers!$F$8,"High",""))</f>
        <v/>
      </c>
      <c r="L1156" s="6" t="str">
        <f aca="false">A1156&amp;";"&amp;B1156&amp;";"&amp;C1156</f>
        <v>30.17294105;95.23444287;22.3680350307716</v>
      </c>
      <c r="M1156" s="6" t="n">
        <f aca="false">IF(COUNTIF($L$2:$L$2201,L1156)&gt;1,1,0)</f>
        <v>0</v>
      </c>
      <c r="N1156" s="6" t="str">
        <f aca="false">IF(AND(C1156&lt;Assumptions!$B$9,B1156&lt;Assumptions!$B$10),"Irrigate Now",IF(AND(C1156&gt;=Assumptions!$B$11,B1156&gt;=Assumptions!$B$12),"No Irrigation Needed","Monitor"))</f>
        <v>Monitor</v>
      </c>
      <c r="O1156" s="6" t="n">
        <f aca="false">IF(N1156=G1156,1,0)</f>
        <v>1</v>
      </c>
    </row>
    <row r="1157" customFormat="false" ht="15" hidden="false" customHeight="false" outlineLevel="0" collapsed="false">
      <c r="A1157" s="16" t="n">
        <v>29.26382931</v>
      </c>
      <c r="B1157" s="16" t="n">
        <v>100.7586226</v>
      </c>
      <c r="C1157" s="16" t="n">
        <v>25.6297377636253</v>
      </c>
      <c r="D1157" s="6" t="s">
        <v>57</v>
      </c>
      <c r="E1157" s="6" t="s">
        <v>57</v>
      </c>
      <c r="F1157" s="6" t="s">
        <v>23</v>
      </c>
      <c r="G1157" s="6" t="s">
        <v>58</v>
      </c>
      <c r="H1157" s="6" t="s">
        <v>59</v>
      </c>
      <c r="I1157" s="6" t="str">
        <f aca="false">IF(A1157&lt;Outliers!$E$6,"Low",IF(A1157&gt;Outliers!$F$6,"High",""))</f>
        <v/>
      </c>
      <c r="J1157" s="6" t="str">
        <f aca="false">IF(B1157&lt;Outliers!$E$7,"Low",IF(B1157&gt;Outliers!$F$7,"High",""))</f>
        <v/>
      </c>
      <c r="K1157" s="6" t="str">
        <f aca="false">IF(C1157&lt;Outliers!$E$8,"Low",IF(C1157&gt;Outliers!$F$8,"High",""))</f>
        <v/>
      </c>
      <c r="L1157" s="6" t="str">
        <f aca="false">A1157&amp;";"&amp;B1157&amp;";"&amp;C1157</f>
        <v>29.26382931;100.7586226;25.6297377636253</v>
      </c>
      <c r="M1157" s="6" t="n">
        <f aca="false">IF(COUNTIF($L$2:$L$2201,L1157)&gt;1,1,0)</f>
        <v>0</v>
      </c>
      <c r="N1157" s="6" t="str">
        <f aca="false">IF(AND(C1157&lt;Assumptions!$B$9,B1157&lt;Assumptions!$B$10),"Irrigate Now",IF(AND(C1157&gt;=Assumptions!$B$11,B1157&gt;=Assumptions!$B$12),"No Irrigation Needed","Monitor"))</f>
        <v>No Irrigation Needed</v>
      </c>
      <c r="O1157" s="6" t="n">
        <f aca="false">IF(N1157=G1157,1,0)</f>
        <v>1</v>
      </c>
    </row>
    <row r="1158" customFormat="false" ht="15" hidden="false" customHeight="false" outlineLevel="0" collapsed="false">
      <c r="A1158" s="16" t="n">
        <v>32.06097197</v>
      </c>
      <c r="B1158" s="16" t="n">
        <v>96.59816497</v>
      </c>
      <c r="C1158" s="16" t="n">
        <v>12.3969798790566</v>
      </c>
      <c r="D1158" s="6" t="s">
        <v>67</v>
      </c>
      <c r="E1158" s="6" t="s">
        <v>57</v>
      </c>
      <c r="F1158" s="6" t="s">
        <v>24</v>
      </c>
      <c r="G1158" s="6" t="s">
        <v>64</v>
      </c>
      <c r="H1158" s="6" t="s">
        <v>65</v>
      </c>
      <c r="I1158" s="6" t="str">
        <f aca="false">IF(A1158&lt;Outliers!$E$6,"Low",IF(A1158&gt;Outliers!$F$6,"High",""))</f>
        <v/>
      </c>
      <c r="J1158" s="6" t="str">
        <f aca="false">IF(B1158&lt;Outliers!$E$7,"Low",IF(B1158&gt;Outliers!$F$7,"High",""))</f>
        <v/>
      </c>
      <c r="K1158" s="6" t="str">
        <f aca="false">IF(C1158&lt;Outliers!$E$8,"Low",IF(C1158&gt;Outliers!$F$8,"High",""))</f>
        <v/>
      </c>
      <c r="L1158" s="6" t="str">
        <f aca="false">A1158&amp;";"&amp;B1158&amp;";"&amp;C1158</f>
        <v>32.06097197;96.59816497;12.3969798790566</v>
      </c>
      <c r="M1158" s="6" t="n">
        <f aca="false">IF(COUNTIF($L$2:$L$2201,L1158)&gt;1,1,0)</f>
        <v>0</v>
      </c>
      <c r="N1158" s="6" t="str">
        <f aca="false">IF(AND(C1158&lt;Assumptions!$B$9,B1158&lt;Assumptions!$B$10),"Irrigate Now",IF(AND(C1158&gt;=Assumptions!$B$11,B1158&gt;=Assumptions!$B$12),"No Irrigation Needed","Monitor"))</f>
        <v>Irrigate Now</v>
      </c>
      <c r="O1158" s="6" t="n">
        <f aca="false">IF(N1158=G1158,1,0)</f>
        <v>1</v>
      </c>
    </row>
    <row r="1159" customFormat="false" ht="15" hidden="false" customHeight="false" outlineLevel="0" collapsed="false">
      <c r="A1159" s="16" t="n">
        <v>28.69818144</v>
      </c>
      <c r="B1159" s="16" t="n">
        <v>99.642454</v>
      </c>
      <c r="C1159" s="16" t="n">
        <v>12.3926411043235</v>
      </c>
      <c r="D1159" s="6" t="s">
        <v>57</v>
      </c>
      <c r="E1159" s="6" t="s">
        <v>57</v>
      </c>
      <c r="F1159" s="6" t="s">
        <v>24</v>
      </c>
      <c r="G1159" s="6" t="s">
        <v>64</v>
      </c>
      <c r="H1159" s="6" t="s">
        <v>65</v>
      </c>
      <c r="I1159" s="6" t="str">
        <f aca="false">IF(A1159&lt;Outliers!$E$6,"Low",IF(A1159&gt;Outliers!$F$6,"High",""))</f>
        <v/>
      </c>
      <c r="J1159" s="6" t="str">
        <f aca="false">IF(B1159&lt;Outliers!$E$7,"Low",IF(B1159&gt;Outliers!$F$7,"High",""))</f>
        <v/>
      </c>
      <c r="K1159" s="6" t="str">
        <f aca="false">IF(C1159&lt;Outliers!$E$8,"Low",IF(C1159&gt;Outliers!$F$8,"High",""))</f>
        <v/>
      </c>
      <c r="L1159" s="6" t="str">
        <f aca="false">A1159&amp;";"&amp;B1159&amp;";"&amp;C1159</f>
        <v>28.69818144;99.642454;12.3926411043235</v>
      </c>
      <c r="M1159" s="6" t="n">
        <f aca="false">IF(COUNTIF($L$2:$L$2201,L1159)&gt;1,1,0)</f>
        <v>0</v>
      </c>
      <c r="N1159" s="6" t="str">
        <f aca="false">IF(AND(C1159&lt;Assumptions!$B$9,B1159&lt;Assumptions!$B$10),"Irrigate Now",IF(AND(C1159&gt;=Assumptions!$B$11,B1159&gt;=Assumptions!$B$12),"No Irrigation Needed","Monitor"))</f>
        <v>Irrigate Now</v>
      </c>
      <c r="O1159" s="6" t="n">
        <f aca="false">IF(N1159=G1159,1,0)</f>
        <v>1</v>
      </c>
    </row>
    <row r="1160" customFormat="false" ht="15" hidden="false" customHeight="false" outlineLevel="0" collapsed="false">
      <c r="A1160" s="16" t="n">
        <v>29.14305008</v>
      </c>
      <c r="B1160" s="16" t="n">
        <v>97.55155537</v>
      </c>
      <c r="C1160" s="16" t="n">
        <v>15.6771923028707</v>
      </c>
      <c r="D1160" s="6" t="s">
        <v>57</v>
      </c>
      <c r="E1160" s="6" t="s">
        <v>57</v>
      </c>
      <c r="F1160" s="6" t="s">
        <v>24</v>
      </c>
      <c r="G1160" s="6" t="s">
        <v>64</v>
      </c>
      <c r="H1160" s="6" t="s">
        <v>65</v>
      </c>
      <c r="I1160" s="6" t="str">
        <f aca="false">IF(A1160&lt;Outliers!$E$6,"Low",IF(A1160&gt;Outliers!$F$6,"High",""))</f>
        <v/>
      </c>
      <c r="J1160" s="6" t="str">
        <f aca="false">IF(B1160&lt;Outliers!$E$7,"Low",IF(B1160&gt;Outliers!$F$7,"High",""))</f>
        <v/>
      </c>
      <c r="K1160" s="6" t="str">
        <f aca="false">IF(C1160&lt;Outliers!$E$8,"Low",IF(C1160&gt;Outliers!$F$8,"High",""))</f>
        <v/>
      </c>
      <c r="L1160" s="6" t="str">
        <f aca="false">A1160&amp;";"&amp;B1160&amp;";"&amp;C1160</f>
        <v>29.14305008;97.55155537;15.6771923028707</v>
      </c>
      <c r="M1160" s="6" t="n">
        <f aca="false">IF(COUNTIF($L$2:$L$2201,L1160)&gt;1,1,0)</f>
        <v>0</v>
      </c>
      <c r="N1160" s="6" t="str">
        <f aca="false">IF(AND(C1160&lt;Assumptions!$B$9,B1160&lt;Assumptions!$B$10),"Irrigate Now",IF(AND(C1160&gt;=Assumptions!$B$11,B1160&gt;=Assumptions!$B$12),"No Irrigation Needed","Monitor"))</f>
        <v>Irrigate Now</v>
      </c>
      <c r="O1160" s="6" t="n">
        <f aca="false">IF(N1160=G1160,1,0)</f>
        <v>1</v>
      </c>
    </row>
    <row r="1161" customFormat="false" ht="15" hidden="false" customHeight="false" outlineLevel="0" collapsed="false">
      <c r="A1161" s="16" t="n">
        <v>28.3471611</v>
      </c>
      <c r="B1161" s="16" t="n">
        <v>90.40260445</v>
      </c>
      <c r="C1161" s="16" t="n">
        <v>28.7962718125816</v>
      </c>
      <c r="D1161" s="6" t="s">
        <v>57</v>
      </c>
      <c r="E1161" s="6" t="s">
        <v>57</v>
      </c>
      <c r="F1161" s="6" t="s">
        <v>23</v>
      </c>
      <c r="G1161" s="6" t="s">
        <v>61</v>
      </c>
      <c r="H1161" s="6" t="s">
        <v>63</v>
      </c>
      <c r="I1161" s="6" t="str">
        <f aca="false">IF(A1161&lt;Outliers!$E$6,"Low",IF(A1161&gt;Outliers!$F$6,"High",""))</f>
        <v/>
      </c>
      <c r="J1161" s="6" t="str">
        <f aca="false">IF(B1161&lt;Outliers!$E$7,"Low",IF(B1161&gt;Outliers!$F$7,"High",""))</f>
        <v/>
      </c>
      <c r="K1161" s="6" t="str">
        <f aca="false">IF(C1161&lt;Outliers!$E$8,"Low",IF(C1161&gt;Outliers!$F$8,"High",""))</f>
        <v/>
      </c>
      <c r="L1161" s="6" t="str">
        <f aca="false">A1161&amp;";"&amp;B1161&amp;";"&amp;C1161</f>
        <v>28.3471611;90.40260445;28.7962718125816</v>
      </c>
      <c r="M1161" s="6" t="n">
        <f aca="false">IF(COUNTIF($L$2:$L$2201,L1161)&gt;1,1,0)</f>
        <v>0</v>
      </c>
      <c r="N1161" s="6" t="str">
        <f aca="false">IF(AND(C1161&lt;Assumptions!$B$9,B1161&lt;Assumptions!$B$10),"Irrigate Now",IF(AND(C1161&gt;=Assumptions!$B$11,B1161&gt;=Assumptions!$B$12),"No Irrigation Needed","Monitor"))</f>
        <v>Monitor</v>
      </c>
      <c r="O1161" s="6" t="n">
        <f aca="false">IF(N1161=G1161,1,0)</f>
        <v>1</v>
      </c>
    </row>
    <row r="1162" customFormat="false" ht="15" hidden="false" customHeight="false" outlineLevel="0" collapsed="false">
      <c r="A1162" s="16" t="n">
        <v>27.67256197</v>
      </c>
      <c r="B1162" s="16" t="n">
        <v>92.84991507</v>
      </c>
      <c r="C1162" s="16" t="n">
        <v>24.2463023312874</v>
      </c>
      <c r="D1162" s="6" t="s">
        <v>57</v>
      </c>
      <c r="E1162" s="6" t="s">
        <v>57</v>
      </c>
      <c r="F1162" s="6" t="s">
        <v>23</v>
      </c>
      <c r="G1162" s="6" t="s">
        <v>61</v>
      </c>
      <c r="H1162" s="6" t="s">
        <v>63</v>
      </c>
      <c r="I1162" s="6" t="str">
        <f aca="false">IF(A1162&lt;Outliers!$E$6,"Low",IF(A1162&gt;Outliers!$F$6,"High",""))</f>
        <v/>
      </c>
      <c r="J1162" s="6" t="str">
        <f aca="false">IF(B1162&lt;Outliers!$E$7,"Low",IF(B1162&gt;Outliers!$F$7,"High",""))</f>
        <v/>
      </c>
      <c r="K1162" s="6" t="str">
        <f aca="false">IF(C1162&lt;Outliers!$E$8,"Low",IF(C1162&gt;Outliers!$F$8,"High",""))</f>
        <v/>
      </c>
      <c r="L1162" s="6" t="str">
        <f aca="false">A1162&amp;";"&amp;B1162&amp;";"&amp;C1162</f>
        <v>27.67256197;92.84991507;24.2463023312874</v>
      </c>
      <c r="M1162" s="6" t="n">
        <f aca="false">IF(COUNTIF($L$2:$L$2201,L1162)&gt;1,1,0)</f>
        <v>0</v>
      </c>
      <c r="N1162" s="6" t="str">
        <f aca="false">IF(AND(C1162&lt;Assumptions!$B$9,B1162&lt;Assumptions!$B$10),"Irrigate Now",IF(AND(C1162&gt;=Assumptions!$B$11,B1162&gt;=Assumptions!$B$12),"No Irrigation Needed","Monitor"))</f>
        <v>Monitor</v>
      </c>
      <c r="O1162" s="6" t="n">
        <f aca="false">IF(N1162=G1162,1,0)</f>
        <v>1</v>
      </c>
    </row>
    <row r="1163" customFormat="false" ht="15" hidden="false" customHeight="false" outlineLevel="0" collapsed="false">
      <c r="A1163" s="16" t="n">
        <v>28.1218093</v>
      </c>
      <c r="B1163" s="16" t="n">
        <v>93.30247448</v>
      </c>
      <c r="C1163" s="16" t="n">
        <v>10.6916811539433</v>
      </c>
      <c r="D1163" s="6" t="s">
        <v>57</v>
      </c>
      <c r="E1163" s="6" t="s">
        <v>57</v>
      </c>
      <c r="F1163" s="6" t="s">
        <v>24</v>
      </c>
      <c r="G1163" s="6" t="s">
        <v>64</v>
      </c>
      <c r="H1163" s="6" t="s">
        <v>65</v>
      </c>
      <c r="I1163" s="6" t="str">
        <f aca="false">IF(A1163&lt;Outliers!$E$6,"Low",IF(A1163&gt;Outliers!$F$6,"High",""))</f>
        <v/>
      </c>
      <c r="J1163" s="6" t="str">
        <f aca="false">IF(B1163&lt;Outliers!$E$7,"Low",IF(B1163&gt;Outliers!$F$7,"High",""))</f>
        <v/>
      </c>
      <c r="K1163" s="6" t="str">
        <f aca="false">IF(C1163&lt;Outliers!$E$8,"Low",IF(C1163&gt;Outliers!$F$8,"High",""))</f>
        <v/>
      </c>
      <c r="L1163" s="6" t="str">
        <f aca="false">A1163&amp;";"&amp;B1163&amp;";"&amp;C1163</f>
        <v>28.1218093;93.30247448;10.6916811539433</v>
      </c>
      <c r="M1163" s="6" t="n">
        <f aca="false">IF(COUNTIF($L$2:$L$2201,L1163)&gt;1,1,0)</f>
        <v>0</v>
      </c>
      <c r="N1163" s="6" t="str">
        <f aca="false">IF(AND(C1163&lt;Assumptions!$B$9,B1163&lt;Assumptions!$B$10),"Irrigate Now",IF(AND(C1163&gt;=Assumptions!$B$11,B1163&gt;=Assumptions!$B$12),"No Irrigation Needed","Monitor"))</f>
        <v>Irrigate Now</v>
      </c>
      <c r="O1163" s="6" t="n">
        <f aca="false">IF(N1163=G1163,1,0)</f>
        <v>1</v>
      </c>
    </row>
    <row r="1164" customFormat="false" ht="15" hidden="false" customHeight="false" outlineLevel="0" collapsed="false">
      <c r="A1164" s="16" t="n">
        <v>30.79375683</v>
      </c>
      <c r="B1164" s="16" t="n">
        <v>92.21318555</v>
      </c>
      <c r="C1164" s="16" t="n">
        <v>28.6439456482842</v>
      </c>
      <c r="D1164" s="6" t="s">
        <v>67</v>
      </c>
      <c r="E1164" s="6" t="s">
        <v>57</v>
      </c>
      <c r="F1164" s="6" t="s">
        <v>23</v>
      </c>
      <c r="G1164" s="6" t="s">
        <v>61</v>
      </c>
      <c r="H1164" s="6" t="s">
        <v>63</v>
      </c>
      <c r="I1164" s="6" t="str">
        <f aca="false">IF(A1164&lt;Outliers!$E$6,"Low",IF(A1164&gt;Outliers!$F$6,"High",""))</f>
        <v/>
      </c>
      <c r="J1164" s="6" t="str">
        <f aca="false">IF(B1164&lt;Outliers!$E$7,"Low",IF(B1164&gt;Outliers!$F$7,"High",""))</f>
        <v/>
      </c>
      <c r="K1164" s="6" t="str">
        <f aca="false">IF(C1164&lt;Outliers!$E$8,"Low",IF(C1164&gt;Outliers!$F$8,"High",""))</f>
        <v/>
      </c>
      <c r="L1164" s="6" t="str">
        <f aca="false">A1164&amp;";"&amp;B1164&amp;";"&amp;C1164</f>
        <v>30.79375683;92.21318555;28.6439456482842</v>
      </c>
      <c r="M1164" s="6" t="n">
        <f aca="false">IF(COUNTIF($L$2:$L$2201,L1164)&gt;1,1,0)</f>
        <v>0</v>
      </c>
      <c r="N1164" s="6" t="str">
        <f aca="false">IF(AND(C1164&lt;Assumptions!$B$9,B1164&lt;Assumptions!$B$10),"Irrigate Now",IF(AND(C1164&gt;=Assumptions!$B$11,B1164&gt;=Assumptions!$B$12),"No Irrigation Needed","Monitor"))</f>
        <v>Monitor</v>
      </c>
      <c r="O1164" s="6" t="n">
        <f aca="false">IF(N1164=G1164,1,0)</f>
        <v>1</v>
      </c>
    </row>
    <row r="1165" customFormat="false" ht="15" hidden="false" customHeight="false" outlineLevel="0" collapsed="false">
      <c r="A1165" s="16" t="n">
        <v>28.89409382</v>
      </c>
      <c r="B1165" s="16" t="n">
        <v>94.76322976</v>
      </c>
      <c r="C1165" s="16" t="n">
        <v>11.3494589430735</v>
      </c>
      <c r="D1165" s="6" t="s">
        <v>57</v>
      </c>
      <c r="E1165" s="6" t="s">
        <v>57</v>
      </c>
      <c r="F1165" s="6" t="s">
        <v>24</v>
      </c>
      <c r="G1165" s="6" t="s">
        <v>64</v>
      </c>
      <c r="H1165" s="6" t="s">
        <v>65</v>
      </c>
      <c r="I1165" s="6" t="str">
        <f aca="false">IF(A1165&lt;Outliers!$E$6,"Low",IF(A1165&gt;Outliers!$F$6,"High",""))</f>
        <v/>
      </c>
      <c r="J1165" s="6" t="str">
        <f aca="false">IF(B1165&lt;Outliers!$E$7,"Low",IF(B1165&gt;Outliers!$F$7,"High",""))</f>
        <v/>
      </c>
      <c r="K1165" s="6" t="str">
        <f aca="false">IF(C1165&lt;Outliers!$E$8,"Low",IF(C1165&gt;Outliers!$F$8,"High",""))</f>
        <v/>
      </c>
      <c r="L1165" s="6" t="str">
        <f aca="false">A1165&amp;";"&amp;B1165&amp;";"&amp;C1165</f>
        <v>28.89409382;94.76322976;11.3494589430735</v>
      </c>
      <c r="M1165" s="6" t="n">
        <f aca="false">IF(COUNTIF($L$2:$L$2201,L1165)&gt;1,1,0)</f>
        <v>0</v>
      </c>
      <c r="N1165" s="6" t="str">
        <f aca="false">IF(AND(C1165&lt;Assumptions!$B$9,B1165&lt;Assumptions!$B$10),"Irrigate Now",IF(AND(C1165&gt;=Assumptions!$B$11,B1165&gt;=Assumptions!$B$12),"No Irrigation Needed","Monitor"))</f>
        <v>Irrigate Now</v>
      </c>
      <c r="O1165" s="6" t="n">
        <f aca="false">IF(N1165=G1165,1,0)</f>
        <v>1</v>
      </c>
    </row>
    <row r="1166" customFormat="false" ht="15" hidden="false" customHeight="false" outlineLevel="0" collapsed="false">
      <c r="A1166" s="16" t="n">
        <v>33.33024826</v>
      </c>
      <c r="B1166" s="16" t="n">
        <v>98.28583013</v>
      </c>
      <c r="C1166" s="16" t="n">
        <v>15.8866459773969</v>
      </c>
      <c r="D1166" s="6" t="s">
        <v>67</v>
      </c>
      <c r="E1166" s="6" t="s">
        <v>57</v>
      </c>
      <c r="F1166" s="6" t="s">
        <v>24</v>
      </c>
      <c r="G1166" s="6" t="s">
        <v>64</v>
      </c>
      <c r="H1166" s="6" t="s">
        <v>65</v>
      </c>
      <c r="I1166" s="6" t="str">
        <f aca="false">IF(A1166&lt;Outliers!$E$6,"Low",IF(A1166&gt;Outliers!$F$6,"High",""))</f>
        <v/>
      </c>
      <c r="J1166" s="6" t="str">
        <f aca="false">IF(B1166&lt;Outliers!$E$7,"Low",IF(B1166&gt;Outliers!$F$7,"High",""))</f>
        <v/>
      </c>
      <c r="K1166" s="6" t="str">
        <f aca="false">IF(C1166&lt;Outliers!$E$8,"Low",IF(C1166&gt;Outliers!$F$8,"High",""))</f>
        <v/>
      </c>
      <c r="L1166" s="6" t="str">
        <f aca="false">A1166&amp;";"&amp;B1166&amp;";"&amp;C1166</f>
        <v>33.33024826;98.28583013;15.8866459773969</v>
      </c>
      <c r="M1166" s="6" t="n">
        <f aca="false">IF(COUNTIF($L$2:$L$2201,L1166)&gt;1,1,0)</f>
        <v>0</v>
      </c>
      <c r="N1166" s="6" t="str">
        <f aca="false">IF(AND(C1166&lt;Assumptions!$B$9,B1166&lt;Assumptions!$B$10),"Irrigate Now",IF(AND(C1166&gt;=Assumptions!$B$11,B1166&gt;=Assumptions!$B$12),"No Irrigation Needed","Monitor"))</f>
        <v>Irrigate Now</v>
      </c>
      <c r="O1166" s="6" t="n">
        <f aca="false">IF(N1166=G1166,1,0)</f>
        <v>1</v>
      </c>
    </row>
    <row r="1167" customFormat="false" ht="15" hidden="false" customHeight="false" outlineLevel="0" collapsed="false">
      <c r="A1167" s="16" t="n">
        <v>27.78912455</v>
      </c>
      <c r="B1167" s="16" t="n">
        <v>91.01152997</v>
      </c>
      <c r="C1167" s="16" t="n">
        <v>12.0005061549494</v>
      </c>
      <c r="D1167" s="6" t="s">
        <v>57</v>
      </c>
      <c r="E1167" s="6" t="s">
        <v>57</v>
      </c>
      <c r="F1167" s="6" t="s">
        <v>24</v>
      </c>
      <c r="G1167" s="6" t="s">
        <v>64</v>
      </c>
      <c r="H1167" s="6" t="s">
        <v>65</v>
      </c>
      <c r="I1167" s="6" t="str">
        <f aca="false">IF(A1167&lt;Outliers!$E$6,"Low",IF(A1167&gt;Outliers!$F$6,"High",""))</f>
        <v/>
      </c>
      <c r="J1167" s="6" t="str">
        <f aca="false">IF(B1167&lt;Outliers!$E$7,"Low",IF(B1167&gt;Outliers!$F$7,"High",""))</f>
        <v/>
      </c>
      <c r="K1167" s="6" t="str">
        <f aca="false">IF(C1167&lt;Outliers!$E$8,"Low",IF(C1167&gt;Outliers!$F$8,"High",""))</f>
        <v/>
      </c>
      <c r="L1167" s="6" t="str">
        <f aca="false">A1167&amp;";"&amp;B1167&amp;";"&amp;C1167</f>
        <v>27.78912455;91.01152997;12.0005061549494</v>
      </c>
      <c r="M1167" s="6" t="n">
        <f aca="false">IF(COUNTIF($L$2:$L$2201,L1167)&gt;1,1,0)</f>
        <v>0</v>
      </c>
      <c r="N1167" s="6" t="str">
        <f aca="false">IF(AND(C1167&lt;Assumptions!$B$9,B1167&lt;Assumptions!$B$10),"Irrigate Now",IF(AND(C1167&gt;=Assumptions!$B$11,B1167&gt;=Assumptions!$B$12),"No Irrigation Needed","Monitor"))</f>
        <v>Irrigate Now</v>
      </c>
      <c r="O1167" s="6" t="n">
        <f aca="false">IF(N1167=G1167,1,0)</f>
        <v>1</v>
      </c>
    </row>
    <row r="1168" customFormat="false" ht="15" hidden="false" customHeight="false" outlineLevel="0" collapsed="false">
      <c r="A1168" s="16" t="n">
        <v>31.65333432</v>
      </c>
      <c r="B1168" s="16" t="n">
        <v>91.09745581</v>
      </c>
      <c r="C1168" s="16" t="n">
        <v>12.0458185372231</v>
      </c>
      <c r="D1168" s="6" t="s">
        <v>67</v>
      </c>
      <c r="E1168" s="6" t="s">
        <v>57</v>
      </c>
      <c r="F1168" s="6" t="s">
        <v>24</v>
      </c>
      <c r="G1168" s="6" t="s">
        <v>64</v>
      </c>
      <c r="H1168" s="6" t="s">
        <v>65</v>
      </c>
      <c r="I1168" s="6" t="str">
        <f aca="false">IF(A1168&lt;Outliers!$E$6,"Low",IF(A1168&gt;Outliers!$F$6,"High",""))</f>
        <v/>
      </c>
      <c r="J1168" s="6" t="str">
        <f aca="false">IF(B1168&lt;Outliers!$E$7,"Low",IF(B1168&gt;Outliers!$F$7,"High",""))</f>
        <v/>
      </c>
      <c r="K1168" s="6" t="str">
        <f aca="false">IF(C1168&lt;Outliers!$E$8,"Low",IF(C1168&gt;Outliers!$F$8,"High",""))</f>
        <v/>
      </c>
      <c r="L1168" s="6" t="str">
        <f aca="false">A1168&amp;";"&amp;B1168&amp;";"&amp;C1168</f>
        <v>31.65333432;91.09745581;12.0458185372231</v>
      </c>
      <c r="M1168" s="6" t="n">
        <f aca="false">IF(COUNTIF($L$2:$L$2201,L1168)&gt;1,1,0)</f>
        <v>0</v>
      </c>
      <c r="N1168" s="6" t="str">
        <f aca="false">IF(AND(C1168&lt;Assumptions!$B$9,B1168&lt;Assumptions!$B$10),"Irrigate Now",IF(AND(C1168&gt;=Assumptions!$B$11,B1168&gt;=Assumptions!$B$12),"No Irrigation Needed","Monitor"))</f>
        <v>Irrigate Now</v>
      </c>
      <c r="O1168" s="6" t="n">
        <f aca="false">IF(N1168=G1168,1,0)</f>
        <v>1</v>
      </c>
    </row>
    <row r="1169" customFormat="false" ht="15" hidden="false" customHeight="false" outlineLevel="0" collapsed="false">
      <c r="A1169" s="16" t="n">
        <v>29.75150773</v>
      </c>
      <c r="B1169" s="16" t="n">
        <v>91.405983</v>
      </c>
      <c r="C1169" s="16" t="n">
        <v>23.5962826145078</v>
      </c>
      <c r="D1169" s="6" t="s">
        <v>57</v>
      </c>
      <c r="E1169" s="6" t="s">
        <v>57</v>
      </c>
      <c r="F1169" s="6" t="s">
        <v>60</v>
      </c>
      <c r="G1169" s="6" t="s">
        <v>61</v>
      </c>
      <c r="H1169" s="6" t="s">
        <v>63</v>
      </c>
      <c r="I1169" s="6" t="str">
        <f aca="false">IF(A1169&lt;Outliers!$E$6,"Low",IF(A1169&gt;Outliers!$F$6,"High",""))</f>
        <v/>
      </c>
      <c r="J1169" s="6" t="str">
        <f aca="false">IF(B1169&lt;Outliers!$E$7,"Low",IF(B1169&gt;Outliers!$F$7,"High",""))</f>
        <v/>
      </c>
      <c r="K1169" s="6" t="str">
        <f aca="false">IF(C1169&lt;Outliers!$E$8,"Low",IF(C1169&gt;Outliers!$F$8,"High",""))</f>
        <v/>
      </c>
      <c r="L1169" s="6" t="str">
        <f aca="false">A1169&amp;";"&amp;B1169&amp;";"&amp;C1169</f>
        <v>29.75150773;91.405983;23.5962826145078</v>
      </c>
      <c r="M1169" s="6" t="n">
        <f aca="false">IF(COUNTIF($L$2:$L$2201,L1169)&gt;1,1,0)</f>
        <v>0</v>
      </c>
      <c r="N1169" s="6" t="str">
        <f aca="false">IF(AND(C1169&lt;Assumptions!$B$9,B1169&lt;Assumptions!$B$10),"Irrigate Now",IF(AND(C1169&gt;=Assumptions!$B$11,B1169&gt;=Assumptions!$B$12),"No Irrigation Needed","Monitor"))</f>
        <v>Monitor</v>
      </c>
      <c r="O1169" s="6" t="n">
        <f aca="false">IF(N1169=G1169,1,0)</f>
        <v>1</v>
      </c>
    </row>
    <row r="1170" customFormat="false" ht="15" hidden="false" customHeight="false" outlineLevel="0" collapsed="false">
      <c r="A1170" s="16" t="n">
        <v>31.32995611</v>
      </c>
      <c r="B1170" s="16" t="n">
        <v>89.78216168</v>
      </c>
      <c r="C1170" s="16" t="n">
        <v>27.5651373969185</v>
      </c>
      <c r="D1170" s="6" t="s">
        <v>67</v>
      </c>
      <c r="E1170" s="6" t="s">
        <v>57</v>
      </c>
      <c r="F1170" s="6" t="s">
        <v>23</v>
      </c>
      <c r="G1170" s="6" t="s">
        <v>61</v>
      </c>
      <c r="H1170" s="6" t="s">
        <v>63</v>
      </c>
      <c r="I1170" s="6" t="str">
        <f aca="false">IF(A1170&lt;Outliers!$E$6,"Low",IF(A1170&gt;Outliers!$F$6,"High",""))</f>
        <v/>
      </c>
      <c r="J1170" s="6" t="str">
        <f aca="false">IF(B1170&lt;Outliers!$E$7,"Low",IF(B1170&gt;Outliers!$F$7,"High",""))</f>
        <v/>
      </c>
      <c r="K1170" s="6" t="str">
        <f aca="false">IF(C1170&lt;Outliers!$E$8,"Low",IF(C1170&gt;Outliers!$F$8,"High",""))</f>
        <v/>
      </c>
      <c r="L1170" s="6" t="str">
        <f aca="false">A1170&amp;";"&amp;B1170&amp;";"&amp;C1170</f>
        <v>31.32995611;89.78216168;27.5651373969185</v>
      </c>
      <c r="M1170" s="6" t="n">
        <f aca="false">IF(COUNTIF($L$2:$L$2201,L1170)&gt;1,1,0)</f>
        <v>0</v>
      </c>
      <c r="N1170" s="6" t="str">
        <f aca="false">IF(AND(C1170&lt;Assumptions!$B$9,B1170&lt;Assumptions!$B$10),"Irrigate Now",IF(AND(C1170&gt;=Assumptions!$B$11,B1170&gt;=Assumptions!$B$12),"No Irrigation Needed","Monitor"))</f>
        <v>Monitor</v>
      </c>
      <c r="O1170" s="6" t="n">
        <f aca="false">IF(N1170=G1170,1,0)</f>
        <v>1</v>
      </c>
    </row>
    <row r="1171" customFormat="false" ht="15" hidden="false" customHeight="false" outlineLevel="0" collapsed="false">
      <c r="A1171" s="16" t="n">
        <v>35.63627319</v>
      </c>
      <c r="B1171" s="16" t="n">
        <v>97.51952041</v>
      </c>
      <c r="C1171" s="16" t="n">
        <v>21.831943595886</v>
      </c>
      <c r="D1171" s="6" t="s">
        <v>67</v>
      </c>
      <c r="E1171" s="6" t="s">
        <v>57</v>
      </c>
      <c r="F1171" s="6" t="s">
        <v>60</v>
      </c>
      <c r="G1171" s="6" t="s">
        <v>61</v>
      </c>
      <c r="H1171" s="6" t="s">
        <v>68</v>
      </c>
      <c r="I1171" s="6" t="str">
        <f aca="false">IF(A1171&lt;Outliers!$E$6,"Low",IF(A1171&gt;Outliers!$F$6,"High",""))</f>
        <v/>
      </c>
      <c r="J1171" s="6" t="str">
        <f aca="false">IF(B1171&lt;Outliers!$E$7,"Low",IF(B1171&gt;Outliers!$F$7,"High",""))</f>
        <v/>
      </c>
      <c r="K1171" s="6" t="str">
        <f aca="false">IF(C1171&lt;Outliers!$E$8,"Low",IF(C1171&gt;Outliers!$F$8,"High",""))</f>
        <v/>
      </c>
      <c r="L1171" s="6" t="str">
        <f aca="false">A1171&amp;";"&amp;B1171&amp;";"&amp;C1171</f>
        <v>35.63627319;97.51952041;21.831943595886</v>
      </c>
      <c r="M1171" s="6" t="n">
        <f aca="false">IF(COUNTIF($L$2:$L$2201,L1171)&gt;1,1,0)</f>
        <v>0</v>
      </c>
      <c r="N1171" s="6" t="str">
        <f aca="false">IF(AND(C1171&lt;Assumptions!$B$9,B1171&lt;Assumptions!$B$10),"Irrigate Now",IF(AND(C1171&gt;=Assumptions!$B$11,B1171&gt;=Assumptions!$B$12),"No Irrigation Needed","Monitor"))</f>
        <v>Monitor</v>
      </c>
      <c r="O1171" s="6" t="n">
        <f aca="false">IF(N1171=G1171,1,0)</f>
        <v>1</v>
      </c>
    </row>
    <row r="1172" customFormat="false" ht="15" hidden="false" customHeight="false" outlineLevel="0" collapsed="false">
      <c r="A1172" s="16" t="n">
        <v>31.66524687</v>
      </c>
      <c r="B1172" s="16" t="n">
        <v>89.98024312</v>
      </c>
      <c r="C1172" s="16" t="n">
        <v>13.1017883927204</v>
      </c>
      <c r="D1172" s="6" t="s">
        <v>67</v>
      </c>
      <c r="E1172" s="6" t="s">
        <v>57</v>
      </c>
      <c r="F1172" s="6" t="s">
        <v>24</v>
      </c>
      <c r="G1172" s="6" t="s">
        <v>64</v>
      </c>
      <c r="H1172" s="6" t="s">
        <v>65</v>
      </c>
      <c r="I1172" s="6" t="str">
        <f aca="false">IF(A1172&lt;Outliers!$E$6,"Low",IF(A1172&gt;Outliers!$F$6,"High",""))</f>
        <v/>
      </c>
      <c r="J1172" s="6" t="str">
        <f aca="false">IF(B1172&lt;Outliers!$E$7,"Low",IF(B1172&gt;Outliers!$F$7,"High",""))</f>
        <v/>
      </c>
      <c r="K1172" s="6" t="str">
        <f aca="false">IF(C1172&lt;Outliers!$E$8,"Low",IF(C1172&gt;Outliers!$F$8,"High",""))</f>
        <v/>
      </c>
      <c r="L1172" s="6" t="str">
        <f aca="false">A1172&amp;";"&amp;B1172&amp;";"&amp;C1172</f>
        <v>31.66524687;89.98024312;13.1017883927204</v>
      </c>
      <c r="M1172" s="6" t="n">
        <f aca="false">IF(COUNTIF($L$2:$L$2201,L1172)&gt;1,1,0)</f>
        <v>0</v>
      </c>
      <c r="N1172" s="6" t="str">
        <f aca="false">IF(AND(C1172&lt;Assumptions!$B$9,B1172&lt;Assumptions!$B$10),"Irrigate Now",IF(AND(C1172&gt;=Assumptions!$B$11,B1172&gt;=Assumptions!$B$12),"No Irrigation Needed","Monitor"))</f>
        <v>Irrigate Now</v>
      </c>
      <c r="O1172" s="6" t="n">
        <f aca="false">IF(N1172=G1172,1,0)</f>
        <v>1</v>
      </c>
    </row>
    <row r="1173" customFormat="false" ht="15" hidden="false" customHeight="false" outlineLevel="0" collapsed="false">
      <c r="A1173" s="16" t="n">
        <v>32.26935342</v>
      </c>
      <c r="B1173" s="16" t="n">
        <v>95.94035356</v>
      </c>
      <c r="C1173" s="16" t="n">
        <v>29.3402369495556</v>
      </c>
      <c r="D1173" s="6" t="s">
        <v>67</v>
      </c>
      <c r="E1173" s="6" t="s">
        <v>57</v>
      </c>
      <c r="F1173" s="6" t="s">
        <v>23</v>
      </c>
      <c r="G1173" s="6" t="s">
        <v>61</v>
      </c>
      <c r="H1173" s="6" t="s">
        <v>63</v>
      </c>
      <c r="I1173" s="6" t="str">
        <f aca="false">IF(A1173&lt;Outliers!$E$6,"Low",IF(A1173&gt;Outliers!$F$6,"High",""))</f>
        <v/>
      </c>
      <c r="J1173" s="6" t="str">
        <f aca="false">IF(B1173&lt;Outliers!$E$7,"Low",IF(B1173&gt;Outliers!$F$7,"High",""))</f>
        <v/>
      </c>
      <c r="K1173" s="6" t="str">
        <f aca="false">IF(C1173&lt;Outliers!$E$8,"Low",IF(C1173&gt;Outliers!$F$8,"High",""))</f>
        <v/>
      </c>
      <c r="L1173" s="6" t="str">
        <f aca="false">A1173&amp;";"&amp;B1173&amp;";"&amp;C1173</f>
        <v>32.26935342;95.94035356;29.3402369495556</v>
      </c>
      <c r="M1173" s="6" t="n">
        <f aca="false">IF(COUNTIF($L$2:$L$2201,L1173)&gt;1,1,0)</f>
        <v>0</v>
      </c>
      <c r="N1173" s="6" t="str">
        <f aca="false">IF(AND(C1173&lt;Assumptions!$B$9,B1173&lt;Assumptions!$B$10),"Irrigate Now",IF(AND(C1173&gt;=Assumptions!$B$11,B1173&gt;=Assumptions!$B$12),"No Irrigation Needed","Monitor"))</f>
        <v>Monitor</v>
      </c>
      <c r="O1173" s="6" t="n">
        <f aca="false">IF(N1173=G1173,1,0)</f>
        <v>1</v>
      </c>
    </row>
    <row r="1174" customFormat="false" ht="15" hidden="false" customHeight="false" outlineLevel="0" collapsed="false">
      <c r="A1174" s="16" t="n">
        <v>27.81005614</v>
      </c>
      <c r="B1174" s="16" t="n">
        <v>95.89898581</v>
      </c>
      <c r="C1174" s="16" t="n">
        <v>28.4278726931994</v>
      </c>
      <c r="D1174" s="6" t="s">
        <v>57</v>
      </c>
      <c r="E1174" s="6" t="s">
        <v>57</v>
      </c>
      <c r="F1174" s="6" t="s">
        <v>23</v>
      </c>
      <c r="G1174" s="6" t="s">
        <v>61</v>
      </c>
      <c r="H1174" s="6" t="s">
        <v>63</v>
      </c>
      <c r="I1174" s="6" t="str">
        <f aca="false">IF(A1174&lt;Outliers!$E$6,"Low",IF(A1174&gt;Outliers!$F$6,"High",""))</f>
        <v/>
      </c>
      <c r="J1174" s="6" t="str">
        <f aca="false">IF(B1174&lt;Outliers!$E$7,"Low",IF(B1174&gt;Outliers!$F$7,"High",""))</f>
        <v/>
      </c>
      <c r="K1174" s="6" t="str">
        <f aca="false">IF(C1174&lt;Outliers!$E$8,"Low",IF(C1174&gt;Outliers!$F$8,"High",""))</f>
        <v/>
      </c>
      <c r="L1174" s="6" t="str">
        <f aca="false">A1174&amp;";"&amp;B1174&amp;";"&amp;C1174</f>
        <v>27.81005614;95.89898581;28.4278726931994</v>
      </c>
      <c r="M1174" s="6" t="n">
        <f aca="false">IF(COUNTIF($L$2:$L$2201,L1174)&gt;1,1,0)</f>
        <v>0</v>
      </c>
      <c r="N1174" s="6" t="str">
        <f aca="false">IF(AND(C1174&lt;Assumptions!$B$9,B1174&lt;Assumptions!$B$10),"Irrigate Now",IF(AND(C1174&gt;=Assumptions!$B$11,B1174&gt;=Assumptions!$B$12),"No Irrigation Needed","Monitor"))</f>
        <v>Monitor</v>
      </c>
      <c r="O1174" s="6" t="n">
        <f aca="false">IF(N1174=G1174,1,0)</f>
        <v>1</v>
      </c>
    </row>
    <row r="1175" customFormat="false" ht="15" hidden="false" customHeight="false" outlineLevel="0" collapsed="false">
      <c r="A1175" s="16" t="n">
        <v>34.58561471</v>
      </c>
      <c r="B1175" s="16" t="n">
        <v>100.3060719</v>
      </c>
      <c r="C1175" s="16" t="n">
        <v>13.2251381425558</v>
      </c>
      <c r="D1175" s="6" t="s">
        <v>67</v>
      </c>
      <c r="E1175" s="6" t="s">
        <v>57</v>
      </c>
      <c r="F1175" s="6" t="s">
        <v>24</v>
      </c>
      <c r="G1175" s="6" t="s">
        <v>61</v>
      </c>
      <c r="H1175" s="6" t="s">
        <v>68</v>
      </c>
      <c r="I1175" s="6" t="str">
        <f aca="false">IF(A1175&lt;Outliers!$E$6,"Low",IF(A1175&gt;Outliers!$F$6,"High",""))</f>
        <v/>
      </c>
      <c r="J1175" s="6" t="str">
        <f aca="false">IF(B1175&lt;Outliers!$E$7,"Low",IF(B1175&gt;Outliers!$F$7,"High",""))</f>
        <v/>
      </c>
      <c r="K1175" s="6" t="str">
        <f aca="false">IF(C1175&lt;Outliers!$E$8,"Low",IF(C1175&gt;Outliers!$F$8,"High",""))</f>
        <v/>
      </c>
      <c r="L1175" s="6" t="str">
        <f aca="false">A1175&amp;";"&amp;B1175&amp;";"&amp;C1175</f>
        <v>34.58561471;100.3060719;13.2251381425558</v>
      </c>
      <c r="M1175" s="6" t="n">
        <f aca="false">IF(COUNTIF($L$2:$L$2201,L1175)&gt;1,1,0)</f>
        <v>0</v>
      </c>
      <c r="N1175" s="6" t="str">
        <f aca="false">IF(AND(C1175&lt;Assumptions!$B$9,B1175&lt;Assumptions!$B$10),"Irrigate Now",IF(AND(C1175&gt;=Assumptions!$B$11,B1175&gt;=Assumptions!$B$12),"No Irrigation Needed","Monitor"))</f>
        <v>Monitor</v>
      </c>
      <c r="O1175" s="6" t="n">
        <f aca="false">IF(N1175=G1175,1,0)</f>
        <v>1</v>
      </c>
    </row>
    <row r="1176" customFormat="false" ht="15" hidden="false" customHeight="false" outlineLevel="0" collapsed="false">
      <c r="A1176" s="16" t="n">
        <v>31.27180992</v>
      </c>
      <c r="B1176" s="16" t="n">
        <v>89.74409017</v>
      </c>
      <c r="C1176" s="16" t="n">
        <v>27.0721883947995</v>
      </c>
      <c r="D1176" s="6" t="s">
        <v>67</v>
      </c>
      <c r="E1176" s="6" t="s">
        <v>57</v>
      </c>
      <c r="F1176" s="6" t="s">
        <v>23</v>
      </c>
      <c r="G1176" s="6" t="s">
        <v>61</v>
      </c>
      <c r="H1176" s="6" t="s">
        <v>63</v>
      </c>
      <c r="I1176" s="6" t="str">
        <f aca="false">IF(A1176&lt;Outliers!$E$6,"Low",IF(A1176&gt;Outliers!$F$6,"High",""))</f>
        <v/>
      </c>
      <c r="J1176" s="6" t="str">
        <f aca="false">IF(B1176&lt;Outliers!$E$7,"Low",IF(B1176&gt;Outliers!$F$7,"High",""))</f>
        <v/>
      </c>
      <c r="K1176" s="6" t="str">
        <f aca="false">IF(C1176&lt;Outliers!$E$8,"Low",IF(C1176&gt;Outliers!$F$8,"High",""))</f>
        <v/>
      </c>
      <c r="L1176" s="6" t="str">
        <f aca="false">A1176&amp;";"&amp;B1176&amp;";"&amp;C1176</f>
        <v>31.27180992;89.74409017;27.0721883947995</v>
      </c>
      <c r="M1176" s="6" t="n">
        <f aca="false">IF(COUNTIF($L$2:$L$2201,L1176)&gt;1,1,0)</f>
        <v>0</v>
      </c>
      <c r="N1176" s="6" t="str">
        <f aca="false">IF(AND(C1176&lt;Assumptions!$B$9,B1176&lt;Assumptions!$B$10),"Irrigate Now",IF(AND(C1176&gt;=Assumptions!$B$11,B1176&gt;=Assumptions!$B$12),"No Irrigation Needed","Monitor"))</f>
        <v>Monitor</v>
      </c>
      <c r="O1176" s="6" t="n">
        <f aca="false">IF(N1176=G1176,1,0)</f>
        <v>1</v>
      </c>
    </row>
    <row r="1177" customFormat="false" ht="15" hidden="false" customHeight="false" outlineLevel="0" collapsed="false">
      <c r="A1177" s="16" t="n">
        <v>33.93679864</v>
      </c>
      <c r="B1177" s="16" t="n">
        <v>97.4611918</v>
      </c>
      <c r="C1177" s="16" t="n">
        <v>14.4978891510358</v>
      </c>
      <c r="D1177" s="6" t="s">
        <v>67</v>
      </c>
      <c r="E1177" s="6" t="s">
        <v>57</v>
      </c>
      <c r="F1177" s="6" t="s">
        <v>24</v>
      </c>
      <c r="G1177" s="6" t="s">
        <v>64</v>
      </c>
      <c r="H1177" s="6" t="s">
        <v>65</v>
      </c>
      <c r="I1177" s="6" t="str">
        <f aca="false">IF(A1177&lt;Outliers!$E$6,"Low",IF(A1177&gt;Outliers!$F$6,"High",""))</f>
        <v/>
      </c>
      <c r="J1177" s="6" t="str">
        <f aca="false">IF(B1177&lt;Outliers!$E$7,"Low",IF(B1177&gt;Outliers!$F$7,"High",""))</f>
        <v/>
      </c>
      <c r="K1177" s="6" t="str">
        <f aca="false">IF(C1177&lt;Outliers!$E$8,"Low",IF(C1177&gt;Outliers!$F$8,"High",""))</f>
        <v/>
      </c>
      <c r="L1177" s="6" t="str">
        <f aca="false">A1177&amp;";"&amp;B1177&amp;";"&amp;C1177</f>
        <v>33.93679864;97.4611918;14.4978891510358</v>
      </c>
      <c r="M1177" s="6" t="n">
        <f aca="false">IF(COUNTIF($L$2:$L$2201,L1177)&gt;1,1,0)</f>
        <v>0</v>
      </c>
      <c r="N1177" s="6" t="str">
        <f aca="false">IF(AND(C1177&lt;Assumptions!$B$9,B1177&lt;Assumptions!$B$10),"Irrigate Now",IF(AND(C1177&gt;=Assumptions!$B$11,B1177&gt;=Assumptions!$B$12),"No Irrigation Needed","Monitor"))</f>
        <v>Irrigate Now</v>
      </c>
      <c r="O1177" s="6" t="n">
        <f aca="false">IF(N1177=G1177,1,0)</f>
        <v>1</v>
      </c>
    </row>
    <row r="1178" customFormat="false" ht="15" hidden="false" customHeight="false" outlineLevel="0" collapsed="false">
      <c r="A1178" s="16" t="n">
        <v>31.09154239</v>
      </c>
      <c r="B1178" s="16" t="n">
        <v>91.46664318</v>
      </c>
      <c r="C1178" s="16" t="n">
        <v>13.0099337632528</v>
      </c>
      <c r="D1178" s="6" t="s">
        <v>67</v>
      </c>
      <c r="E1178" s="6" t="s">
        <v>57</v>
      </c>
      <c r="F1178" s="6" t="s">
        <v>24</v>
      </c>
      <c r="G1178" s="6" t="s">
        <v>64</v>
      </c>
      <c r="H1178" s="6" t="s">
        <v>65</v>
      </c>
      <c r="I1178" s="6" t="str">
        <f aca="false">IF(A1178&lt;Outliers!$E$6,"Low",IF(A1178&gt;Outliers!$F$6,"High",""))</f>
        <v/>
      </c>
      <c r="J1178" s="6" t="str">
        <f aca="false">IF(B1178&lt;Outliers!$E$7,"Low",IF(B1178&gt;Outliers!$F$7,"High",""))</f>
        <v/>
      </c>
      <c r="K1178" s="6" t="str">
        <f aca="false">IF(C1178&lt;Outliers!$E$8,"Low",IF(C1178&gt;Outliers!$F$8,"High",""))</f>
        <v/>
      </c>
      <c r="L1178" s="6" t="str">
        <f aca="false">A1178&amp;";"&amp;B1178&amp;";"&amp;C1178</f>
        <v>31.09154239;91.46664318;13.0099337632528</v>
      </c>
      <c r="M1178" s="6" t="n">
        <f aca="false">IF(COUNTIF($L$2:$L$2201,L1178)&gt;1,1,0)</f>
        <v>0</v>
      </c>
      <c r="N1178" s="6" t="str">
        <f aca="false">IF(AND(C1178&lt;Assumptions!$B$9,B1178&lt;Assumptions!$B$10),"Irrigate Now",IF(AND(C1178&gt;=Assumptions!$B$11,B1178&gt;=Assumptions!$B$12),"No Irrigation Needed","Monitor"))</f>
        <v>Irrigate Now</v>
      </c>
      <c r="O1178" s="6" t="n">
        <f aca="false">IF(N1178=G1178,1,0)</f>
        <v>1</v>
      </c>
    </row>
    <row r="1179" customFormat="false" ht="15" hidden="false" customHeight="false" outlineLevel="0" collapsed="false">
      <c r="A1179" s="16" t="n">
        <v>31.89356292</v>
      </c>
      <c r="B1179" s="16" t="n">
        <v>89.59371481</v>
      </c>
      <c r="C1179" s="16" t="n">
        <v>19.0785300823225</v>
      </c>
      <c r="D1179" s="6" t="s">
        <v>67</v>
      </c>
      <c r="E1179" s="6" t="s">
        <v>57</v>
      </c>
      <c r="F1179" s="6" t="s">
        <v>60</v>
      </c>
      <c r="G1179" s="6" t="s">
        <v>61</v>
      </c>
      <c r="H1179" s="6" t="s">
        <v>68</v>
      </c>
      <c r="I1179" s="6" t="str">
        <f aca="false">IF(A1179&lt;Outliers!$E$6,"Low",IF(A1179&gt;Outliers!$F$6,"High",""))</f>
        <v/>
      </c>
      <c r="J1179" s="6" t="str">
        <f aca="false">IF(B1179&lt;Outliers!$E$7,"Low",IF(B1179&gt;Outliers!$F$7,"High",""))</f>
        <v/>
      </c>
      <c r="K1179" s="6" t="str">
        <f aca="false">IF(C1179&lt;Outliers!$E$8,"Low",IF(C1179&gt;Outliers!$F$8,"High",""))</f>
        <v/>
      </c>
      <c r="L1179" s="6" t="str">
        <f aca="false">A1179&amp;";"&amp;B1179&amp;";"&amp;C1179</f>
        <v>31.89356292;89.59371481;19.0785300823225</v>
      </c>
      <c r="M1179" s="6" t="n">
        <f aca="false">IF(COUNTIF($L$2:$L$2201,L1179)&gt;1,1,0)</f>
        <v>0</v>
      </c>
      <c r="N1179" s="6" t="str">
        <f aca="false">IF(AND(C1179&lt;Assumptions!$B$9,B1179&lt;Assumptions!$B$10),"Irrigate Now",IF(AND(C1179&gt;=Assumptions!$B$11,B1179&gt;=Assumptions!$B$12),"No Irrigation Needed","Monitor"))</f>
        <v>Monitor</v>
      </c>
      <c r="O1179" s="6" t="n">
        <f aca="false">IF(N1179=G1179,1,0)</f>
        <v>1</v>
      </c>
    </row>
    <row r="1180" customFormat="false" ht="15" hidden="false" customHeight="false" outlineLevel="0" collapsed="false">
      <c r="A1180" s="16" t="n">
        <v>32.45465292</v>
      </c>
      <c r="B1180" s="16" t="n">
        <v>95.04871605</v>
      </c>
      <c r="C1180" s="16" t="n">
        <v>20.1628790809715</v>
      </c>
      <c r="D1180" s="6" t="s">
        <v>67</v>
      </c>
      <c r="E1180" s="6" t="s">
        <v>57</v>
      </c>
      <c r="F1180" s="6" t="s">
        <v>60</v>
      </c>
      <c r="G1180" s="6" t="s">
        <v>61</v>
      </c>
      <c r="H1180" s="6" t="s">
        <v>68</v>
      </c>
      <c r="I1180" s="6" t="str">
        <f aca="false">IF(A1180&lt;Outliers!$E$6,"Low",IF(A1180&gt;Outliers!$F$6,"High",""))</f>
        <v/>
      </c>
      <c r="J1180" s="6" t="str">
        <f aca="false">IF(B1180&lt;Outliers!$E$7,"Low",IF(B1180&gt;Outliers!$F$7,"High",""))</f>
        <v/>
      </c>
      <c r="K1180" s="6" t="str">
        <f aca="false">IF(C1180&lt;Outliers!$E$8,"Low",IF(C1180&gt;Outliers!$F$8,"High",""))</f>
        <v/>
      </c>
      <c r="L1180" s="6" t="str">
        <f aca="false">A1180&amp;";"&amp;B1180&amp;";"&amp;C1180</f>
        <v>32.45465292;95.04871605;20.1628790809715</v>
      </c>
      <c r="M1180" s="6" t="n">
        <f aca="false">IF(COUNTIF($L$2:$L$2201,L1180)&gt;1,1,0)</f>
        <v>0</v>
      </c>
      <c r="N1180" s="6" t="str">
        <f aca="false">IF(AND(C1180&lt;Assumptions!$B$9,B1180&lt;Assumptions!$B$10),"Irrigate Now",IF(AND(C1180&gt;=Assumptions!$B$11,B1180&gt;=Assumptions!$B$12),"No Irrigation Needed","Monitor"))</f>
        <v>Monitor</v>
      </c>
      <c r="O1180" s="6" t="n">
        <f aca="false">IF(N1180=G1180,1,0)</f>
        <v>1</v>
      </c>
    </row>
    <row r="1181" customFormat="false" ht="15" hidden="false" customHeight="false" outlineLevel="0" collapsed="false">
      <c r="A1181" s="16" t="n">
        <v>35.47478322</v>
      </c>
      <c r="B1181" s="16" t="n">
        <v>97.79072474</v>
      </c>
      <c r="C1181" s="16" t="n">
        <v>20.9661993513718</v>
      </c>
      <c r="D1181" s="6" t="s">
        <v>67</v>
      </c>
      <c r="E1181" s="6" t="s">
        <v>57</v>
      </c>
      <c r="F1181" s="6" t="s">
        <v>60</v>
      </c>
      <c r="G1181" s="6" t="s">
        <v>61</v>
      </c>
      <c r="H1181" s="6" t="s">
        <v>68</v>
      </c>
      <c r="I1181" s="6" t="str">
        <f aca="false">IF(A1181&lt;Outliers!$E$6,"Low",IF(A1181&gt;Outliers!$F$6,"High",""))</f>
        <v/>
      </c>
      <c r="J1181" s="6" t="str">
        <f aca="false">IF(B1181&lt;Outliers!$E$7,"Low",IF(B1181&gt;Outliers!$F$7,"High",""))</f>
        <v/>
      </c>
      <c r="K1181" s="6" t="str">
        <f aca="false">IF(C1181&lt;Outliers!$E$8,"Low",IF(C1181&gt;Outliers!$F$8,"High",""))</f>
        <v/>
      </c>
      <c r="L1181" s="6" t="str">
        <f aca="false">A1181&amp;";"&amp;B1181&amp;";"&amp;C1181</f>
        <v>35.47478322;97.79072474;20.9661993513718</v>
      </c>
      <c r="M1181" s="6" t="n">
        <f aca="false">IF(COUNTIF($L$2:$L$2201,L1181)&gt;1,1,0)</f>
        <v>0</v>
      </c>
      <c r="N1181" s="6" t="str">
        <f aca="false">IF(AND(C1181&lt;Assumptions!$B$9,B1181&lt;Assumptions!$B$10),"Irrigate Now",IF(AND(C1181&gt;=Assumptions!$B$11,B1181&gt;=Assumptions!$B$12),"No Irrigation Needed","Monitor"))</f>
        <v>Monitor</v>
      </c>
      <c r="O1181" s="6" t="n">
        <f aca="false">IF(N1181=G1181,1,0)</f>
        <v>1</v>
      </c>
    </row>
    <row r="1182" customFormat="false" ht="15" hidden="false" customHeight="false" outlineLevel="0" collapsed="false">
      <c r="A1182" s="16" t="n">
        <v>27.32961444</v>
      </c>
      <c r="B1182" s="16" t="n">
        <v>93.53197359</v>
      </c>
      <c r="C1182" s="16" t="n">
        <v>16.8289205656312</v>
      </c>
      <c r="D1182" s="6" t="s">
        <v>57</v>
      </c>
      <c r="E1182" s="6" t="s">
        <v>57</v>
      </c>
      <c r="F1182" s="6" t="s">
        <v>24</v>
      </c>
      <c r="G1182" s="6" t="s">
        <v>64</v>
      </c>
      <c r="H1182" s="6" t="s">
        <v>65</v>
      </c>
      <c r="I1182" s="6" t="str">
        <f aca="false">IF(A1182&lt;Outliers!$E$6,"Low",IF(A1182&gt;Outliers!$F$6,"High",""))</f>
        <v/>
      </c>
      <c r="J1182" s="6" t="str">
        <f aca="false">IF(B1182&lt;Outliers!$E$7,"Low",IF(B1182&gt;Outliers!$F$7,"High",""))</f>
        <v/>
      </c>
      <c r="K1182" s="6" t="str">
        <f aca="false">IF(C1182&lt;Outliers!$E$8,"Low",IF(C1182&gt;Outliers!$F$8,"High",""))</f>
        <v/>
      </c>
      <c r="L1182" s="6" t="str">
        <f aca="false">A1182&amp;";"&amp;B1182&amp;";"&amp;C1182</f>
        <v>27.32961444;93.53197359;16.8289205656312</v>
      </c>
      <c r="M1182" s="6" t="n">
        <f aca="false">IF(COUNTIF($L$2:$L$2201,L1182)&gt;1,1,0)</f>
        <v>0</v>
      </c>
      <c r="N1182" s="6" t="str">
        <f aca="false">IF(AND(C1182&lt;Assumptions!$B$9,B1182&lt;Assumptions!$B$10),"Irrigate Now",IF(AND(C1182&gt;=Assumptions!$B$11,B1182&gt;=Assumptions!$B$12),"No Irrigation Needed","Monitor"))</f>
        <v>Irrigate Now</v>
      </c>
      <c r="O1182" s="6" t="n">
        <f aca="false">IF(N1182=G1182,1,0)</f>
        <v>1</v>
      </c>
    </row>
    <row r="1183" customFormat="false" ht="15" hidden="false" customHeight="false" outlineLevel="0" collapsed="false">
      <c r="A1183" s="16" t="n">
        <v>30.90225239</v>
      </c>
      <c r="B1183" s="16" t="n">
        <v>91.77522598</v>
      </c>
      <c r="C1183" s="16" t="n">
        <v>29.6183783603821</v>
      </c>
      <c r="D1183" s="6" t="s">
        <v>67</v>
      </c>
      <c r="E1183" s="6" t="s">
        <v>57</v>
      </c>
      <c r="F1183" s="6" t="s">
        <v>23</v>
      </c>
      <c r="G1183" s="6" t="s">
        <v>61</v>
      </c>
      <c r="H1183" s="6" t="s">
        <v>63</v>
      </c>
      <c r="I1183" s="6" t="str">
        <f aca="false">IF(A1183&lt;Outliers!$E$6,"Low",IF(A1183&gt;Outliers!$F$6,"High",""))</f>
        <v/>
      </c>
      <c r="J1183" s="6" t="str">
        <f aca="false">IF(B1183&lt;Outliers!$E$7,"Low",IF(B1183&gt;Outliers!$F$7,"High",""))</f>
        <v/>
      </c>
      <c r="K1183" s="6" t="str">
        <f aca="false">IF(C1183&lt;Outliers!$E$8,"Low",IF(C1183&gt;Outliers!$F$8,"High",""))</f>
        <v/>
      </c>
      <c r="L1183" s="6" t="str">
        <f aca="false">A1183&amp;";"&amp;B1183&amp;";"&amp;C1183</f>
        <v>30.90225239;91.77522598;29.6183783603821</v>
      </c>
      <c r="M1183" s="6" t="n">
        <f aca="false">IF(COUNTIF($L$2:$L$2201,L1183)&gt;1,1,0)</f>
        <v>0</v>
      </c>
      <c r="N1183" s="6" t="str">
        <f aca="false">IF(AND(C1183&lt;Assumptions!$B$9,B1183&lt;Assumptions!$B$10),"Irrigate Now",IF(AND(C1183&gt;=Assumptions!$B$11,B1183&gt;=Assumptions!$B$12),"No Irrigation Needed","Monitor"))</f>
        <v>Monitor</v>
      </c>
      <c r="O1183" s="6" t="n">
        <f aca="false">IF(N1183=G1183,1,0)</f>
        <v>1</v>
      </c>
    </row>
    <row r="1184" customFormat="false" ht="15" hidden="false" customHeight="false" outlineLevel="0" collapsed="false">
      <c r="A1184" s="16" t="n">
        <v>29.09382275</v>
      </c>
      <c r="B1184" s="16" t="n">
        <v>96.23520043</v>
      </c>
      <c r="C1184" s="16" t="n">
        <v>22.6817039272305</v>
      </c>
      <c r="D1184" s="6" t="s">
        <v>57</v>
      </c>
      <c r="E1184" s="6" t="s">
        <v>57</v>
      </c>
      <c r="F1184" s="6" t="s">
        <v>60</v>
      </c>
      <c r="G1184" s="6" t="s">
        <v>61</v>
      </c>
      <c r="H1184" s="6" t="s">
        <v>63</v>
      </c>
      <c r="I1184" s="6" t="str">
        <f aca="false">IF(A1184&lt;Outliers!$E$6,"Low",IF(A1184&gt;Outliers!$F$6,"High",""))</f>
        <v/>
      </c>
      <c r="J1184" s="6" t="str">
        <f aca="false">IF(B1184&lt;Outliers!$E$7,"Low",IF(B1184&gt;Outliers!$F$7,"High",""))</f>
        <v/>
      </c>
      <c r="K1184" s="6" t="str">
        <f aca="false">IF(C1184&lt;Outliers!$E$8,"Low",IF(C1184&gt;Outliers!$F$8,"High",""))</f>
        <v/>
      </c>
      <c r="L1184" s="6" t="str">
        <f aca="false">A1184&amp;";"&amp;B1184&amp;";"&amp;C1184</f>
        <v>29.09382275;96.23520043;22.6817039272305</v>
      </c>
      <c r="M1184" s="6" t="n">
        <f aca="false">IF(COUNTIF($L$2:$L$2201,L1184)&gt;1,1,0)</f>
        <v>0</v>
      </c>
      <c r="N1184" s="6" t="str">
        <f aca="false">IF(AND(C1184&lt;Assumptions!$B$9,B1184&lt;Assumptions!$B$10),"Irrigate Now",IF(AND(C1184&gt;=Assumptions!$B$11,B1184&gt;=Assumptions!$B$12),"No Irrigation Needed","Monitor"))</f>
        <v>Monitor</v>
      </c>
      <c r="O1184" s="6" t="n">
        <f aca="false">IF(N1184=G1184,1,0)</f>
        <v>1</v>
      </c>
    </row>
    <row r="1185" customFormat="false" ht="15" hidden="false" customHeight="false" outlineLevel="0" collapsed="false">
      <c r="A1185" s="16" t="n">
        <v>30.02086169</v>
      </c>
      <c r="B1185" s="16" t="n">
        <v>96.63721027</v>
      </c>
      <c r="C1185" s="16" t="n">
        <v>11.5517733335992</v>
      </c>
      <c r="D1185" s="6" t="s">
        <v>67</v>
      </c>
      <c r="E1185" s="6" t="s">
        <v>57</v>
      </c>
      <c r="F1185" s="6" t="s">
        <v>24</v>
      </c>
      <c r="G1185" s="6" t="s">
        <v>64</v>
      </c>
      <c r="H1185" s="6" t="s">
        <v>65</v>
      </c>
      <c r="I1185" s="6" t="str">
        <f aca="false">IF(A1185&lt;Outliers!$E$6,"Low",IF(A1185&gt;Outliers!$F$6,"High",""))</f>
        <v/>
      </c>
      <c r="J1185" s="6" t="str">
        <f aca="false">IF(B1185&lt;Outliers!$E$7,"Low",IF(B1185&gt;Outliers!$F$7,"High",""))</f>
        <v/>
      </c>
      <c r="K1185" s="6" t="str">
        <f aca="false">IF(C1185&lt;Outliers!$E$8,"Low",IF(C1185&gt;Outliers!$F$8,"High",""))</f>
        <v/>
      </c>
      <c r="L1185" s="6" t="str">
        <f aca="false">A1185&amp;";"&amp;B1185&amp;";"&amp;C1185</f>
        <v>30.02086169;96.63721027;11.5517733335992</v>
      </c>
      <c r="M1185" s="6" t="n">
        <f aca="false">IF(COUNTIF($L$2:$L$2201,L1185)&gt;1,1,0)</f>
        <v>0</v>
      </c>
      <c r="N1185" s="6" t="str">
        <f aca="false">IF(AND(C1185&lt;Assumptions!$B$9,B1185&lt;Assumptions!$B$10),"Irrigate Now",IF(AND(C1185&gt;=Assumptions!$B$11,B1185&gt;=Assumptions!$B$12),"No Irrigation Needed","Monitor"))</f>
        <v>Irrigate Now</v>
      </c>
      <c r="O1185" s="6" t="n">
        <f aca="false">IF(N1185=G1185,1,0)</f>
        <v>1</v>
      </c>
    </row>
    <row r="1186" customFormat="false" ht="15" hidden="false" customHeight="false" outlineLevel="0" collapsed="false">
      <c r="A1186" s="16" t="n">
        <v>34.13072188</v>
      </c>
      <c r="B1186" s="16" t="n">
        <v>96.38808001</v>
      </c>
      <c r="C1186" s="16" t="n">
        <v>16.1518905226115</v>
      </c>
      <c r="D1186" s="6" t="s">
        <v>67</v>
      </c>
      <c r="E1186" s="6" t="s">
        <v>57</v>
      </c>
      <c r="F1186" s="6" t="s">
        <v>24</v>
      </c>
      <c r="G1186" s="6" t="s">
        <v>64</v>
      </c>
      <c r="H1186" s="6" t="s">
        <v>65</v>
      </c>
      <c r="I1186" s="6" t="str">
        <f aca="false">IF(A1186&lt;Outliers!$E$6,"Low",IF(A1186&gt;Outliers!$F$6,"High",""))</f>
        <v/>
      </c>
      <c r="J1186" s="6" t="str">
        <f aca="false">IF(B1186&lt;Outliers!$E$7,"Low",IF(B1186&gt;Outliers!$F$7,"High",""))</f>
        <v/>
      </c>
      <c r="K1186" s="6" t="str">
        <f aca="false">IF(C1186&lt;Outliers!$E$8,"Low",IF(C1186&gt;Outliers!$F$8,"High",""))</f>
        <v/>
      </c>
      <c r="L1186" s="6" t="str">
        <f aca="false">A1186&amp;";"&amp;B1186&amp;";"&amp;C1186</f>
        <v>34.13072188;96.38808001;16.1518905226115</v>
      </c>
      <c r="M1186" s="6" t="n">
        <f aca="false">IF(COUNTIF($L$2:$L$2201,L1186)&gt;1,1,0)</f>
        <v>0</v>
      </c>
      <c r="N1186" s="6" t="str">
        <f aca="false">IF(AND(C1186&lt;Assumptions!$B$9,B1186&lt;Assumptions!$B$10),"Irrigate Now",IF(AND(C1186&gt;=Assumptions!$B$11,B1186&gt;=Assumptions!$B$12),"No Irrigation Needed","Monitor"))</f>
        <v>Irrigate Now</v>
      </c>
      <c r="O1186" s="6" t="n">
        <f aca="false">IF(N1186=G1186,1,0)</f>
        <v>1</v>
      </c>
    </row>
    <row r="1187" customFormat="false" ht="15" hidden="false" customHeight="false" outlineLevel="0" collapsed="false">
      <c r="A1187" s="16" t="n">
        <v>33.44619894</v>
      </c>
      <c r="B1187" s="16" t="n">
        <v>98.05089394</v>
      </c>
      <c r="C1187" s="16" t="n">
        <v>15.5953147117803</v>
      </c>
      <c r="D1187" s="6" t="s">
        <v>67</v>
      </c>
      <c r="E1187" s="6" t="s">
        <v>57</v>
      </c>
      <c r="F1187" s="6" t="s">
        <v>24</v>
      </c>
      <c r="G1187" s="6" t="s">
        <v>64</v>
      </c>
      <c r="H1187" s="6" t="s">
        <v>65</v>
      </c>
      <c r="I1187" s="6" t="str">
        <f aca="false">IF(A1187&lt;Outliers!$E$6,"Low",IF(A1187&gt;Outliers!$F$6,"High",""))</f>
        <v/>
      </c>
      <c r="J1187" s="6" t="str">
        <f aca="false">IF(B1187&lt;Outliers!$E$7,"Low",IF(B1187&gt;Outliers!$F$7,"High",""))</f>
        <v/>
      </c>
      <c r="K1187" s="6" t="str">
        <f aca="false">IF(C1187&lt;Outliers!$E$8,"Low",IF(C1187&gt;Outliers!$F$8,"High",""))</f>
        <v/>
      </c>
      <c r="L1187" s="6" t="str">
        <f aca="false">A1187&amp;";"&amp;B1187&amp;";"&amp;C1187</f>
        <v>33.44619894;98.05089394;15.5953147117803</v>
      </c>
      <c r="M1187" s="6" t="n">
        <f aca="false">IF(COUNTIF($L$2:$L$2201,L1187)&gt;1,1,0)</f>
        <v>0</v>
      </c>
      <c r="N1187" s="6" t="str">
        <f aca="false">IF(AND(C1187&lt;Assumptions!$B$9,B1187&lt;Assumptions!$B$10),"Irrigate Now",IF(AND(C1187&gt;=Assumptions!$B$11,B1187&gt;=Assumptions!$B$12),"No Irrigation Needed","Monitor"))</f>
        <v>Irrigate Now</v>
      </c>
      <c r="O1187" s="6" t="n">
        <f aca="false">IF(N1187=G1187,1,0)</f>
        <v>1</v>
      </c>
    </row>
    <row r="1188" customFormat="false" ht="15" hidden="false" customHeight="false" outlineLevel="0" collapsed="false">
      <c r="A1188" s="16" t="n">
        <v>35.3915464</v>
      </c>
      <c r="B1188" s="16" t="n">
        <v>91.22881052</v>
      </c>
      <c r="C1188" s="16" t="n">
        <v>28.0299915109092</v>
      </c>
      <c r="D1188" s="6" t="s">
        <v>67</v>
      </c>
      <c r="E1188" s="6" t="s">
        <v>57</v>
      </c>
      <c r="F1188" s="6" t="s">
        <v>23</v>
      </c>
      <c r="G1188" s="6" t="s">
        <v>61</v>
      </c>
      <c r="H1188" s="6" t="s">
        <v>63</v>
      </c>
      <c r="I1188" s="6" t="str">
        <f aca="false">IF(A1188&lt;Outliers!$E$6,"Low",IF(A1188&gt;Outliers!$F$6,"High",""))</f>
        <v/>
      </c>
      <c r="J1188" s="6" t="str">
        <f aca="false">IF(B1188&lt;Outliers!$E$7,"Low",IF(B1188&gt;Outliers!$F$7,"High",""))</f>
        <v/>
      </c>
      <c r="K1188" s="6" t="str">
        <f aca="false">IF(C1188&lt;Outliers!$E$8,"Low",IF(C1188&gt;Outliers!$F$8,"High",""))</f>
        <v/>
      </c>
      <c r="L1188" s="6" t="str">
        <f aca="false">A1188&amp;";"&amp;B1188&amp;";"&amp;C1188</f>
        <v>35.3915464;91.22881052;28.0299915109092</v>
      </c>
      <c r="M1188" s="6" t="n">
        <f aca="false">IF(COUNTIF($L$2:$L$2201,L1188)&gt;1,1,0)</f>
        <v>0</v>
      </c>
      <c r="N1188" s="6" t="str">
        <f aca="false">IF(AND(C1188&lt;Assumptions!$B$9,B1188&lt;Assumptions!$B$10),"Irrigate Now",IF(AND(C1188&gt;=Assumptions!$B$11,B1188&gt;=Assumptions!$B$12),"No Irrigation Needed","Monitor"))</f>
        <v>Monitor</v>
      </c>
      <c r="O1188" s="6" t="n">
        <f aca="false">IF(N1188=G1188,1,0)</f>
        <v>1</v>
      </c>
    </row>
    <row r="1189" customFormat="false" ht="15" hidden="false" customHeight="false" outlineLevel="0" collapsed="false">
      <c r="A1189" s="16" t="n">
        <v>31.53356352</v>
      </c>
      <c r="B1189" s="16" t="n">
        <v>98.57025046</v>
      </c>
      <c r="C1189" s="16" t="n">
        <v>14.1763337850704</v>
      </c>
      <c r="D1189" s="6" t="s">
        <v>67</v>
      </c>
      <c r="E1189" s="6" t="s">
        <v>57</v>
      </c>
      <c r="F1189" s="6" t="s">
        <v>24</v>
      </c>
      <c r="G1189" s="6" t="s">
        <v>64</v>
      </c>
      <c r="H1189" s="6" t="s">
        <v>65</v>
      </c>
      <c r="I1189" s="6" t="str">
        <f aca="false">IF(A1189&lt;Outliers!$E$6,"Low",IF(A1189&gt;Outliers!$F$6,"High",""))</f>
        <v/>
      </c>
      <c r="J1189" s="6" t="str">
        <f aca="false">IF(B1189&lt;Outliers!$E$7,"Low",IF(B1189&gt;Outliers!$F$7,"High",""))</f>
        <v/>
      </c>
      <c r="K1189" s="6" t="str">
        <f aca="false">IF(C1189&lt;Outliers!$E$8,"Low",IF(C1189&gt;Outliers!$F$8,"High",""))</f>
        <v/>
      </c>
      <c r="L1189" s="6" t="str">
        <f aca="false">A1189&amp;";"&amp;B1189&amp;";"&amp;C1189</f>
        <v>31.53356352;98.57025046;14.1763337850704</v>
      </c>
      <c r="M1189" s="6" t="n">
        <f aca="false">IF(COUNTIF($L$2:$L$2201,L1189)&gt;1,1,0)</f>
        <v>0</v>
      </c>
      <c r="N1189" s="6" t="str">
        <f aca="false">IF(AND(C1189&lt;Assumptions!$B$9,B1189&lt;Assumptions!$B$10),"Irrigate Now",IF(AND(C1189&gt;=Assumptions!$B$11,B1189&gt;=Assumptions!$B$12),"No Irrigation Needed","Monitor"))</f>
        <v>Irrigate Now</v>
      </c>
      <c r="O1189" s="6" t="n">
        <f aca="false">IF(N1189=G1189,1,0)</f>
        <v>1</v>
      </c>
    </row>
    <row r="1190" customFormat="false" ht="15" hidden="false" customHeight="false" outlineLevel="0" collapsed="false">
      <c r="A1190" s="16" t="n">
        <v>30.7645515</v>
      </c>
      <c r="B1190" s="16" t="n">
        <v>90.38503469</v>
      </c>
      <c r="C1190" s="16" t="n">
        <v>11.1082412393353</v>
      </c>
      <c r="D1190" s="6" t="s">
        <v>67</v>
      </c>
      <c r="E1190" s="6" t="s">
        <v>57</v>
      </c>
      <c r="F1190" s="6" t="s">
        <v>24</v>
      </c>
      <c r="G1190" s="6" t="s">
        <v>64</v>
      </c>
      <c r="H1190" s="6" t="s">
        <v>65</v>
      </c>
      <c r="I1190" s="6" t="str">
        <f aca="false">IF(A1190&lt;Outliers!$E$6,"Low",IF(A1190&gt;Outliers!$F$6,"High",""))</f>
        <v/>
      </c>
      <c r="J1190" s="6" t="str">
        <f aca="false">IF(B1190&lt;Outliers!$E$7,"Low",IF(B1190&gt;Outliers!$F$7,"High",""))</f>
        <v/>
      </c>
      <c r="K1190" s="6" t="str">
        <f aca="false">IF(C1190&lt;Outliers!$E$8,"Low",IF(C1190&gt;Outliers!$F$8,"High",""))</f>
        <v/>
      </c>
      <c r="L1190" s="6" t="str">
        <f aca="false">A1190&amp;";"&amp;B1190&amp;";"&amp;C1190</f>
        <v>30.7645515;90.38503469;11.1082412393353</v>
      </c>
      <c r="M1190" s="6" t="n">
        <f aca="false">IF(COUNTIF($L$2:$L$2201,L1190)&gt;1,1,0)</f>
        <v>0</v>
      </c>
      <c r="N1190" s="6" t="str">
        <f aca="false">IF(AND(C1190&lt;Assumptions!$B$9,B1190&lt;Assumptions!$B$10),"Irrigate Now",IF(AND(C1190&gt;=Assumptions!$B$11,B1190&gt;=Assumptions!$B$12),"No Irrigation Needed","Monitor"))</f>
        <v>Irrigate Now</v>
      </c>
      <c r="O1190" s="6" t="n">
        <f aca="false">IF(N1190=G1190,1,0)</f>
        <v>1</v>
      </c>
    </row>
    <row r="1191" customFormat="false" ht="15" hidden="false" customHeight="false" outlineLevel="0" collapsed="false">
      <c r="A1191" s="16" t="n">
        <v>30.01821337</v>
      </c>
      <c r="B1191" s="16" t="n">
        <v>96.08745082</v>
      </c>
      <c r="C1191" s="16" t="n">
        <v>22.8705132108524</v>
      </c>
      <c r="D1191" s="6" t="s">
        <v>67</v>
      </c>
      <c r="E1191" s="6" t="s">
        <v>57</v>
      </c>
      <c r="F1191" s="6" t="s">
        <v>60</v>
      </c>
      <c r="G1191" s="6" t="s">
        <v>61</v>
      </c>
      <c r="H1191" s="6" t="s">
        <v>63</v>
      </c>
      <c r="I1191" s="6" t="str">
        <f aca="false">IF(A1191&lt;Outliers!$E$6,"Low",IF(A1191&gt;Outliers!$F$6,"High",""))</f>
        <v/>
      </c>
      <c r="J1191" s="6" t="str">
        <f aca="false">IF(B1191&lt;Outliers!$E$7,"Low",IF(B1191&gt;Outliers!$F$7,"High",""))</f>
        <v/>
      </c>
      <c r="K1191" s="6" t="str">
        <f aca="false">IF(C1191&lt;Outliers!$E$8,"Low",IF(C1191&gt;Outliers!$F$8,"High",""))</f>
        <v/>
      </c>
      <c r="L1191" s="6" t="str">
        <f aca="false">A1191&amp;";"&amp;B1191&amp;";"&amp;C1191</f>
        <v>30.01821337;96.08745082;22.8705132108524</v>
      </c>
      <c r="M1191" s="6" t="n">
        <f aca="false">IF(COUNTIF($L$2:$L$2201,L1191)&gt;1,1,0)</f>
        <v>0</v>
      </c>
      <c r="N1191" s="6" t="str">
        <f aca="false">IF(AND(C1191&lt;Assumptions!$B$9,B1191&lt;Assumptions!$B$10),"Irrigate Now",IF(AND(C1191&gt;=Assumptions!$B$11,B1191&gt;=Assumptions!$B$12),"No Irrigation Needed","Monitor"))</f>
        <v>Monitor</v>
      </c>
      <c r="O1191" s="6" t="n">
        <f aca="false">IF(N1191=G1191,1,0)</f>
        <v>1</v>
      </c>
    </row>
    <row r="1192" customFormat="false" ht="15" hidden="false" customHeight="false" outlineLevel="0" collapsed="false">
      <c r="A1192" s="16" t="n">
        <v>31.32863689</v>
      </c>
      <c r="B1192" s="16" t="n">
        <v>94.67344737</v>
      </c>
      <c r="C1192" s="16" t="n">
        <v>13.9331114494795</v>
      </c>
      <c r="D1192" s="6" t="s">
        <v>67</v>
      </c>
      <c r="E1192" s="6" t="s">
        <v>57</v>
      </c>
      <c r="F1192" s="6" t="s">
        <v>24</v>
      </c>
      <c r="G1192" s="6" t="s">
        <v>64</v>
      </c>
      <c r="H1192" s="6" t="s">
        <v>65</v>
      </c>
      <c r="I1192" s="6" t="str">
        <f aca="false">IF(A1192&lt;Outliers!$E$6,"Low",IF(A1192&gt;Outliers!$F$6,"High",""))</f>
        <v/>
      </c>
      <c r="J1192" s="6" t="str">
        <f aca="false">IF(B1192&lt;Outliers!$E$7,"Low",IF(B1192&gt;Outliers!$F$7,"High",""))</f>
        <v/>
      </c>
      <c r="K1192" s="6" t="str">
        <f aca="false">IF(C1192&lt;Outliers!$E$8,"Low",IF(C1192&gt;Outliers!$F$8,"High",""))</f>
        <v/>
      </c>
      <c r="L1192" s="6" t="str">
        <f aca="false">A1192&amp;";"&amp;B1192&amp;";"&amp;C1192</f>
        <v>31.32863689;94.67344737;13.9331114494795</v>
      </c>
      <c r="M1192" s="6" t="n">
        <f aca="false">IF(COUNTIF($L$2:$L$2201,L1192)&gt;1,1,0)</f>
        <v>0</v>
      </c>
      <c r="N1192" s="6" t="str">
        <f aca="false">IF(AND(C1192&lt;Assumptions!$B$9,B1192&lt;Assumptions!$B$10),"Irrigate Now",IF(AND(C1192&gt;=Assumptions!$B$11,B1192&gt;=Assumptions!$B$12),"No Irrigation Needed","Monitor"))</f>
        <v>Irrigate Now</v>
      </c>
      <c r="O1192" s="6" t="n">
        <f aca="false">IF(N1192=G1192,1,0)</f>
        <v>1</v>
      </c>
    </row>
    <row r="1193" customFormat="false" ht="15" hidden="false" customHeight="false" outlineLevel="0" collapsed="false">
      <c r="A1193" s="16" t="n">
        <v>33.88004781</v>
      </c>
      <c r="B1193" s="16" t="n">
        <v>89.29147581</v>
      </c>
      <c r="C1193" s="16" t="n">
        <v>13.9121957816129</v>
      </c>
      <c r="D1193" s="6" t="s">
        <v>67</v>
      </c>
      <c r="E1193" s="6" t="s">
        <v>57</v>
      </c>
      <c r="F1193" s="6" t="s">
        <v>24</v>
      </c>
      <c r="G1193" s="6" t="s">
        <v>64</v>
      </c>
      <c r="H1193" s="6" t="s">
        <v>65</v>
      </c>
      <c r="I1193" s="6" t="str">
        <f aca="false">IF(A1193&lt;Outliers!$E$6,"Low",IF(A1193&gt;Outliers!$F$6,"High",""))</f>
        <v/>
      </c>
      <c r="J1193" s="6" t="str">
        <f aca="false">IF(B1193&lt;Outliers!$E$7,"Low",IF(B1193&gt;Outliers!$F$7,"High",""))</f>
        <v/>
      </c>
      <c r="K1193" s="6" t="str">
        <f aca="false">IF(C1193&lt;Outliers!$E$8,"Low",IF(C1193&gt;Outliers!$F$8,"High",""))</f>
        <v/>
      </c>
      <c r="L1193" s="6" t="str">
        <f aca="false">A1193&amp;";"&amp;B1193&amp;";"&amp;C1193</f>
        <v>33.88004781;89.29147581;13.9121957816129</v>
      </c>
      <c r="M1193" s="6" t="n">
        <f aca="false">IF(COUNTIF($L$2:$L$2201,L1193)&gt;1,1,0)</f>
        <v>0</v>
      </c>
      <c r="N1193" s="6" t="str">
        <f aca="false">IF(AND(C1193&lt;Assumptions!$B$9,B1193&lt;Assumptions!$B$10),"Irrigate Now",IF(AND(C1193&gt;=Assumptions!$B$11,B1193&gt;=Assumptions!$B$12),"No Irrigation Needed","Monitor"))</f>
        <v>Irrigate Now</v>
      </c>
      <c r="O1193" s="6" t="n">
        <f aca="false">IF(N1193=G1193,1,0)</f>
        <v>1</v>
      </c>
    </row>
    <row r="1194" customFormat="false" ht="15" hidden="false" customHeight="false" outlineLevel="0" collapsed="false">
      <c r="A1194" s="16" t="n">
        <v>28.07802689</v>
      </c>
      <c r="B1194" s="16" t="n">
        <v>97.45373619</v>
      </c>
      <c r="C1194" s="16" t="n">
        <v>17.4209239465203</v>
      </c>
      <c r="D1194" s="6" t="s">
        <v>57</v>
      </c>
      <c r="E1194" s="6" t="s">
        <v>57</v>
      </c>
      <c r="F1194" s="6" t="s">
        <v>60</v>
      </c>
      <c r="G1194" s="6" t="s">
        <v>64</v>
      </c>
      <c r="H1194" s="6" t="s">
        <v>65</v>
      </c>
      <c r="I1194" s="6" t="str">
        <f aca="false">IF(A1194&lt;Outliers!$E$6,"Low",IF(A1194&gt;Outliers!$F$6,"High",""))</f>
        <v/>
      </c>
      <c r="J1194" s="6" t="str">
        <f aca="false">IF(B1194&lt;Outliers!$E$7,"Low",IF(B1194&gt;Outliers!$F$7,"High",""))</f>
        <v/>
      </c>
      <c r="K1194" s="6" t="str">
        <f aca="false">IF(C1194&lt;Outliers!$E$8,"Low",IF(C1194&gt;Outliers!$F$8,"High",""))</f>
        <v/>
      </c>
      <c r="L1194" s="6" t="str">
        <f aca="false">A1194&amp;";"&amp;B1194&amp;";"&amp;C1194</f>
        <v>28.07802689;97.45373619;17.4209239465203</v>
      </c>
      <c r="M1194" s="6" t="n">
        <f aca="false">IF(COUNTIF($L$2:$L$2201,L1194)&gt;1,1,0)</f>
        <v>0</v>
      </c>
      <c r="N1194" s="6" t="str">
        <f aca="false">IF(AND(C1194&lt;Assumptions!$B$9,B1194&lt;Assumptions!$B$10),"Irrigate Now",IF(AND(C1194&gt;=Assumptions!$B$11,B1194&gt;=Assumptions!$B$12),"No Irrigation Needed","Monitor"))</f>
        <v>Irrigate Now</v>
      </c>
      <c r="O1194" s="6" t="n">
        <f aca="false">IF(N1194=G1194,1,0)</f>
        <v>1</v>
      </c>
    </row>
    <row r="1195" customFormat="false" ht="15" hidden="false" customHeight="false" outlineLevel="0" collapsed="false">
      <c r="A1195" s="16" t="n">
        <v>35.53845018</v>
      </c>
      <c r="B1195" s="16" t="n">
        <v>91.54560427</v>
      </c>
      <c r="C1195" s="16" t="n">
        <v>25.7629002703223</v>
      </c>
      <c r="D1195" s="6" t="s">
        <v>67</v>
      </c>
      <c r="E1195" s="6" t="s">
        <v>57</v>
      </c>
      <c r="F1195" s="6" t="s">
        <v>23</v>
      </c>
      <c r="G1195" s="6" t="s">
        <v>61</v>
      </c>
      <c r="H1195" s="6" t="s">
        <v>63</v>
      </c>
      <c r="I1195" s="6" t="str">
        <f aca="false">IF(A1195&lt;Outliers!$E$6,"Low",IF(A1195&gt;Outliers!$F$6,"High",""))</f>
        <v/>
      </c>
      <c r="J1195" s="6" t="str">
        <f aca="false">IF(B1195&lt;Outliers!$E$7,"Low",IF(B1195&gt;Outliers!$F$7,"High",""))</f>
        <v/>
      </c>
      <c r="K1195" s="6" t="str">
        <f aca="false">IF(C1195&lt;Outliers!$E$8,"Low",IF(C1195&gt;Outliers!$F$8,"High",""))</f>
        <v/>
      </c>
      <c r="L1195" s="6" t="str">
        <f aca="false">A1195&amp;";"&amp;B1195&amp;";"&amp;C1195</f>
        <v>35.53845018;91.54560427;25.7629002703223</v>
      </c>
      <c r="M1195" s="6" t="n">
        <f aca="false">IF(COUNTIF($L$2:$L$2201,L1195)&gt;1,1,0)</f>
        <v>0</v>
      </c>
      <c r="N1195" s="6" t="str">
        <f aca="false">IF(AND(C1195&lt;Assumptions!$B$9,B1195&lt;Assumptions!$B$10),"Irrigate Now",IF(AND(C1195&gt;=Assumptions!$B$11,B1195&gt;=Assumptions!$B$12),"No Irrigation Needed","Monitor"))</f>
        <v>Monitor</v>
      </c>
      <c r="O1195" s="6" t="n">
        <f aca="false">IF(N1195=G1195,1,0)</f>
        <v>1</v>
      </c>
    </row>
    <row r="1196" customFormat="false" ht="15" hidden="false" customHeight="false" outlineLevel="0" collapsed="false">
      <c r="A1196" s="16" t="n">
        <v>28.70595247</v>
      </c>
      <c r="B1196" s="16" t="n">
        <v>95.8946444</v>
      </c>
      <c r="C1196" s="16" t="n">
        <v>28.0575032208182</v>
      </c>
      <c r="D1196" s="6" t="s">
        <v>57</v>
      </c>
      <c r="E1196" s="6" t="s">
        <v>57</v>
      </c>
      <c r="F1196" s="6" t="s">
        <v>23</v>
      </c>
      <c r="G1196" s="6" t="s">
        <v>61</v>
      </c>
      <c r="H1196" s="6" t="s">
        <v>63</v>
      </c>
      <c r="I1196" s="6" t="str">
        <f aca="false">IF(A1196&lt;Outliers!$E$6,"Low",IF(A1196&gt;Outliers!$F$6,"High",""))</f>
        <v/>
      </c>
      <c r="J1196" s="6" t="str">
        <f aca="false">IF(B1196&lt;Outliers!$E$7,"Low",IF(B1196&gt;Outliers!$F$7,"High",""))</f>
        <v/>
      </c>
      <c r="K1196" s="6" t="str">
        <f aca="false">IF(C1196&lt;Outliers!$E$8,"Low",IF(C1196&gt;Outliers!$F$8,"High",""))</f>
        <v/>
      </c>
      <c r="L1196" s="6" t="str">
        <f aca="false">A1196&amp;";"&amp;B1196&amp;";"&amp;C1196</f>
        <v>28.70595247;95.8946444;28.0575032208182</v>
      </c>
      <c r="M1196" s="6" t="n">
        <f aca="false">IF(COUNTIF($L$2:$L$2201,L1196)&gt;1,1,0)</f>
        <v>0</v>
      </c>
      <c r="N1196" s="6" t="str">
        <f aca="false">IF(AND(C1196&lt;Assumptions!$B$9,B1196&lt;Assumptions!$B$10),"Irrigate Now",IF(AND(C1196&gt;=Assumptions!$B$11,B1196&gt;=Assumptions!$B$12),"No Irrigation Needed","Monitor"))</f>
        <v>Monitor</v>
      </c>
      <c r="O1196" s="6" t="n">
        <f aca="false">IF(N1196=G1196,1,0)</f>
        <v>1</v>
      </c>
    </row>
    <row r="1197" customFormat="false" ht="15" hidden="false" customHeight="false" outlineLevel="0" collapsed="false">
      <c r="A1197" s="16" t="n">
        <v>31.48451729</v>
      </c>
      <c r="B1197" s="16" t="n">
        <v>93.17221967</v>
      </c>
      <c r="C1197" s="16" t="n">
        <v>29.7741245778504</v>
      </c>
      <c r="D1197" s="6" t="s">
        <v>67</v>
      </c>
      <c r="E1197" s="6" t="s">
        <v>57</v>
      </c>
      <c r="F1197" s="6" t="s">
        <v>23</v>
      </c>
      <c r="G1197" s="6" t="s">
        <v>61</v>
      </c>
      <c r="H1197" s="6" t="s">
        <v>63</v>
      </c>
      <c r="I1197" s="6" t="str">
        <f aca="false">IF(A1197&lt;Outliers!$E$6,"Low",IF(A1197&gt;Outliers!$F$6,"High",""))</f>
        <v/>
      </c>
      <c r="J1197" s="6" t="str">
        <f aca="false">IF(B1197&lt;Outliers!$E$7,"Low",IF(B1197&gt;Outliers!$F$7,"High",""))</f>
        <v/>
      </c>
      <c r="K1197" s="6" t="str">
        <f aca="false">IF(C1197&lt;Outliers!$E$8,"Low",IF(C1197&gt;Outliers!$F$8,"High",""))</f>
        <v/>
      </c>
      <c r="L1197" s="6" t="str">
        <f aca="false">A1197&amp;";"&amp;B1197&amp;";"&amp;C1197</f>
        <v>31.48451729;93.17221967;29.7741245778504</v>
      </c>
      <c r="M1197" s="6" t="n">
        <f aca="false">IF(COUNTIF($L$2:$L$2201,L1197)&gt;1,1,0)</f>
        <v>0</v>
      </c>
      <c r="N1197" s="6" t="str">
        <f aca="false">IF(AND(C1197&lt;Assumptions!$B$9,B1197&lt;Assumptions!$B$10),"Irrigate Now",IF(AND(C1197&gt;=Assumptions!$B$11,B1197&gt;=Assumptions!$B$12),"No Irrigation Needed","Monitor"))</f>
        <v>Monitor</v>
      </c>
      <c r="O1197" s="6" t="n">
        <f aca="false">IF(N1197=G1197,1,0)</f>
        <v>1</v>
      </c>
    </row>
    <row r="1198" customFormat="false" ht="15" hidden="false" customHeight="false" outlineLevel="0" collapsed="false">
      <c r="A1198" s="16" t="n">
        <v>27.69819273</v>
      </c>
      <c r="B1198" s="16" t="n">
        <v>100.7720705</v>
      </c>
      <c r="C1198" s="16" t="n">
        <v>14.8236795111691</v>
      </c>
      <c r="D1198" s="6" t="s">
        <v>57</v>
      </c>
      <c r="E1198" s="6" t="s">
        <v>57</v>
      </c>
      <c r="F1198" s="6" t="s">
        <v>24</v>
      </c>
      <c r="G1198" s="6" t="s">
        <v>61</v>
      </c>
      <c r="H1198" s="6" t="s">
        <v>63</v>
      </c>
      <c r="I1198" s="6" t="str">
        <f aca="false">IF(A1198&lt;Outliers!$E$6,"Low",IF(A1198&gt;Outliers!$F$6,"High",""))</f>
        <v/>
      </c>
      <c r="J1198" s="6" t="str">
        <f aca="false">IF(B1198&lt;Outliers!$E$7,"Low",IF(B1198&gt;Outliers!$F$7,"High",""))</f>
        <v/>
      </c>
      <c r="K1198" s="6" t="str">
        <f aca="false">IF(C1198&lt;Outliers!$E$8,"Low",IF(C1198&gt;Outliers!$F$8,"High",""))</f>
        <v/>
      </c>
      <c r="L1198" s="6" t="str">
        <f aca="false">A1198&amp;";"&amp;B1198&amp;";"&amp;C1198</f>
        <v>27.69819273;100.7720705;14.8236795111691</v>
      </c>
      <c r="M1198" s="6" t="n">
        <f aca="false">IF(COUNTIF($L$2:$L$2201,L1198)&gt;1,1,0)</f>
        <v>0</v>
      </c>
      <c r="N1198" s="6" t="str">
        <f aca="false">IF(AND(C1198&lt;Assumptions!$B$9,B1198&lt;Assumptions!$B$10),"Irrigate Now",IF(AND(C1198&gt;=Assumptions!$B$11,B1198&gt;=Assumptions!$B$12),"No Irrigation Needed","Monitor"))</f>
        <v>Monitor</v>
      </c>
      <c r="O1198" s="6" t="n">
        <f aca="false">IF(N1198=G1198,1,0)</f>
        <v>1</v>
      </c>
    </row>
    <row r="1199" customFormat="false" ht="15" hidden="false" customHeight="false" outlineLevel="0" collapsed="false">
      <c r="A1199" s="16" t="n">
        <v>30.41235793</v>
      </c>
      <c r="B1199" s="16" t="n">
        <v>93.92375879</v>
      </c>
      <c r="C1199" s="16" t="n">
        <v>29.7388256148204</v>
      </c>
      <c r="D1199" s="6" t="s">
        <v>67</v>
      </c>
      <c r="E1199" s="6" t="s">
        <v>57</v>
      </c>
      <c r="F1199" s="6" t="s">
        <v>23</v>
      </c>
      <c r="G1199" s="6" t="s">
        <v>61</v>
      </c>
      <c r="H1199" s="6" t="s">
        <v>63</v>
      </c>
      <c r="I1199" s="6" t="str">
        <f aca="false">IF(A1199&lt;Outliers!$E$6,"Low",IF(A1199&gt;Outliers!$F$6,"High",""))</f>
        <v/>
      </c>
      <c r="J1199" s="6" t="str">
        <f aca="false">IF(B1199&lt;Outliers!$E$7,"Low",IF(B1199&gt;Outliers!$F$7,"High",""))</f>
        <v/>
      </c>
      <c r="K1199" s="6" t="str">
        <f aca="false">IF(C1199&lt;Outliers!$E$8,"Low",IF(C1199&gt;Outliers!$F$8,"High",""))</f>
        <v/>
      </c>
      <c r="L1199" s="6" t="str">
        <f aca="false">A1199&amp;";"&amp;B1199&amp;";"&amp;C1199</f>
        <v>30.41235793;93.92375879;29.7388256148204</v>
      </c>
      <c r="M1199" s="6" t="n">
        <f aca="false">IF(COUNTIF($L$2:$L$2201,L1199)&gt;1,1,0)</f>
        <v>0</v>
      </c>
      <c r="N1199" s="6" t="str">
        <f aca="false">IF(AND(C1199&lt;Assumptions!$B$9,B1199&lt;Assumptions!$B$10),"Irrigate Now",IF(AND(C1199&gt;=Assumptions!$B$11,B1199&gt;=Assumptions!$B$12),"No Irrigation Needed","Monitor"))</f>
        <v>Monitor</v>
      </c>
      <c r="O1199" s="6" t="n">
        <f aca="false">IF(N1199=G1199,1,0)</f>
        <v>1</v>
      </c>
    </row>
    <row r="1200" customFormat="false" ht="15" hidden="false" customHeight="false" outlineLevel="0" collapsed="false">
      <c r="A1200" s="16" t="n">
        <v>32.17752026</v>
      </c>
      <c r="B1200" s="16" t="n">
        <v>91.88766069</v>
      </c>
      <c r="C1200" s="16" t="n">
        <v>11.8476726089791</v>
      </c>
      <c r="D1200" s="6" t="s">
        <v>67</v>
      </c>
      <c r="E1200" s="6" t="s">
        <v>57</v>
      </c>
      <c r="F1200" s="6" t="s">
        <v>24</v>
      </c>
      <c r="G1200" s="6" t="s">
        <v>64</v>
      </c>
      <c r="H1200" s="6" t="s">
        <v>65</v>
      </c>
      <c r="I1200" s="6" t="str">
        <f aca="false">IF(A1200&lt;Outliers!$E$6,"Low",IF(A1200&gt;Outliers!$F$6,"High",""))</f>
        <v/>
      </c>
      <c r="J1200" s="6" t="str">
        <f aca="false">IF(B1200&lt;Outliers!$E$7,"Low",IF(B1200&gt;Outliers!$F$7,"High",""))</f>
        <v/>
      </c>
      <c r="K1200" s="6" t="str">
        <f aca="false">IF(C1200&lt;Outliers!$E$8,"Low",IF(C1200&gt;Outliers!$F$8,"High",""))</f>
        <v/>
      </c>
      <c r="L1200" s="6" t="str">
        <f aca="false">A1200&amp;";"&amp;B1200&amp;";"&amp;C1200</f>
        <v>32.17752026;91.88766069;11.8476726089791</v>
      </c>
      <c r="M1200" s="6" t="n">
        <f aca="false">IF(COUNTIF($L$2:$L$2201,L1200)&gt;1,1,0)</f>
        <v>0</v>
      </c>
      <c r="N1200" s="6" t="str">
        <f aca="false">IF(AND(C1200&lt;Assumptions!$B$9,B1200&lt;Assumptions!$B$10),"Irrigate Now",IF(AND(C1200&gt;=Assumptions!$B$11,B1200&gt;=Assumptions!$B$12),"No Irrigation Needed","Monitor"))</f>
        <v>Irrigate Now</v>
      </c>
      <c r="O1200" s="6" t="n">
        <f aca="false">IF(N1200=G1200,1,0)</f>
        <v>1</v>
      </c>
    </row>
    <row r="1201" customFormat="false" ht="15" hidden="false" customHeight="false" outlineLevel="0" collapsed="false">
      <c r="A1201" s="16" t="n">
        <v>32.6112614</v>
      </c>
      <c r="B1201" s="16" t="n">
        <v>91.10190759</v>
      </c>
      <c r="C1201" s="16" t="n">
        <v>11.7541067362308</v>
      </c>
      <c r="D1201" s="6" t="s">
        <v>67</v>
      </c>
      <c r="E1201" s="6" t="s">
        <v>57</v>
      </c>
      <c r="F1201" s="6" t="s">
        <v>24</v>
      </c>
      <c r="G1201" s="6" t="s">
        <v>64</v>
      </c>
      <c r="H1201" s="6" t="s">
        <v>65</v>
      </c>
      <c r="I1201" s="6" t="str">
        <f aca="false">IF(A1201&lt;Outliers!$E$6,"Low",IF(A1201&gt;Outliers!$F$6,"High",""))</f>
        <v/>
      </c>
      <c r="J1201" s="6" t="str">
        <f aca="false">IF(B1201&lt;Outliers!$E$7,"Low",IF(B1201&gt;Outliers!$F$7,"High",""))</f>
        <v/>
      </c>
      <c r="K1201" s="6" t="str">
        <f aca="false">IF(C1201&lt;Outliers!$E$8,"Low",IF(C1201&gt;Outliers!$F$8,"High",""))</f>
        <v/>
      </c>
      <c r="L1201" s="6" t="str">
        <f aca="false">A1201&amp;";"&amp;B1201&amp;";"&amp;C1201</f>
        <v>32.6112614;91.10190759;11.7541067362308</v>
      </c>
      <c r="M1201" s="6" t="n">
        <f aca="false">IF(COUNTIF($L$2:$L$2201,L1201)&gt;1,1,0)</f>
        <v>0</v>
      </c>
      <c r="N1201" s="6" t="str">
        <f aca="false">IF(AND(C1201&lt;Assumptions!$B$9,B1201&lt;Assumptions!$B$10),"Irrigate Now",IF(AND(C1201&gt;=Assumptions!$B$11,B1201&gt;=Assumptions!$B$12),"No Irrigation Needed","Monitor"))</f>
        <v>Irrigate Now</v>
      </c>
      <c r="O1201" s="6" t="n">
        <f aca="false">IF(N1201=G1201,1,0)</f>
        <v>1</v>
      </c>
    </row>
    <row r="1202" customFormat="false" ht="15" hidden="false" customHeight="false" outlineLevel="0" collapsed="false">
      <c r="A1202" s="16" t="n">
        <v>29.99677232</v>
      </c>
      <c r="B1202" s="16" t="n">
        <v>67.12534492</v>
      </c>
      <c r="C1202" s="16" t="n">
        <v>20.347876568579</v>
      </c>
      <c r="D1202" s="6" t="s">
        <v>57</v>
      </c>
      <c r="E1202" s="6" t="s">
        <v>57</v>
      </c>
      <c r="F1202" s="6" t="s">
        <v>60</v>
      </c>
      <c r="G1202" s="6" t="s">
        <v>61</v>
      </c>
      <c r="H1202" s="6" t="s">
        <v>63</v>
      </c>
      <c r="I1202" s="6" t="str">
        <f aca="false">IF(A1202&lt;Outliers!$E$6,"Low",IF(A1202&gt;Outliers!$F$6,"High",""))</f>
        <v/>
      </c>
      <c r="J1202" s="6" t="str">
        <f aca="false">IF(B1202&lt;Outliers!$E$7,"Low",IF(B1202&gt;Outliers!$F$7,"High",""))</f>
        <v/>
      </c>
      <c r="K1202" s="6" t="str">
        <f aca="false">IF(C1202&lt;Outliers!$E$8,"Low",IF(C1202&gt;Outliers!$F$8,"High",""))</f>
        <v/>
      </c>
      <c r="L1202" s="6" t="str">
        <f aca="false">A1202&amp;";"&amp;B1202&amp;";"&amp;C1202</f>
        <v>29.99677232;67.12534492;20.347876568579</v>
      </c>
      <c r="M1202" s="6" t="n">
        <f aca="false">IF(COUNTIF($L$2:$L$2201,L1202)&gt;1,1,0)</f>
        <v>0</v>
      </c>
      <c r="N1202" s="6" t="str">
        <f aca="false">IF(AND(C1202&lt;Assumptions!$B$9,B1202&lt;Assumptions!$B$10),"Irrigate Now",IF(AND(C1202&gt;=Assumptions!$B$11,B1202&gt;=Assumptions!$B$12),"No Irrigation Needed","Monitor"))</f>
        <v>Monitor</v>
      </c>
      <c r="O1202" s="6" t="n">
        <f aca="false">IF(N1202=G1202,1,0)</f>
        <v>1</v>
      </c>
    </row>
    <row r="1203" customFormat="false" ht="15" hidden="false" customHeight="false" outlineLevel="0" collapsed="false">
      <c r="A1203" s="16" t="n">
        <v>30.7280404</v>
      </c>
      <c r="B1203" s="16" t="n">
        <v>68.38135469</v>
      </c>
      <c r="C1203" s="16" t="n">
        <v>16.4963355897938</v>
      </c>
      <c r="D1203" s="6" t="s">
        <v>67</v>
      </c>
      <c r="E1203" s="6" t="s">
        <v>57</v>
      </c>
      <c r="F1203" s="6" t="s">
        <v>24</v>
      </c>
      <c r="G1203" s="6" t="s">
        <v>64</v>
      </c>
      <c r="H1203" s="6" t="s">
        <v>65</v>
      </c>
      <c r="I1203" s="6" t="str">
        <f aca="false">IF(A1203&lt;Outliers!$E$6,"Low",IF(A1203&gt;Outliers!$F$6,"High",""))</f>
        <v/>
      </c>
      <c r="J1203" s="6" t="str">
        <f aca="false">IF(B1203&lt;Outliers!$E$7,"Low",IF(B1203&gt;Outliers!$F$7,"High",""))</f>
        <v/>
      </c>
      <c r="K1203" s="6" t="str">
        <f aca="false">IF(C1203&lt;Outliers!$E$8,"Low",IF(C1203&gt;Outliers!$F$8,"High",""))</f>
        <v/>
      </c>
      <c r="L1203" s="6" t="str">
        <f aca="false">A1203&amp;";"&amp;B1203&amp;";"&amp;C1203</f>
        <v>30.7280404;68.38135469;16.4963355897938</v>
      </c>
      <c r="M1203" s="6" t="n">
        <f aca="false">IF(COUNTIF($L$2:$L$2201,L1203)&gt;1,1,0)</f>
        <v>0</v>
      </c>
      <c r="N1203" s="6" t="str">
        <f aca="false">IF(AND(C1203&lt;Assumptions!$B$9,B1203&lt;Assumptions!$B$10),"Irrigate Now",IF(AND(C1203&gt;=Assumptions!$B$11,B1203&gt;=Assumptions!$B$12),"No Irrigation Needed","Monitor"))</f>
        <v>Irrigate Now</v>
      </c>
      <c r="O1203" s="6" t="n">
        <f aca="false">IF(N1203=G1203,1,0)</f>
        <v>1</v>
      </c>
    </row>
    <row r="1204" customFormat="false" ht="15" hidden="false" customHeight="false" outlineLevel="0" collapsed="false">
      <c r="A1204" s="16" t="n">
        <v>32.44577836</v>
      </c>
      <c r="B1204" s="16" t="n">
        <v>68.73932528</v>
      </c>
      <c r="C1204" s="16" t="n">
        <v>22.1688646176799</v>
      </c>
      <c r="D1204" s="6" t="s">
        <v>67</v>
      </c>
      <c r="E1204" s="6" t="s">
        <v>57</v>
      </c>
      <c r="F1204" s="6" t="s">
        <v>60</v>
      </c>
      <c r="G1204" s="6" t="s">
        <v>61</v>
      </c>
      <c r="H1204" s="6" t="s">
        <v>63</v>
      </c>
      <c r="I1204" s="6" t="str">
        <f aca="false">IF(A1204&lt;Outliers!$E$6,"Low",IF(A1204&gt;Outliers!$F$6,"High",""))</f>
        <v/>
      </c>
      <c r="J1204" s="6" t="str">
        <f aca="false">IF(B1204&lt;Outliers!$E$7,"Low",IF(B1204&gt;Outliers!$F$7,"High",""))</f>
        <v/>
      </c>
      <c r="K1204" s="6" t="str">
        <f aca="false">IF(C1204&lt;Outliers!$E$8,"Low",IF(C1204&gt;Outliers!$F$8,"High",""))</f>
        <v/>
      </c>
      <c r="L1204" s="6" t="str">
        <f aca="false">A1204&amp;";"&amp;B1204&amp;";"&amp;C1204</f>
        <v>32.44577836;68.73932528;22.1688646176799</v>
      </c>
      <c r="M1204" s="6" t="n">
        <f aca="false">IF(COUNTIF($L$2:$L$2201,L1204)&gt;1,1,0)</f>
        <v>0</v>
      </c>
      <c r="N1204" s="6" t="str">
        <f aca="false">IF(AND(C1204&lt;Assumptions!$B$9,B1204&lt;Assumptions!$B$10),"Irrigate Now",IF(AND(C1204&gt;=Assumptions!$B$11,B1204&gt;=Assumptions!$B$12),"No Irrigation Needed","Monitor"))</f>
        <v>Monitor</v>
      </c>
      <c r="O1204" s="6" t="n">
        <f aca="false">IF(N1204=G1204,1,0)</f>
        <v>1</v>
      </c>
    </row>
    <row r="1205" customFormat="false" ht="15" hidden="false" customHeight="false" outlineLevel="0" collapsed="false">
      <c r="A1205" s="16" t="n">
        <v>37.46566825</v>
      </c>
      <c r="B1205" s="16" t="n">
        <v>66.83872293</v>
      </c>
      <c r="C1205" s="16" t="n">
        <v>15.0677557948916</v>
      </c>
      <c r="D1205" s="6" t="s">
        <v>67</v>
      </c>
      <c r="E1205" s="6" t="s">
        <v>57</v>
      </c>
      <c r="F1205" s="6" t="s">
        <v>24</v>
      </c>
      <c r="G1205" s="6" t="s">
        <v>64</v>
      </c>
      <c r="H1205" s="6" t="s">
        <v>65</v>
      </c>
      <c r="I1205" s="6" t="str">
        <f aca="false">IF(A1205&lt;Outliers!$E$6,"Low",IF(A1205&gt;Outliers!$F$6,"High",""))</f>
        <v>High</v>
      </c>
      <c r="J1205" s="6" t="str">
        <f aca="false">IF(B1205&lt;Outliers!$E$7,"Low",IF(B1205&gt;Outliers!$F$7,"High",""))</f>
        <v/>
      </c>
      <c r="K1205" s="6" t="str">
        <f aca="false">IF(C1205&lt;Outliers!$E$8,"Low",IF(C1205&gt;Outliers!$F$8,"High",""))</f>
        <v/>
      </c>
      <c r="L1205" s="6" t="str">
        <f aca="false">A1205&amp;";"&amp;B1205&amp;";"&amp;C1205</f>
        <v>37.46566825;66.83872293;15.0677557948916</v>
      </c>
      <c r="M1205" s="6" t="n">
        <f aca="false">IF(COUNTIF($L$2:$L$2201,L1205)&gt;1,1,0)</f>
        <v>0</v>
      </c>
      <c r="N1205" s="6" t="str">
        <f aca="false">IF(AND(C1205&lt;Assumptions!$B$9,B1205&lt;Assumptions!$B$10),"Irrigate Now",IF(AND(C1205&gt;=Assumptions!$B$11,B1205&gt;=Assumptions!$B$12),"No Irrigation Needed","Monitor"))</f>
        <v>Irrigate Now</v>
      </c>
      <c r="O1205" s="6" t="n">
        <f aca="false">IF(N1205=G1205,1,0)</f>
        <v>1</v>
      </c>
    </row>
    <row r="1206" customFormat="false" ht="15" hidden="false" customHeight="false" outlineLevel="0" collapsed="false">
      <c r="A1206" s="16" t="n">
        <v>22.03296178</v>
      </c>
      <c r="B1206" s="16" t="n">
        <v>65.34440794</v>
      </c>
      <c r="C1206" s="16" t="n">
        <v>24.2233423161079</v>
      </c>
      <c r="D1206" s="6" t="s">
        <v>57</v>
      </c>
      <c r="E1206" s="6" t="s">
        <v>57</v>
      </c>
      <c r="F1206" s="6" t="s">
        <v>60</v>
      </c>
      <c r="G1206" s="6" t="s">
        <v>61</v>
      </c>
      <c r="H1206" s="6" t="s">
        <v>63</v>
      </c>
      <c r="I1206" s="6" t="str">
        <f aca="false">IF(A1206&lt;Outliers!$E$6,"Low",IF(A1206&gt;Outliers!$F$6,"High",""))</f>
        <v/>
      </c>
      <c r="J1206" s="6" t="str">
        <f aca="false">IF(B1206&lt;Outliers!$E$7,"Low",IF(B1206&gt;Outliers!$F$7,"High",""))</f>
        <v/>
      </c>
      <c r="K1206" s="6" t="str">
        <f aca="false">IF(C1206&lt;Outliers!$E$8,"Low",IF(C1206&gt;Outliers!$F$8,"High",""))</f>
        <v/>
      </c>
      <c r="L1206" s="6" t="str">
        <f aca="false">A1206&amp;";"&amp;B1206&amp;";"&amp;C1206</f>
        <v>22.03296178;65.34440794;24.2233423161079</v>
      </c>
      <c r="M1206" s="6" t="n">
        <f aca="false">IF(COUNTIF($L$2:$L$2201,L1206)&gt;1,1,0)</f>
        <v>0</v>
      </c>
      <c r="N1206" s="6" t="str">
        <f aca="false">IF(AND(C1206&lt;Assumptions!$B$9,B1206&lt;Assumptions!$B$10),"Irrigate Now",IF(AND(C1206&gt;=Assumptions!$B$11,B1206&gt;=Assumptions!$B$12),"No Irrigation Needed","Monitor"))</f>
        <v>Monitor</v>
      </c>
      <c r="O1206" s="6" t="n">
        <f aca="false">IF(N1206=G1206,1,0)</f>
        <v>1</v>
      </c>
    </row>
    <row r="1207" customFormat="false" ht="15" hidden="false" customHeight="false" outlineLevel="0" collapsed="false">
      <c r="A1207" s="16" t="n">
        <v>39.64851881</v>
      </c>
      <c r="B1207" s="16" t="n">
        <v>70.39906054</v>
      </c>
      <c r="C1207" s="16" t="n">
        <v>16.7051836564582</v>
      </c>
      <c r="D1207" s="6" t="s">
        <v>67</v>
      </c>
      <c r="E1207" s="6" t="s">
        <v>57</v>
      </c>
      <c r="F1207" s="6" t="s">
        <v>24</v>
      </c>
      <c r="G1207" s="6" t="s">
        <v>64</v>
      </c>
      <c r="H1207" s="6" t="s">
        <v>65</v>
      </c>
      <c r="I1207" s="6" t="str">
        <f aca="false">IF(A1207&lt;Outliers!$E$6,"Low",IF(A1207&gt;Outliers!$F$6,"High",""))</f>
        <v>High</v>
      </c>
      <c r="J1207" s="6" t="str">
        <f aca="false">IF(B1207&lt;Outliers!$E$7,"Low",IF(B1207&gt;Outliers!$F$7,"High",""))</f>
        <v/>
      </c>
      <c r="K1207" s="6" t="str">
        <f aca="false">IF(C1207&lt;Outliers!$E$8,"Low",IF(C1207&gt;Outliers!$F$8,"High",""))</f>
        <v/>
      </c>
      <c r="L1207" s="6" t="str">
        <f aca="false">A1207&amp;";"&amp;B1207&amp;";"&amp;C1207</f>
        <v>39.64851881;70.39906054;16.7051836564582</v>
      </c>
      <c r="M1207" s="6" t="n">
        <f aca="false">IF(COUNTIF($L$2:$L$2201,L1207)&gt;1,1,0)</f>
        <v>0</v>
      </c>
      <c r="N1207" s="6" t="str">
        <f aca="false">IF(AND(C1207&lt;Assumptions!$B$9,B1207&lt;Assumptions!$B$10),"Irrigate Now",IF(AND(C1207&gt;=Assumptions!$B$11,B1207&gt;=Assumptions!$B$12),"No Irrigation Needed","Monitor"))</f>
        <v>Irrigate Now</v>
      </c>
      <c r="O1207" s="6" t="n">
        <f aca="false">IF(N1207=G1207,1,0)</f>
        <v>1</v>
      </c>
    </row>
    <row r="1208" customFormat="false" ht="15" hidden="false" customHeight="false" outlineLevel="0" collapsed="false">
      <c r="A1208" s="16" t="n">
        <v>16.77557314</v>
      </c>
      <c r="B1208" s="16" t="n">
        <v>66.76285469</v>
      </c>
      <c r="C1208" s="16" t="n">
        <v>14.6200845735416</v>
      </c>
      <c r="D1208" s="6" t="s">
        <v>66</v>
      </c>
      <c r="E1208" s="6" t="s">
        <v>57</v>
      </c>
      <c r="F1208" s="6" t="s">
        <v>24</v>
      </c>
      <c r="G1208" s="6" t="s">
        <v>64</v>
      </c>
      <c r="H1208" s="6" t="s">
        <v>65</v>
      </c>
      <c r="I1208" s="6" t="str">
        <f aca="false">IF(A1208&lt;Outliers!$E$6,"Low",IF(A1208&gt;Outliers!$F$6,"High",""))</f>
        <v/>
      </c>
      <c r="J1208" s="6" t="str">
        <f aca="false">IF(B1208&lt;Outliers!$E$7,"Low",IF(B1208&gt;Outliers!$F$7,"High",""))</f>
        <v/>
      </c>
      <c r="K1208" s="6" t="str">
        <f aca="false">IF(C1208&lt;Outliers!$E$8,"Low",IF(C1208&gt;Outliers!$F$8,"High",""))</f>
        <v/>
      </c>
      <c r="L1208" s="6" t="str">
        <f aca="false">A1208&amp;";"&amp;B1208&amp;";"&amp;C1208</f>
        <v>16.77557314;66.76285469;14.6200845735416</v>
      </c>
      <c r="M1208" s="6" t="n">
        <f aca="false">IF(COUNTIF($L$2:$L$2201,L1208)&gt;1,1,0)</f>
        <v>0</v>
      </c>
      <c r="N1208" s="6" t="str">
        <f aca="false">IF(AND(C1208&lt;Assumptions!$B$9,B1208&lt;Assumptions!$B$10),"Irrigate Now",IF(AND(C1208&gt;=Assumptions!$B$11,B1208&gt;=Assumptions!$B$12),"No Irrigation Needed","Monitor"))</f>
        <v>Irrigate Now</v>
      </c>
      <c r="O1208" s="6" t="n">
        <f aca="false">IF(N1208=G1208,1,0)</f>
        <v>1</v>
      </c>
    </row>
    <row r="1209" customFormat="false" ht="15" hidden="false" customHeight="false" outlineLevel="0" collapsed="false">
      <c r="A1209" s="16" t="n">
        <v>12.14190714</v>
      </c>
      <c r="B1209" s="16" t="n">
        <v>69.63122027</v>
      </c>
      <c r="C1209" s="16" t="n">
        <v>29.3813183572201</v>
      </c>
      <c r="D1209" s="6" t="s">
        <v>66</v>
      </c>
      <c r="E1209" s="6" t="s">
        <v>57</v>
      </c>
      <c r="F1209" s="6" t="s">
        <v>23</v>
      </c>
      <c r="G1209" s="6" t="s">
        <v>61</v>
      </c>
      <c r="H1209" s="6" t="s">
        <v>63</v>
      </c>
      <c r="I1209" s="6" t="str">
        <f aca="false">IF(A1209&lt;Outliers!$E$6,"Low",IF(A1209&gt;Outliers!$F$6,"High",""))</f>
        <v>Low</v>
      </c>
      <c r="J1209" s="6" t="str">
        <f aca="false">IF(B1209&lt;Outliers!$E$7,"Low",IF(B1209&gt;Outliers!$F$7,"High",""))</f>
        <v/>
      </c>
      <c r="K1209" s="6" t="str">
        <f aca="false">IF(C1209&lt;Outliers!$E$8,"Low",IF(C1209&gt;Outliers!$F$8,"High",""))</f>
        <v/>
      </c>
      <c r="L1209" s="6" t="str">
        <f aca="false">A1209&amp;";"&amp;B1209&amp;";"&amp;C1209</f>
        <v>12.14190714;69.63122027;29.3813183572201</v>
      </c>
      <c r="M1209" s="6" t="n">
        <f aca="false">IF(COUNTIF($L$2:$L$2201,L1209)&gt;1,1,0)</f>
        <v>0</v>
      </c>
      <c r="N1209" s="6" t="str">
        <f aca="false">IF(AND(C1209&lt;Assumptions!$B$9,B1209&lt;Assumptions!$B$10),"Irrigate Now",IF(AND(C1209&gt;=Assumptions!$B$11,B1209&gt;=Assumptions!$B$12),"No Irrigation Needed","Monitor"))</f>
        <v>Monitor</v>
      </c>
      <c r="O1209" s="6" t="n">
        <f aca="false">IF(N1209=G1209,1,0)</f>
        <v>1</v>
      </c>
    </row>
    <row r="1210" customFormat="false" ht="15" hidden="false" customHeight="false" outlineLevel="0" collapsed="false">
      <c r="A1210" s="16" t="n">
        <v>12.7567962</v>
      </c>
      <c r="B1210" s="16" t="n">
        <v>66.77844567</v>
      </c>
      <c r="C1210" s="16" t="n">
        <v>27.6270781709203</v>
      </c>
      <c r="D1210" s="6" t="s">
        <v>66</v>
      </c>
      <c r="E1210" s="6" t="s">
        <v>57</v>
      </c>
      <c r="F1210" s="6" t="s">
        <v>23</v>
      </c>
      <c r="G1210" s="6" t="s">
        <v>61</v>
      </c>
      <c r="H1210" s="6" t="s">
        <v>63</v>
      </c>
      <c r="I1210" s="6" t="str">
        <f aca="false">IF(A1210&lt;Outliers!$E$6,"Low",IF(A1210&gt;Outliers!$F$6,"High",""))</f>
        <v>Low</v>
      </c>
      <c r="J1210" s="6" t="str">
        <f aca="false">IF(B1210&lt;Outliers!$E$7,"Low",IF(B1210&gt;Outliers!$F$7,"High",""))</f>
        <v/>
      </c>
      <c r="K1210" s="6" t="str">
        <f aca="false">IF(C1210&lt;Outliers!$E$8,"Low",IF(C1210&gt;Outliers!$F$8,"High",""))</f>
        <v/>
      </c>
      <c r="L1210" s="6" t="str">
        <f aca="false">A1210&amp;";"&amp;B1210&amp;";"&amp;C1210</f>
        <v>12.7567962;66.77844567;27.6270781709203</v>
      </c>
      <c r="M1210" s="6" t="n">
        <f aca="false">IF(COUNTIF($L$2:$L$2201,L1210)&gt;1,1,0)</f>
        <v>0</v>
      </c>
      <c r="N1210" s="6" t="str">
        <f aca="false">IF(AND(C1210&lt;Assumptions!$B$9,B1210&lt;Assumptions!$B$10),"Irrigate Now",IF(AND(C1210&gt;=Assumptions!$B$11,B1210&gt;=Assumptions!$B$12),"No Irrigation Needed","Monitor"))</f>
        <v>Monitor</v>
      </c>
      <c r="O1210" s="6" t="n">
        <f aca="false">IF(N1210=G1210,1,0)</f>
        <v>1</v>
      </c>
    </row>
    <row r="1211" customFormat="false" ht="15" hidden="false" customHeight="false" outlineLevel="0" collapsed="false">
      <c r="A1211" s="16" t="n">
        <v>39.04071989</v>
      </c>
      <c r="B1211" s="16" t="n">
        <v>73.88467027</v>
      </c>
      <c r="C1211" s="16" t="n">
        <v>26.4516125567235</v>
      </c>
      <c r="D1211" s="6" t="s">
        <v>67</v>
      </c>
      <c r="E1211" s="6" t="s">
        <v>57</v>
      </c>
      <c r="F1211" s="6" t="s">
        <v>23</v>
      </c>
      <c r="G1211" s="6" t="s">
        <v>61</v>
      </c>
      <c r="H1211" s="6" t="s">
        <v>63</v>
      </c>
      <c r="I1211" s="6" t="str">
        <f aca="false">IF(A1211&lt;Outliers!$E$6,"Low",IF(A1211&gt;Outliers!$F$6,"High",""))</f>
        <v>High</v>
      </c>
      <c r="J1211" s="6" t="str">
        <f aca="false">IF(B1211&lt;Outliers!$E$7,"Low",IF(B1211&gt;Outliers!$F$7,"High",""))</f>
        <v/>
      </c>
      <c r="K1211" s="6" t="str">
        <f aca="false">IF(C1211&lt;Outliers!$E$8,"Low",IF(C1211&gt;Outliers!$F$8,"High",""))</f>
        <v/>
      </c>
      <c r="L1211" s="6" t="str">
        <f aca="false">A1211&amp;";"&amp;B1211&amp;";"&amp;C1211</f>
        <v>39.04071989;73.88467027;26.4516125567235</v>
      </c>
      <c r="M1211" s="6" t="n">
        <f aca="false">IF(COUNTIF($L$2:$L$2201,L1211)&gt;1,1,0)</f>
        <v>0</v>
      </c>
      <c r="N1211" s="6" t="str">
        <f aca="false">IF(AND(C1211&lt;Assumptions!$B$9,B1211&lt;Assumptions!$B$10),"Irrigate Now",IF(AND(C1211&gt;=Assumptions!$B$11,B1211&gt;=Assumptions!$B$12),"No Irrigation Needed","Monitor"))</f>
        <v>Monitor</v>
      </c>
      <c r="O1211" s="6" t="n">
        <f aca="false">IF(N1211=G1211,1,0)</f>
        <v>1</v>
      </c>
    </row>
    <row r="1212" customFormat="false" ht="15" hidden="false" customHeight="false" outlineLevel="0" collapsed="false">
      <c r="A1212" s="16" t="n">
        <v>39.70772192</v>
      </c>
      <c r="B1212" s="16" t="n">
        <v>74.91506217</v>
      </c>
      <c r="C1212" s="16" t="n">
        <v>17.5114864560356</v>
      </c>
      <c r="D1212" s="6" t="s">
        <v>67</v>
      </c>
      <c r="E1212" s="6" t="s">
        <v>57</v>
      </c>
      <c r="F1212" s="6" t="s">
        <v>24</v>
      </c>
      <c r="G1212" s="6" t="s">
        <v>64</v>
      </c>
      <c r="H1212" s="6" t="s">
        <v>65</v>
      </c>
      <c r="I1212" s="6" t="str">
        <f aca="false">IF(A1212&lt;Outliers!$E$6,"Low",IF(A1212&gt;Outliers!$F$6,"High",""))</f>
        <v>High</v>
      </c>
      <c r="J1212" s="6" t="str">
        <f aca="false">IF(B1212&lt;Outliers!$E$7,"Low",IF(B1212&gt;Outliers!$F$7,"High",""))</f>
        <v/>
      </c>
      <c r="K1212" s="6" t="str">
        <f aca="false">IF(C1212&lt;Outliers!$E$8,"Low",IF(C1212&gt;Outliers!$F$8,"High",""))</f>
        <v/>
      </c>
      <c r="L1212" s="6" t="str">
        <f aca="false">A1212&amp;";"&amp;B1212&amp;";"&amp;C1212</f>
        <v>39.70772192;74.91506217;17.5114864560356</v>
      </c>
      <c r="M1212" s="6" t="n">
        <f aca="false">IF(COUNTIF($L$2:$L$2201,L1212)&gt;1,1,0)</f>
        <v>0</v>
      </c>
      <c r="N1212" s="6" t="str">
        <f aca="false">IF(AND(C1212&lt;Assumptions!$B$9,B1212&lt;Assumptions!$B$10),"Irrigate Now",IF(AND(C1212&gt;=Assumptions!$B$11,B1212&gt;=Assumptions!$B$12),"No Irrigation Needed","Monitor"))</f>
        <v>Irrigate Now</v>
      </c>
      <c r="O1212" s="6" t="n">
        <f aca="false">IF(N1212=G1212,1,0)</f>
        <v>1</v>
      </c>
    </row>
    <row r="1213" customFormat="false" ht="15" hidden="false" customHeight="false" outlineLevel="0" collapsed="false">
      <c r="A1213" s="16" t="n">
        <v>9.467960445</v>
      </c>
      <c r="B1213" s="16" t="n">
        <v>66.02765219</v>
      </c>
      <c r="C1213" s="16" t="n">
        <v>15.6021274250281</v>
      </c>
      <c r="D1213" s="6" t="s">
        <v>66</v>
      </c>
      <c r="E1213" s="6" t="s">
        <v>57</v>
      </c>
      <c r="F1213" s="6" t="s">
        <v>24</v>
      </c>
      <c r="G1213" s="6" t="s">
        <v>64</v>
      </c>
      <c r="H1213" s="6" t="s">
        <v>65</v>
      </c>
      <c r="I1213" s="6" t="str">
        <f aca="false">IF(A1213&lt;Outliers!$E$6,"Low",IF(A1213&gt;Outliers!$F$6,"High",""))</f>
        <v>Low</v>
      </c>
      <c r="J1213" s="6" t="str">
        <f aca="false">IF(B1213&lt;Outliers!$E$7,"Low",IF(B1213&gt;Outliers!$F$7,"High",""))</f>
        <v/>
      </c>
      <c r="K1213" s="6" t="str">
        <f aca="false">IF(C1213&lt;Outliers!$E$8,"Low",IF(C1213&gt;Outliers!$F$8,"High",""))</f>
        <v/>
      </c>
      <c r="L1213" s="6" t="str">
        <f aca="false">A1213&amp;";"&amp;B1213&amp;";"&amp;C1213</f>
        <v>9.467960445;66.02765219;15.6021274250281</v>
      </c>
      <c r="M1213" s="6" t="n">
        <f aca="false">IF(COUNTIF($L$2:$L$2201,L1213)&gt;1,1,0)</f>
        <v>0</v>
      </c>
      <c r="N1213" s="6" t="str">
        <f aca="false">IF(AND(C1213&lt;Assumptions!$B$9,B1213&lt;Assumptions!$B$10),"Irrigate Now",IF(AND(C1213&gt;=Assumptions!$B$11,B1213&gt;=Assumptions!$B$12),"No Irrigation Needed","Monitor"))</f>
        <v>Irrigate Now</v>
      </c>
      <c r="O1213" s="6" t="n">
        <f aca="false">IF(N1213=G1213,1,0)</f>
        <v>1</v>
      </c>
    </row>
    <row r="1214" customFormat="false" ht="15" hidden="false" customHeight="false" outlineLevel="0" collapsed="false">
      <c r="A1214" s="16" t="n">
        <v>29.58748357</v>
      </c>
      <c r="B1214" s="16" t="n">
        <v>68.06417307</v>
      </c>
      <c r="C1214" s="16" t="n">
        <v>15.1259439297842</v>
      </c>
      <c r="D1214" s="6" t="s">
        <v>57</v>
      </c>
      <c r="E1214" s="6" t="s">
        <v>57</v>
      </c>
      <c r="F1214" s="6" t="s">
        <v>24</v>
      </c>
      <c r="G1214" s="6" t="s">
        <v>64</v>
      </c>
      <c r="H1214" s="6" t="s">
        <v>65</v>
      </c>
      <c r="I1214" s="6" t="str">
        <f aca="false">IF(A1214&lt;Outliers!$E$6,"Low",IF(A1214&gt;Outliers!$F$6,"High",""))</f>
        <v/>
      </c>
      <c r="J1214" s="6" t="str">
        <f aca="false">IF(B1214&lt;Outliers!$E$7,"Low",IF(B1214&gt;Outliers!$F$7,"High",""))</f>
        <v/>
      </c>
      <c r="K1214" s="6" t="str">
        <f aca="false">IF(C1214&lt;Outliers!$E$8,"Low",IF(C1214&gt;Outliers!$F$8,"High",""))</f>
        <v/>
      </c>
      <c r="L1214" s="6" t="str">
        <f aca="false">A1214&amp;";"&amp;B1214&amp;";"&amp;C1214</f>
        <v>29.58748357;68.06417307;15.1259439297842</v>
      </c>
      <c r="M1214" s="6" t="n">
        <f aca="false">IF(COUNTIF($L$2:$L$2201,L1214)&gt;1,1,0)</f>
        <v>0</v>
      </c>
      <c r="N1214" s="6" t="str">
        <f aca="false">IF(AND(C1214&lt;Assumptions!$B$9,B1214&lt;Assumptions!$B$10),"Irrigate Now",IF(AND(C1214&gt;=Assumptions!$B$11,B1214&gt;=Assumptions!$B$12),"No Irrigation Needed","Monitor"))</f>
        <v>Irrigate Now</v>
      </c>
      <c r="O1214" s="6" t="n">
        <f aca="false">IF(N1214=G1214,1,0)</f>
        <v>1</v>
      </c>
    </row>
    <row r="1215" customFormat="false" ht="15" hidden="false" customHeight="false" outlineLevel="0" collapsed="false">
      <c r="A1215" s="16" t="n">
        <v>17.82803682</v>
      </c>
      <c r="B1215" s="16" t="n">
        <v>65.84748763</v>
      </c>
      <c r="C1215" s="16" t="n">
        <v>25.6235725198503</v>
      </c>
      <c r="D1215" s="6" t="s">
        <v>66</v>
      </c>
      <c r="E1215" s="6" t="s">
        <v>57</v>
      </c>
      <c r="F1215" s="6" t="s">
        <v>23</v>
      </c>
      <c r="G1215" s="6" t="s">
        <v>61</v>
      </c>
      <c r="H1215" s="6" t="s">
        <v>63</v>
      </c>
      <c r="I1215" s="6" t="str">
        <f aca="false">IF(A1215&lt;Outliers!$E$6,"Low",IF(A1215&gt;Outliers!$F$6,"High",""))</f>
        <v/>
      </c>
      <c r="J1215" s="6" t="str">
        <f aca="false">IF(B1215&lt;Outliers!$E$7,"Low",IF(B1215&gt;Outliers!$F$7,"High",""))</f>
        <v/>
      </c>
      <c r="K1215" s="6" t="str">
        <f aca="false">IF(C1215&lt;Outliers!$E$8,"Low",IF(C1215&gt;Outliers!$F$8,"High",""))</f>
        <v/>
      </c>
      <c r="L1215" s="6" t="str">
        <f aca="false">A1215&amp;";"&amp;B1215&amp;";"&amp;C1215</f>
        <v>17.82803682;65.84748763;25.6235725198503</v>
      </c>
      <c r="M1215" s="6" t="n">
        <f aca="false">IF(COUNTIF($L$2:$L$2201,L1215)&gt;1,1,0)</f>
        <v>0</v>
      </c>
      <c r="N1215" s="6" t="str">
        <f aca="false">IF(AND(C1215&lt;Assumptions!$B$9,B1215&lt;Assumptions!$B$10),"Irrigate Now",IF(AND(C1215&gt;=Assumptions!$B$11,B1215&gt;=Assumptions!$B$12),"No Irrigation Needed","Monitor"))</f>
        <v>Monitor</v>
      </c>
      <c r="O1215" s="6" t="n">
        <f aca="false">IF(N1215=G1215,1,0)</f>
        <v>1</v>
      </c>
    </row>
    <row r="1216" customFormat="false" ht="15" hidden="false" customHeight="false" outlineLevel="0" collapsed="false">
      <c r="A1216" s="16" t="n">
        <v>8.825674745</v>
      </c>
      <c r="B1216" s="16" t="n">
        <v>67.235765</v>
      </c>
      <c r="C1216" s="16" t="n">
        <v>26.256420146185</v>
      </c>
      <c r="D1216" s="6" t="s">
        <v>66</v>
      </c>
      <c r="E1216" s="6" t="s">
        <v>57</v>
      </c>
      <c r="F1216" s="6" t="s">
        <v>23</v>
      </c>
      <c r="G1216" s="6" t="s">
        <v>61</v>
      </c>
      <c r="H1216" s="6" t="s">
        <v>63</v>
      </c>
      <c r="I1216" s="6" t="str">
        <f aca="false">IF(A1216&lt;Outliers!$E$6,"Low",IF(A1216&gt;Outliers!$F$6,"High",""))</f>
        <v>Low</v>
      </c>
      <c r="J1216" s="6" t="str">
        <f aca="false">IF(B1216&lt;Outliers!$E$7,"Low",IF(B1216&gt;Outliers!$F$7,"High",""))</f>
        <v/>
      </c>
      <c r="K1216" s="6" t="str">
        <f aca="false">IF(C1216&lt;Outliers!$E$8,"Low",IF(C1216&gt;Outliers!$F$8,"High",""))</f>
        <v/>
      </c>
      <c r="L1216" s="6" t="str">
        <f aca="false">A1216&amp;";"&amp;B1216&amp;";"&amp;C1216</f>
        <v>8.825674745;67.235765;26.256420146185</v>
      </c>
      <c r="M1216" s="6" t="n">
        <f aca="false">IF(COUNTIF($L$2:$L$2201,L1216)&gt;1,1,0)</f>
        <v>0</v>
      </c>
      <c r="N1216" s="6" t="str">
        <f aca="false">IF(AND(C1216&lt;Assumptions!$B$9,B1216&lt;Assumptions!$B$10),"Irrigate Now",IF(AND(C1216&gt;=Assumptions!$B$11,B1216&gt;=Assumptions!$B$12),"No Irrigation Needed","Monitor"))</f>
        <v>Monitor</v>
      </c>
      <c r="O1216" s="6" t="n">
        <f aca="false">IF(N1216=G1216,1,0)</f>
        <v>1</v>
      </c>
    </row>
    <row r="1217" customFormat="false" ht="15" hidden="false" customHeight="false" outlineLevel="0" collapsed="false">
      <c r="A1217" s="16" t="n">
        <v>27.83487131</v>
      </c>
      <c r="B1217" s="16" t="n">
        <v>73.02882766</v>
      </c>
      <c r="C1217" s="16" t="n">
        <v>14.9479704601248</v>
      </c>
      <c r="D1217" s="6" t="s">
        <v>57</v>
      </c>
      <c r="E1217" s="6" t="s">
        <v>57</v>
      </c>
      <c r="F1217" s="6" t="s">
        <v>24</v>
      </c>
      <c r="G1217" s="6" t="s">
        <v>64</v>
      </c>
      <c r="H1217" s="6" t="s">
        <v>65</v>
      </c>
      <c r="I1217" s="6" t="str">
        <f aca="false">IF(A1217&lt;Outliers!$E$6,"Low",IF(A1217&gt;Outliers!$F$6,"High",""))</f>
        <v/>
      </c>
      <c r="J1217" s="6" t="str">
        <f aca="false">IF(B1217&lt;Outliers!$E$7,"Low",IF(B1217&gt;Outliers!$F$7,"High",""))</f>
        <v/>
      </c>
      <c r="K1217" s="6" t="str">
        <f aca="false">IF(C1217&lt;Outliers!$E$8,"Low",IF(C1217&gt;Outliers!$F$8,"High",""))</f>
        <v/>
      </c>
      <c r="L1217" s="6" t="str">
        <f aca="false">A1217&amp;";"&amp;B1217&amp;";"&amp;C1217</f>
        <v>27.83487131;73.02882766;14.9479704601248</v>
      </c>
      <c r="M1217" s="6" t="n">
        <f aca="false">IF(COUNTIF($L$2:$L$2201,L1217)&gt;1,1,0)</f>
        <v>0</v>
      </c>
      <c r="N1217" s="6" t="str">
        <f aca="false">IF(AND(C1217&lt;Assumptions!$B$9,B1217&lt;Assumptions!$B$10),"Irrigate Now",IF(AND(C1217&gt;=Assumptions!$B$11,B1217&gt;=Assumptions!$B$12),"No Irrigation Needed","Monitor"))</f>
        <v>Irrigate Now</v>
      </c>
      <c r="O1217" s="6" t="n">
        <f aca="false">IF(N1217=G1217,1,0)</f>
        <v>1</v>
      </c>
    </row>
    <row r="1218" customFormat="false" ht="15" hidden="false" customHeight="false" outlineLevel="0" collapsed="false">
      <c r="A1218" s="16" t="n">
        <v>11.02105378</v>
      </c>
      <c r="B1218" s="16" t="n">
        <v>68.23963161</v>
      </c>
      <c r="C1218" s="16" t="n">
        <v>24.1892052978176</v>
      </c>
      <c r="D1218" s="6" t="s">
        <v>66</v>
      </c>
      <c r="E1218" s="6" t="s">
        <v>57</v>
      </c>
      <c r="F1218" s="6" t="s">
        <v>60</v>
      </c>
      <c r="G1218" s="6" t="s">
        <v>61</v>
      </c>
      <c r="H1218" s="6" t="s">
        <v>63</v>
      </c>
      <c r="I1218" s="6" t="str">
        <f aca="false">IF(A1218&lt;Outliers!$E$6,"Low",IF(A1218&gt;Outliers!$F$6,"High",""))</f>
        <v>Low</v>
      </c>
      <c r="J1218" s="6" t="str">
        <f aca="false">IF(B1218&lt;Outliers!$E$7,"Low",IF(B1218&gt;Outliers!$F$7,"High",""))</f>
        <v/>
      </c>
      <c r="K1218" s="6" t="str">
        <f aca="false">IF(C1218&lt;Outliers!$E$8,"Low",IF(C1218&gt;Outliers!$F$8,"High",""))</f>
        <v/>
      </c>
      <c r="L1218" s="6" t="str">
        <f aca="false">A1218&amp;";"&amp;B1218&amp;";"&amp;C1218</f>
        <v>11.02105378;68.23963161;24.1892052978176</v>
      </c>
      <c r="M1218" s="6" t="n">
        <f aca="false">IF(COUNTIF($L$2:$L$2201,L1218)&gt;1,1,0)</f>
        <v>0</v>
      </c>
      <c r="N1218" s="6" t="str">
        <f aca="false">IF(AND(C1218&lt;Assumptions!$B$9,B1218&lt;Assumptions!$B$10),"Irrigate Now",IF(AND(C1218&gt;=Assumptions!$B$11,B1218&gt;=Assumptions!$B$12),"No Irrigation Needed","Monitor"))</f>
        <v>Monitor</v>
      </c>
      <c r="O1218" s="6" t="n">
        <f aca="false">IF(N1218=G1218,1,0)</f>
        <v>1</v>
      </c>
    </row>
    <row r="1219" customFormat="false" ht="15" hidden="false" customHeight="false" outlineLevel="0" collapsed="false">
      <c r="A1219" s="16" t="n">
        <v>17.5862944</v>
      </c>
      <c r="B1219" s="16" t="n">
        <v>71.4065452</v>
      </c>
      <c r="C1219" s="16" t="n">
        <v>24.824483905063</v>
      </c>
      <c r="D1219" s="6" t="s">
        <v>66</v>
      </c>
      <c r="E1219" s="6" t="s">
        <v>57</v>
      </c>
      <c r="F1219" s="6" t="s">
        <v>60</v>
      </c>
      <c r="G1219" s="6" t="s">
        <v>61</v>
      </c>
      <c r="H1219" s="6" t="s">
        <v>63</v>
      </c>
      <c r="I1219" s="6" t="str">
        <f aca="false">IF(A1219&lt;Outliers!$E$6,"Low",IF(A1219&gt;Outliers!$F$6,"High",""))</f>
        <v/>
      </c>
      <c r="J1219" s="6" t="str">
        <f aca="false">IF(B1219&lt;Outliers!$E$7,"Low",IF(B1219&gt;Outliers!$F$7,"High",""))</f>
        <v/>
      </c>
      <c r="K1219" s="6" t="str">
        <f aca="false">IF(C1219&lt;Outliers!$E$8,"Low",IF(C1219&gt;Outliers!$F$8,"High",""))</f>
        <v/>
      </c>
      <c r="L1219" s="6" t="str">
        <f aca="false">A1219&amp;";"&amp;B1219&amp;";"&amp;C1219</f>
        <v>17.5862944;71.4065452;24.824483905063</v>
      </c>
      <c r="M1219" s="6" t="n">
        <f aca="false">IF(COUNTIF($L$2:$L$2201,L1219)&gt;1,1,0)</f>
        <v>0</v>
      </c>
      <c r="N1219" s="6" t="str">
        <f aca="false">IF(AND(C1219&lt;Assumptions!$B$9,B1219&lt;Assumptions!$B$10),"Irrigate Now",IF(AND(C1219&gt;=Assumptions!$B$11,B1219&gt;=Assumptions!$B$12),"No Irrigation Needed","Monitor"))</f>
        <v>Monitor</v>
      </c>
      <c r="O1219" s="6" t="n">
        <f aca="false">IF(N1219=G1219,1,0)</f>
        <v>1</v>
      </c>
    </row>
    <row r="1220" customFormat="false" ht="15" hidden="false" customHeight="false" outlineLevel="0" collapsed="false">
      <c r="A1220" s="16" t="n">
        <v>19.89363946</v>
      </c>
      <c r="B1220" s="16" t="n">
        <v>69.66256816</v>
      </c>
      <c r="C1220" s="16" t="n">
        <v>21.9133121194854</v>
      </c>
      <c r="D1220" s="6" t="s">
        <v>66</v>
      </c>
      <c r="E1220" s="6" t="s">
        <v>57</v>
      </c>
      <c r="F1220" s="6" t="s">
        <v>60</v>
      </c>
      <c r="G1220" s="6" t="s">
        <v>61</v>
      </c>
      <c r="H1220" s="6" t="s">
        <v>63</v>
      </c>
      <c r="I1220" s="6" t="str">
        <f aca="false">IF(A1220&lt;Outliers!$E$6,"Low",IF(A1220&gt;Outliers!$F$6,"High",""))</f>
        <v/>
      </c>
      <c r="J1220" s="6" t="str">
        <f aca="false">IF(B1220&lt;Outliers!$E$7,"Low",IF(B1220&gt;Outliers!$F$7,"High",""))</f>
        <v/>
      </c>
      <c r="K1220" s="6" t="str">
        <f aca="false">IF(C1220&lt;Outliers!$E$8,"Low",IF(C1220&gt;Outliers!$F$8,"High",""))</f>
        <v/>
      </c>
      <c r="L1220" s="6" t="str">
        <f aca="false">A1220&amp;";"&amp;B1220&amp;";"&amp;C1220</f>
        <v>19.89363946;69.66256816;21.9133121194854</v>
      </c>
      <c r="M1220" s="6" t="n">
        <f aca="false">IF(COUNTIF($L$2:$L$2201,L1220)&gt;1,1,0)</f>
        <v>0</v>
      </c>
      <c r="N1220" s="6" t="str">
        <f aca="false">IF(AND(C1220&lt;Assumptions!$B$9,B1220&lt;Assumptions!$B$10),"Irrigate Now",IF(AND(C1220&gt;=Assumptions!$B$11,B1220&gt;=Assumptions!$B$12),"No Irrigation Needed","Monitor"))</f>
        <v>Monitor</v>
      </c>
      <c r="O1220" s="6" t="n">
        <f aca="false">IF(N1220=G1220,1,0)</f>
        <v>1</v>
      </c>
    </row>
    <row r="1221" customFormat="false" ht="15" hidden="false" customHeight="false" outlineLevel="0" collapsed="false">
      <c r="A1221" s="16" t="n">
        <v>29.93707596</v>
      </c>
      <c r="B1221" s="16" t="n">
        <v>65.52279323</v>
      </c>
      <c r="C1221" s="16" t="n">
        <v>12.6613934482874</v>
      </c>
      <c r="D1221" s="6" t="s">
        <v>57</v>
      </c>
      <c r="E1221" s="6" t="s">
        <v>57</v>
      </c>
      <c r="F1221" s="6" t="s">
        <v>24</v>
      </c>
      <c r="G1221" s="6" t="s">
        <v>64</v>
      </c>
      <c r="H1221" s="6" t="s">
        <v>65</v>
      </c>
      <c r="I1221" s="6" t="str">
        <f aca="false">IF(A1221&lt;Outliers!$E$6,"Low",IF(A1221&gt;Outliers!$F$6,"High",""))</f>
        <v/>
      </c>
      <c r="J1221" s="6" t="str">
        <f aca="false">IF(B1221&lt;Outliers!$E$7,"Low",IF(B1221&gt;Outliers!$F$7,"High",""))</f>
        <v/>
      </c>
      <c r="K1221" s="6" t="str">
        <f aca="false">IF(C1221&lt;Outliers!$E$8,"Low",IF(C1221&gt;Outliers!$F$8,"High",""))</f>
        <v/>
      </c>
      <c r="L1221" s="6" t="str">
        <f aca="false">A1221&amp;";"&amp;B1221&amp;";"&amp;C1221</f>
        <v>29.93707596;65.52279323;12.6613934482874</v>
      </c>
      <c r="M1221" s="6" t="n">
        <f aca="false">IF(COUNTIF($L$2:$L$2201,L1221)&gt;1,1,0)</f>
        <v>0</v>
      </c>
      <c r="N1221" s="6" t="str">
        <f aca="false">IF(AND(C1221&lt;Assumptions!$B$9,B1221&lt;Assumptions!$B$10),"Irrigate Now",IF(AND(C1221&gt;=Assumptions!$B$11,B1221&gt;=Assumptions!$B$12),"No Irrigation Needed","Monitor"))</f>
        <v>Irrigate Now</v>
      </c>
      <c r="O1221" s="6" t="n">
        <f aca="false">IF(N1221=G1221,1,0)</f>
        <v>1</v>
      </c>
    </row>
    <row r="1222" customFormat="false" ht="15" hidden="false" customHeight="false" outlineLevel="0" collapsed="false">
      <c r="A1222" s="16" t="n">
        <v>36.73126647</v>
      </c>
      <c r="B1222" s="16" t="n">
        <v>72.24230804</v>
      </c>
      <c r="C1222" s="16" t="n">
        <v>19.0209937880308</v>
      </c>
      <c r="D1222" s="6" t="s">
        <v>67</v>
      </c>
      <c r="E1222" s="6" t="s">
        <v>57</v>
      </c>
      <c r="F1222" s="6" t="s">
        <v>60</v>
      </c>
      <c r="G1222" s="6" t="s">
        <v>61</v>
      </c>
      <c r="H1222" s="6" t="s">
        <v>68</v>
      </c>
      <c r="I1222" s="6" t="str">
        <f aca="false">IF(A1222&lt;Outliers!$E$6,"Low",IF(A1222&gt;Outliers!$F$6,"High",""))</f>
        <v/>
      </c>
      <c r="J1222" s="6" t="str">
        <f aca="false">IF(B1222&lt;Outliers!$E$7,"Low",IF(B1222&gt;Outliers!$F$7,"High",""))</f>
        <v/>
      </c>
      <c r="K1222" s="6" t="str">
        <f aca="false">IF(C1222&lt;Outliers!$E$8,"Low",IF(C1222&gt;Outliers!$F$8,"High",""))</f>
        <v/>
      </c>
      <c r="L1222" s="6" t="str">
        <f aca="false">A1222&amp;";"&amp;B1222&amp;";"&amp;C1222</f>
        <v>36.73126647;72.24230804;19.0209937880308</v>
      </c>
      <c r="M1222" s="6" t="n">
        <f aca="false">IF(COUNTIF($L$2:$L$2201,L1222)&gt;1,1,0)</f>
        <v>0</v>
      </c>
      <c r="N1222" s="6" t="str">
        <f aca="false">IF(AND(C1222&lt;Assumptions!$B$9,B1222&lt;Assumptions!$B$10),"Irrigate Now",IF(AND(C1222&gt;=Assumptions!$B$11,B1222&gt;=Assumptions!$B$12),"No Irrigation Needed","Monitor"))</f>
        <v>Monitor</v>
      </c>
      <c r="O1222" s="6" t="n">
        <f aca="false">IF(N1222=G1222,1,0)</f>
        <v>1</v>
      </c>
    </row>
    <row r="1223" customFormat="false" ht="15" hidden="false" customHeight="false" outlineLevel="0" collapsed="false">
      <c r="A1223" s="16" t="n">
        <v>20.42094753</v>
      </c>
      <c r="B1223" s="16" t="n">
        <v>66.93065667</v>
      </c>
      <c r="C1223" s="16" t="n">
        <v>22.0076798411404</v>
      </c>
      <c r="D1223" s="6" t="s">
        <v>57</v>
      </c>
      <c r="E1223" s="6" t="s">
        <v>57</v>
      </c>
      <c r="F1223" s="6" t="s">
        <v>60</v>
      </c>
      <c r="G1223" s="6" t="s">
        <v>61</v>
      </c>
      <c r="H1223" s="6" t="s">
        <v>63</v>
      </c>
      <c r="I1223" s="6" t="str">
        <f aca="false">IF(A1223&lt;Outliers!$E$6,"Low",IF(A1223&gt;Outliers!$F$6,"High",""))</f>
        <v/>
      </c>
      <c r="J1223" s="6" t="str">
        <f aca="false">IF(B1223&lt;Outliers!$E$7,"Low",IF(B1223&gt;Outliers!$F$7,"High",""))</f>
        <v/>
      </c>
      <c r="K1223" s="6" t="str">
        <f aca="false">IF(C1223&lt;Outliers!$E$8,"Low",IF(C1223&gt;Outliers!$F$8,"High",""))</f>
        <v/>
      </c>
      <c r="L1223" s="6" t="str">
        <f aca="false">A1223&amp;";"&amp;B1223&amp;";"&amp;C1223</f>
        <v>20.42094753;66.93065667;22.0076798411404</v>
      </c>
      <c r="M1223" s="6" t="n">
        <f aca="false">IF(COUNTIF($L$2:$L$2201,L1223)&gt;1,1,0)</f>
        <v>0</v>
      </c>
      <c r="N1223" s="6" t="str">
        <f aca="false">IF(AND(C1223&lt;Assumptions!$B$9,B1223&lt;Assumptions!$B$10),"Irrigate Now",IF(AND(C1223&gt;=Assumptions!$B$11,B1223&gt;=Assumptions!$B$12),"No Irrigation Needed","Monitor"))</f>
        <v>Monitor</v>
      </c>
      <c r="O1223" s="6" t="n">
        <f aca="false">IF(N1223=G1223,1,0)</f>
        <v>1</v>
      </c>
    </row>
    <row r="1224" customFormat="false" ht="15" hidden="false" customHeight="false" outlineLevel="0" collapsed="false">
      <c r="A1224" s="16" t="n">
        <v>25.51939719</v>
      </c>
      <c r="B1224" s="16" t="n">
        <v>69.17281221</v>
      </c>
      <c r="C1224" s="16" t="n">
        <v>20.3013190315452</v>
      </c>
      <c r="D1224" s="6" t="s">
        <v>57</v>
      </c>
      <c r="E1224" s="6" t="s">
        <v>57</v>
      </c>
      <c r="F1224" s="6" t="s">
        <v>60</v>
      </c>
      <c r="G1224" s="6" t="s">
        <v>61</v>
      </c>
      <c r="H1224" s="6" t="s">
        <v>63</v>
      </c>
      <c r="I1224" s="6" t="str">
        <f aca="false">IF(A1224&lt;Outliers!$E$6,"Low",IF(A1224&gt;Outliers!$F$6,"High",""))</f>
        <v/>
      </c>
      <c r="J1224" s="6" t="str">
        <f aca="false">IF(B1224&lt;Outliers!$E$7,"Low",IF(B1224&gt;Outliers!$F$7,"High",""))</f>
        <v/>
      </c>
      <c r="K1224" s="6" t="str">
        <f aca="false">IF(C1224&lt;Outliers!$E$8,"Low",IF(C1224&gt;Outliers!$F$8,"High",""))</f>
        <v/>
      </c>
      <c r="L1224" s="6" t="str">
        <f aca="false">A1224&amp;";"&amp;B1224&amp;";"&amp;C1224</f>
        <v>25.51939719;69.17281221;20.3013190315452</v>
      </c>
      <c r="M1224" s="6" t="n">
        <f aca="false">IF(COUNTIF($L$2:$L$2201,L1224)&gt;1,1,0)</f>
        <v>0</v>
      </c>
      <c r="N1224" s="6" t="str">
        <f aca="false">IF(AND(C1224&lt;Assumptions!$B$9,B1224&lt;Assumptions!$B$10),"Irrigate Now",IF(AND(C1224&gt;=Assumptions!$B$11,B1224&gt;=Assumptions!$B$12),"No Irrigation Needed","Monitor"))</f>
        <v>Monitor</v>
      </c>
      <c r="O1224" s="6" t="n">
        <f aca="false">IF(N1224=G1224,1,0)</f>
        <v>1</v>
      </c>
    </row>
    <row r="1225" customFormat="false" ht="15" hidden="false" customHeight="false" outlineLevel="0" collapsed="false">
      <c r="A1225" s="16" t="n">
        <v>30.50734778</v>
      </c>
      <c r="B1225" s="16" t="n">
        <v>70.08200379</v>
      </c>
      <c r="C1225" s="16" t="n">
        <v>11.7146456671516</v>
      </c>
      <c r="D1225" s="6" t="s">
        <v>67</v>
      </c>
      <c r="E1225" s="6" t="s">
        <v>57</v>
      </c>
      <c r="F1225" s="6" t="s">
        <v>24</v>
      </c>
      <c r="G1225" s="6" t="s">
        <v>64</v>
      </c>
      <c r="H1225" s="6" t="s">
        <v>65</v>
      </c>
      <c r="I1225" s="6" t="str">
        <f aca="false">IF(A1225&lt;Outliers!$E$6,"Low",IF(A1225&gt;Outliers!$F$6,"High",""))</f>
        <v/>
      </c>
      <c r="J1225" s="6" t="str">
        <f aca="false">IF(B1225&lt;Outliers!$E$7,"Low",IF(B1225&gt;Outliers!$F$7,"High",""))</f>
        <v/>
      </c>
      <c r="K1225" s="6" t="str">
        <f aca="false">IF(C1225&lt;Outliers!$E$8,"Low",IF(C1225&gt;Outliers!$F$8,"High",""))</f>
        <v/>
      </c>
      <c r="L1225" s="6" t="str">
        <f aca="false">A1225&amp;";"&amp;B1225&amp;";"&amp;C1225</f>
        <v>30.50734778;70.08200379;11.7146456671516</v>
      </c>
      <c r="M1225" s="6" t="n">
        <f aca="false">IF(COUNTIF($L$2:$L$2201,L1225)&gt;1,1,0)</f>
        <v>0</v>
      </c>
      <c r="N1225" s="6" t="str">
        <f aca="false">IF(AND(C1225&lt;Assumptions!$B$9,B1225&lt;Assumptions!$B$10),"Irrigate Now",IF(AND(C1225&gt;=Assumptions!$B$11,B1225&gt;=Assumptions!$B$12),"No Irrigation Needed","Monitor"))</f>
        <v>Irrigate Now</v>
      </c>
      <c r="O1225" s="6" t="n">
        <f aca="false">IF(N1225=G1225,1,0)</f>
        <v>1</v>
      </c>
    </row>
    <row r="1226" customFormat="false" ht="15" hidden="false" customHeight="false" outlineLevel="0" collapsed="false">
      <c r="A1226" s="16" t="n">
        <v>18.4269936</v>
      </c>
      <c r="B1226" s="16" t="n">
        <v>69.75734306</v>
      </c>
      <c r="C1226" s="16" t="n">
        <v>11.4027957656125</v>
      </c>
      <c r="D1226" s="6" t="s">
        <v>66</v>
      </c>
      <c r="E1226" s="6" t="s">
        <v>57</v>
      </c>
      <c r="F1226" s="6" t="s">
        <v>24</v>
      </c>
      <c r="G1226" s="6" t="s">
        <v>64</v>
      </c>
      <c r="H1226" s="6" t="s">
        <v>65</v>
      </c>
      <c r="I1226" s="6" t="str">
        <f aca="false">IF(A1226&lt;Outliers!$E$6,"Low",IF(A1226&gt;Outliers!$F$6,"High",""))</f>
        <v/>
      </c>
      <c r="J1226" s="6" t="str">
        <f aca="false">IF(B1226&lt;Outliers!$E$7,"Low",IF(B1226&gt;Outliers!$F$7,"High",""))</f>
        <v/>
      </c>
      <c r="K1226" s="6" t="str">
        <f aca="false">IF(C1226&lt;Outliers!$E$8,"Low",IF(C1226&gt;Outliers!$F$8,"High",""))</f>
        <v/>
      </c>
      <c r="L1226" s="6" t="str">
        <f aca="false">A1226&amp;";"&amp;B1226&amp;";"&amp;C1226</f>
        <v>18.4269936;69.75734306;11.4027957656125</v>
      </c>
      <c r="M1226" s="6" t="n">
        <f aca="false">IF(COUNTIF($L$2:$L$2201,L1226)&gt;1,1,0)</f>
        <v>0</v>
      </c>
      <c r="N1226" s="6" t="str">
        <f aca="false">IF(AND(C1226&lt;Assumptions!$B$9,B1226&lt;Assumptions!$B$10),"Irrigate Now",IF(AND(C1226&gt;=Assumptions!$B$11,B1226&gt;=Assumptions!$B$12),"No Irrigation Needed","Monitor"))</f>
        <v>Irrigate Now</v>
      </c>
      <c r="O1226" s="6" t="n">
        <f aca="false">IF(N1226=G1226,1,0)</f>
        <v>1</v>
      </c>
    </row>
    <row r="1227" customFormat="false" ht="15" hidden="false" customHeight="false" outlineLevel="0" collapsed="false">
      <c r="A1227" s="16" t="n">
        <v>12.087022</v>
      </c>
      <c r="B1227" s="16" t="n">
        <v>68.66813363</v>
      </c>
      <c r="C1227" s="16" t="n">
        <v>25.6386603659268</v>
      </c>
      <c r="D1227" s="6" t="s">
        <v>66</v>
      </c>
      <c r="E1227" s="6" t="s">
        <v>57</v>
      </c>
      <c r="F1227" s="6" t="s">
        <v>23</v>
      </c>
      <c r="G1227" s="6" t="s">
        <v>61</v>
      </c>
      <c r="H1227" s="6" t="s">
        <v>63</v>
      </c>
      <c r="I1227" s="6" t="str">
        <f aca="false">IF(A1227&lt;Outliers!$E$6,"Low",IF(A1227&gt;Outliers!$F$6,"High",""))</f>
        <v>Low</v>
      </c>
      <c r="J1227" s="6" t="str">
        <f aca="false">IF(B1227&lt;Outliers!$E$7,"Low",IF(B1227&gt;Outliers!$F$7,"High",""))</f>
        <v/>
      </c>
      <c r="K1227" s="6" t="str">
        <f aca="false">IF(C1227&lt;Outliers!$E$8,"Low",IF(C1227&gt;Outliers!$F$8,"High",""))</f>
        <v/>
      </c>
      <c r="L1227" s="6" t="str">
        <f aca="false">A1227&amp;";"&amp;B1227&amp;";"&amp;C1227</f>
        <v>12.087022;68.66813363;25.6386603659268</v>
      </c>
      <c r="M1227" s="6" t="n">
        <f aca="false">IF(COUNTIF($L$2:$L$2201,L1227)&gt;1,1,0)</f>
        <v>0</v>
      </c>
      <c r="N1227" s="6" t="str">
        <f aca="false">IF(AND(C1227&lt;Assumptions!$B$9,B1227&lt;Assumptions!$B$10),"Irrigate Now",IF(AND(C1227&gt;=Assumptions!$B$11,B1227&gt;=Assumptions!$B$12),"No Irrigation Needed","Monitor"))</f>
        <v>Monitor</v>
      </c>
      <c r="O1227" s="6" t="n">
        <f aca="false">IF(N1227=G1227,1,0)</f>
        <v>1</v>
      </c>
    </row>
    <row r="1228" customFormat="false" ht="15" hidden="false" customHeight="false" outlineLevel="0" collapsed="false">
      <c r="A1228" s="16" t="n">
        <v>23.60115364</v>
      </c>
      <c r="B1228" s="16" t="n">
        <v>73.23901752</v>
      </c>
      <c r="C1228" s="16" t="n">
        <v>13.0372546412143</v>
      </c>
      <c r="D1228" s="6" t="s">
        <v>57</v>
      </c>
      <c r="E1228" s="6" t="s">
        <v>57</v>
      </c>
      <c r="F1228" s="6" t="s">
        <v>24</v>
      </c>
      <c r="G1228" s="6" t="s">
        <v>64</v>
      </c>
      <c r="H1228" s="6" t="s">
        <v>65</v>
      </c>
      <c r="I1228" s="6" t="str">
        <f aca="false">IF(A1228&lt;Outliers!$E$6,"Low",IF(A1228&gt;Outliers!$F$6,"High",""))</f>
        <v/>
      </c>
      <c r="J1228" s="6" t="str">
        <f aca="false">IF(B1228&lt;Outliers!$E$7,"Low",IF(B1228&gt;Outliers!$F$7,"High",""))</f>
        <v/>
      </c>
      <c r="K1228" s="6" t="str">
        <f aca="false">IF(C1228&lt;Outliers!$E$8,"Low",IF(C1228&gt;Outliers!$F$8,"High",""))</f>
        <v/>
      </c>
      <c r="L1228" s="6" t="str">
        <f aca="false">A1228&amp;";"&amp;B1228&amp;";"&amp;C1228</f>
        <v>23.60115364;73.23901752;13.0372546412143</v>
      </c>
      <c r="M1228" s="6" t="n">
        <f aca="false">IF(COUNTIF($L$2:$L$2201,L1228)&gt;1,1,0)</f>
        <v>0</v>
      </c>
      <c r="N1228" s="6" t="str">
        <f aca="false">IF(AND(C1228&lt;Assumptions!$B$9,B1228&lt;Assumptions!$B$10),"Irrigate Now",IF(AND(C1228&gt;=Assumptions!$B$11,B1228&gt;=Assumptions!$B$12),"No Irrigation Needed","Monitor"))</f>
        <v>Irrigate Now</v>
      </c>
      <c r="O1228" s="6" t="n">
        <f aca="false">IF(N1228=G1228,1,0)</f>
        <v>1</v>
      </c>
    </row>
    <row r="1229" customFormat="false" ht="15" hidden="false" customHeight="false" outlineLevel="0" collapsed="false">
      <c r="A1229" s="16" t="n">
        <v>12.80000387</v>
      </c>
      <c r="B1229" s="16" t="n">
        <v>67.10439401</v>
      </c>
      <c r="C1229" s="16" t="n">
        <v>11.388349185657</v>
      </c>
      <c r="D1229" s="6" t="s">
        <v>66</v>
      </c>
      <c r="E1229" s="6" t="s">
        <v>57</v>
      </c>
      <c r="F1229" s="6" t="s">
        <v>24</v>
      </c>
      <c r="G1229" s="6" t="s">
        <v>64</v>
      </c>
      <c r="H1229" s="6" t="s">
        <v>65</v>
      </c>
      <c r="I1229" s="6" t="str">
        <f aca="false">IF(A1229&lt;Outliers!$E$6,"Low",IF(A1229&gt;Outliers!$F$6,"High",""))</f>
        <v>Low</v>
      </c>
      <c r="J1229" s="6" t="str">
        <f aca="false">IF(B1229&lt;Outliers!$E$7,"Low",IF(B1229&gt;Outliers!$F$7,"High",""))</f>
        <v/>
      </c>
      <c r="K1229" s="6" t="str">
        <f aca="false">IF(C1229&lt;Outliers!$E$8,"Low",IF(C1229&gt;Outliers!$F$8,"High",""))</f>
        <v/>
      </c>
      <c r="L1229" s="6" t="str">
        <f aca="false">A1229&amp;";"&amp;B1229&amp;";"&amp;C1229</f>
        <v>12.80000387;67.10439401;11.388349185657</v>
      </c>
      <c r="M1229" s="6" t="n">
        <f aca="false">IF(COUNTIF($L$2:$L$2201,L1229)&gt;1,1,0)</f>
        <v>0</v>
      </c>
      <c r="N1229" s="6" t="str">
        <f aca="false">IF(AND(C1229&lt;Assumptions!$B$9,B1229&lt;Assumptions!$B$10),"Irrigate Now",IF(AND(C1229&gt;=Assumptions!$B$11,B1229&gt;=Assumptions!$B$12),"No Irrigation Needed","Monitor"))</f>
        <v>Irrigate Now</v>
      </c>
      <c r="O1229" s="6" t="n">
        <f aca="false">IF(N1229=G1229,1,0)</f>
        <v>1</v>
      </c>
    </row>
    <row r="1230" customFormat="false" ht="15" hidden="false" customHeight="false" outlineLevel="0" collapsed="false">
      <c r="A1230" s="16" t="n">
        <v>38.06099482</v>
      </c>
      <c r="B1230" s="16" t="n">
        <v>65.70148216</v>
      </c>
      <c r="C1230" s="16" t="n">
        <v>23.0224076242747</v>
      </c>
      <c r="D1230" s="6" t="s">
        <v>67</v>
      </c>
      <c r="E1230" s="6" t="s">
        <v>57</v>
      </c>
      <c r="F1230" s="6" t="s">
        <v>60</v>
      </c>
      <c r="G1230" s="6" t="s">
        <v>61</v>
      </c>
      <c r="H1230" s="6" t="s">
        <v>63</v>
      </c>
      <c r="I1230" s="6" t="str">
        <f aca="false">IF(A1230&lt;Outliers!$E$6,"Low",IF(A1230&gt;Outliers!$F$6,"High",""))</f>
        <v>High</v>
      </c>
      <c r="J1230" s="6" t="str">
        <f aca="false">IF(B1230&lt;Outliers!$E$7,"Low",IF(B1230&gt;Outliers!$F$7,"High",""))</f>
        <v/>
      </c>
      <c r="K1230" s="6" t="str">
        <f aca="false">IF(C1230&lt;Outliers!$E$8,"Low",IF(C1230&gt;Outliers!$F$8,"High",""))</f>
        <v/>
      </c>
      <c r="L1230" s="6" t="str">
        <f aca="false">A1230&amp;";"&amp;B1230&amp;";"&amp;C1230</f>
        <v>38.06099482;65.70148216;23.0224076242747</v>
      </c>
      <c r="M1230" s="6" t="n">
        <f aca="false">IF(COUNTIF($L$2:$L$2201,L1230)&gt;1,1,0)</f>
        <v>0</v>
      </c>
      <c r="N1230" s="6" t="str">
        <f aca="false">IF(AND(C1230&lt;Assumptions!$B$9,B1230&lt;Assumptions!$B$10),"Irrigate Now",IF(AND(C1230&gt;=Assumptions!$B$11,B1230&gt;=Assumptions!$B$12),"No Irrigation Needed","Monitor"))</f>
        <v>Monitor</v>
      </c>
      <c r="O1230" s="6" t="n">
        <f aca="false">IF(N1230=G1230,1,0)</f>
        <v>1</v>
      </c>
    </row>
    <row r="1231" customFormat="false" ht="15" hidden="false" customHeight="false" outlineLevel="0" collapsed="false">
      <c r="A1231" s="16" t="n">
        <v>39.06555518</v>
      </c>
      <c r="B1231" s="16" t="n">
        <v>69.30772897</v>
      </c>
      <c r="C1231" s="16" t="n">
        <v>18.2463097065442</v>
      </c>
      <c r="D1231" s="6" t="s">
        <v>67</v>
      </c>
      <c r="E1231" s="6" t="s">
        <v>57</v>
      </c>
      <c r="F1231" s="6" t="s">
        <v>24</v>
      </c>
      <c r="G1231" s="6" t="s">
        <v>61</v>
      </c>
      <c r="H1231" s="6" t="s">
        <v>68</v>
      </c>
      <c r="I1231" s="6" t="str">
        <f aca="false">IF(A1231&lt;Outliers!$E$6,"Low",IF(A1231&gt;Outliers!$F$6,"High",""))</f>
        <v>High</v>
      </c>
      <c r="J1231" s="6" t="str">
        <f aca="false">IF(B1231&lt;Outliers!$E$7,"Low",IF(B1231&gt;Outliers!$F$7,"High",""))</f>
        <v/>
      </c>
      <c r="K1231" s="6" t="str">
        <f aca="false">IF(C1231&lt;Outliers!$E$8,"Low",IF(C1231&gt;Outliers!$F$8,"High",""))</f>
        <v/>
      </c>
      <c r="L1231" s="6" t="str">
        <f aca="false">A1231&amp;";"&amp;B1231&amp;";"&amp;C1231</f>
        <v>39.06555518;69.30772897;18.2463097065442</v>
      </c>
      <c r="M1231" s="6" t="n">
        <f aca="false">IF(COUNTIF($L$2:$L$2201,L1231)&gt;1,1,0)</f>
        <v>0</v>
      </c>
      <c r="N1231" s="6" t="str">
        <f aca="false">IF(AND(C1231&lt;Assumptions!$B$9,B1231&lt;Assumptions!$B$10),"Irrigate Now",IF(AND(C1231&gt;=Assumptions!$B$11,B1231&gt;=Assumptions!$B$12),"No Irrigation Needed","Monitor"))</f>
        <v>Monitor</v>
      </c>
      <c r="O1231" s="6" t="n">
        <f aca="false">IF(N1231=G1231,1,0)</f>
        <v>1</v>
      </c>
    </row>
    <row r="1232" customFormat="false" ht="15" hidden="false" customHeight="false" outlineLevel="0" collapsed="false">
      <c r="A1232" s="16" t="n">
        <v>33.78372897</v>
      </c>
      <c r="B1232" s="16" t="n">
        <v>74.53557341</v>
      </c>
      <c r="C1232" s="16" t="n">
        <v>17.2252755742669</v>
      </c>
      <c r="D1232" s="6" t="s">
        <v>67</v>
      </c>
      <c r="E1232" s="6" t="s">
        <v>57</v>
      </c>
      <c r="F1232" s="6" t="s">
        <v>24</v>
      </c>
      <c r="G1232" s="6" t="s">
        <v>64</v>
      </c>
      <c r="H1232" s="6" t="s">
        <v>65</v>
      </c>
      <c r="I1232" s="6" t="str">
        <f aca="false">IF(A1232&lt;Outliers!$E$6,"Low",IF(A1232&gt;Outliers!$F$6,"High",""))</f>
        <v/>
      </c>
      <c r="J1232" s="6" t="str">
        <f aca="false">IF(B1232&lt;Outliers!$E$7,"Low",IF(B1232&gt;Outliers!$F$7,"High",""))</f>
        <v/>
      </c>
      <c r="K1232" s="6" t="str">
        <f aca="false">IF(C1232&lt;Outliers!$E$8,"Low",IF(C1232&gt;Outliers!$F$8,"High",""))</f>
        <v/>
      </c>
      <c r="L1232" s="6" t="str">
        <f aca="false">A1232&amp;";"&amp;B1232&amp;";"&amp;C1232</f>
        <v>33.78372897;74.53557341;17.2252755742669</v>
      </c>
      <c r="M1232" s="6" t="n">
        <f aca="false">IF(COUNTIF($L$2:$L$2201,L1232)&gt;1,1,0)</f>
        <v>0</v>
      </c>
      <c r="N1232" s="6" t="str">
        <f aca="false">IF(AND(C1232&lt;Assumptions!$B$9,B1232&lt;Assumptions!$B$10),"Irrigate Now",IF(AND(C1232&gt;=Assumptions!$B$11,B1232&gt;=Assumptions!$B$12),"No Irrigation Needed","Monitor"))</f>
        <v>Irrigate Now</v>
      </c>
      <c r="O1232" s="6" t="n">
        <f aca="false">IF(N1232=G1232,1,0)</f>
        <v>1</v>
      </c>
    </row>
    <row r="1233" customFormat="false" ht="15" hidden="false" customHeight="false" outlineLevel="0" collapsed="false">
      <c r="A1233" s="16" t="n">
        <v>16.76201707</v>
      </c>
      <c r="B1233" s="16" t="n">
        <v>73.28712806</v>
      </c>
      <c r="C1233" s="16" t="n">
        <v>27.6724790561912</v>
      </c>
      <c r="D1233" s="6" t="s">
        <v>66</v>
      </c>
      <c r="E1233" s="6" t="s">
        <v>57</v>
      </c>
      <c r="F1233" s="6" t="s">
        <v>23</v>
      </c>
      <c r="G1233" s="6" t="s">
        <v>61</v>
      </c>
      <c r="H1233" s="6" t="s">
        <v>63</v>
      </c>
      <c r="I1233" s="6" t="str">
        <f aca="false">IF(A1233&lt;Outliers!$E$6,"Low",IF(A1233&gt;Outliers!$F$6,"High",""))</f>
        <v/>
      </c>
      <c r="J1233" s="6" t="str">
        <f aca="false">IF(B1233&lt;Outliers!$E$7,"Low",IF(B1233&gt;Outliers!$F$7,"High",""))</f>
        <v/>
      </c>
      <c r="K1233" s="6" t="str">
        <f aca="false">IF(C1233&lt;Outliers!$E$8,"Low",IF(C1233&gt;Outliers!$F$8,"High",""))</f>
        <v/>
      </c>
      <c r="L1233" s="6" t="str">
        <f aca="false">A1233&amp;";"&amp;B1233&amp;";"&amp;C1233</f>
        <v>16.76201707;73.28712806;27.6724790561912</v>
      </c>
      <c r="M1233" s="6" t="n">
        <f aca="false">IF(COUNTIF($L$2:$L$2201,L1233)&gt;1,1,0)</f>
        <v>0</v>
      </c>
      <c r="N1233" s="6" t="str">
        <f aca="false">IF(AND(C1233&lt;Assumptions!$B$9,B1233&lt;Assumptions!$B$10),"Irrigate Now",IF(AND(C1233&gt;=Assumptions!$B$11,B1233&gt;=Assumptions!$B$12),"No Irrigation Needed","Monitor"))</f>
        <v>Monitor</v>
      </c>
      <c r="O1233" s="6" t="n">
        <f aca="false">IF(N1233=G1233,1,0)</f>
        <v>1</v>
      </c>
    </row>
    <row r="1234" customFormat="false" ht="15" hidden="false" customHeight="false" outlineLevel="0" collapsed="false">
      <c r="A1234" s="16" t="n">
        <v>35.89307536</v>
      </c>
      <c r="B1234" s="16" t="n">
        <v>66.53946559</v>
      </c>
      <c r="C1234" s="16" t="n">
        <v>18.7788723343511</v>
      </c>
      <c r="D1234" s="6" t="s">
        <v>67</v>
      </c>
      <c r="E1234" s="6" t="s">
        <v>57</v>
      </c>
      <c r="F1234" s="6" t="s">
        <v>60</v>
      </c>
      <c r="G1234" s="6" t="s">
        <v>61</v>
      </c>
      <c r="H1234" s="6" t="s">
        <v>68</v>
      </c>
      <c r="I1234" s="6" t="str">
        <f aca="false">IF(A1234&lt;Outliers!$E$6,"Low",IF(A1234&gt;Outliers!$F$6,"High",""))</f>
        <v/>
      </c>
      <c r="J1234" s="6" t="str">
        <f aca="false">IF(B1234&lt;Outliers!$E$7,"Low",IF(B1234&gt;Outliers!$F$7,"High",""))</f>
        <v/>
      </c>
      <c r="K1234" s="6" t="str">
        <f aca="false">IF(C1234&lt;Outliers!$E$8,"Low",IF(C1234&gt;Outliers!$F$8,"High",""))</f>
        <v/>
      </c>
      <c r="L1234" s="6" t="str">
        <f aca="false">A1234&amp;";"&amp;B1234&amp;";"&amp;C1234</f>
        <v>35.89307536;66.53946559;18.7788723343511</v>
      </c>
      <c r="M1234" s="6" t="n">
        <f aca="false">IF(COUNTIF($L$2:$L$2201,L1234)&gt;1,1,0)</f>
        <v>0</v>
      </c>
      <c r="N1234" s="6" t="str">
        <f aca="false">IF(AND(C1234&lt;Assumptions!$B$9,B1234&lt;Assumptions!$B$10),"Irrigate Now",IF(AND(C1234&gt;=Assumptions!$B$11,B1234&gt;=Assumptions!$B$12),"No Irrigation Needed","Monitor"))</f>
        <v>Monitor</v>
      </c>
      <c r="O1234" s="6" t="n">
        <f aca="false">IF(N1234=G1234,1,0)</f>
        <v>1</v>
      </c>
    </row>
    <row r="1235" customFormat="false" ht="15" hidden="false" customHeight="false" outlineLevel="0" collapsed="false">
      <c r="A1235" s="16" t="n">
        <v>21.01245395</v>
      </c>
      <c r="B1235" s="16" t="n">
        <v>66.38448261</v>
      </c>
      <c r="C1235" s="16" t="n">
        <v>10.9849199486763</v>
      </c>
      <c r="D1235" s="6" t="s">
        <v>57</v>
      </c>
      <c r="E1235" s="6" t="s">
        <v>57</v>
      </c>
      <c r="F1235" s="6" t="s">
        <v>24</v>
      </c>
      <c r="G1235" s="6" t="s">
        <v>64</v>
      </c>
      <c r="H1235" s="6" t="s">
        <v>65</v>
      </c>
      <c r="I1235" s="6" t="str">
        <f aca="false">IF(A1235&lt;Outliers!$E$6,"Low",IF(A1235&gt;Outliers!$F$6,"High",""))</f>
        <v/>
      </c>
      <c r="J1235" s="6" t="str">
        <f aca="false">IF(B1235&lt;Outliers!$E$7,"Low",IF(B1235&gt;Outliers!$F$7,"High",""))</f>
        <v/>
      </c>
      <c r="K1235" s="6" t="str">
        <f aca="false">IF(C1235&lt;Outliers!$E$8,"Low",IF(C1235&gt;Outliers!$F$8,"High",""))</f>
        <v/>
      </c>
      <c r="L1235" s="6" t="str">
        <f aca="false">A1235&amp;";"&amp;B1235&amp;";"&amp;C1235</f>
        <v>21.01245395;66.38448261;10.9849199486763</v>
      </c>
      <c r="M1235" s="6" t="n">
        <f aca="false">IF(COUNTIF($L$2:$L$2201,L1235)&gt;1,1,0)</f>
        <v>0</v>
      </c>
      <c r="N1235" s="6" t="str">
        <f aca="false">IF(AND(C1235&lt;Assumptions!$B$9,B1235&lt;Assumptions!$B$10),"Irrigate Now",IF(AND(C1235&gt;=Assumptions!$B$11,B1235&gt;=Assumptions!$B$12),"No Irrigation Needed","Monitor"))</f>
        <v>Irrigate Now</v>
      </c>
      <c r="O1235" s="6" t="n">
        <f aca="false">IF(N1235=G1235,1,0)</f>
        <v>1</v>
      </c>
    </row>
    <row r="1236" customFormat="false" ht="15" hidden="false" customHeight="false" outlineLevel="0" collapsed="false">
      <c r="A1236" s="16" t="n">
        <v>10.89875873</v>
      </c>
      <c r="B1236" s="16" t="n">
        <v>68.69420397</v>
      </c>
      <c r="C1236" s="16" t="n">
        <v>19.4840993041031</v>
      </c>
      <c r="D1236" s="6" t="s">
        <v>66</v>
      </c>
      <c r="E1236" s="6" t="s">
        <v>57</v>
      </c>
      <c r="F1236" s="6" t="s">
        <v>60</v>
      </c>
      <c r="G1236" s="6" t="s">
        <v>61</v>
      </c>
      <c r="H1236" s="6" t="s">
        <v>63</v>
      </c>
      <c r="I1236" s="6" t="str">
        <f aca="false">IF(A1236&lt;Outliers!$E$6,"Low",IF(A1236&gt;Outliers!$F$6,"High",""))</f>
        <v>Low</v>
      </c>
      <c r="J1236" s="6" t="str">
        <f aca="false">IF(B1236&lt;Outliers!$E$7,"Low",IF(B1236&gt;Outliers!$F$7,"High",""))</f>
        <v/>
      </c>
      <c r="K1236" s="6" t="str">
        <f aca="false">IF(C1236&lt;Outliers!$E$8,"Low",IF(C1236&gt;Outliers!$F$8,"High",""))</f>
        <v/>
      </c>
      <c r="L1236" s="6" t="str">
        <f aca="false">A1236&amp;";"&amp;B1236&amp;";"&amp;C1236</f>
        <v>10.89875873;68.69420397;19.4840993041031</v>
      </c>
      <c r="M1236" s="6" t="n">
        <f aca="false">IF(COUNTIF($L$2:$L$2201,L1236)&gt;1,1,0)</f>
        <v>0</v>
      </c>
      <c r="N1236" s="6" t="str">
        <f aca="false">IF(AND(C1236&lt;Assumptions!$B$9,B1236&lt;Assumptions!$B$10),"Irrigate Now",IF(AND(C1236&gt;=Assumptions!$B$11,B1236&gt;=Assumptions!$B$12),"No Irrigation Needed","Monitor"))</f>
        <v>Monitor</v>
      </c>
      <c r="O1236" s="6" t="n">
        <f aca="false">IF(N1236=G1236,1,0)</f>
        <v>1</v>
      </c>
    </row>
    <row r="1237" customFormat="false" ht="15" hidden="false" customHeight="false" outlineLevel="0" collapsed="false">
      <c r="A1237" s="16" t="n">
        <v>16.36251869</v>
      </c>
      <c r="B1237" s="16" t="n">
        <v>71.55665483</v>
      </c>
      <c r="C1237" s="16" t="n">
        <v>22.3306339484363</v>
      </c>
      <c r="D1237" s="6" t="s">
        <v>66</v>
      </c>
      <c r="E1237" s="6" t="s">
        <v>57</v>
      </c>
      <c r="F1237" s="6" t="s">
        <v>60</v>
      </c>
      <c r="G1237" s="6" t="s">
        <v>61</v>
      </c>
      <c r="H1237" s="6" t="s">
        <v>63</v>
      </c>
      <c r="I1237" s="6" t="str">
        <f aca="false">IF(A1237&lt;Outliers!$E$6,"Low",IF(A1237&gt;Outliers!$F$6,"High",""))</f>
        <v/>
      </c>
      <c r="J1237" s="6" t="str">
        <f aca="false">IF(B1237&lt;Outliers!$E$7,"Low",IF(B1237&gt;Outliers!$F$7,"High",""))</f>
        <v/>
      </c>
      <c r="K1237" s="6" t="str">
        <f aca="false">IF(C1237&lt;Outliers!$E$8,"Low",IF(C1237&gt;Outliers!$F$8,"High",""))</f>
        <v/>
      </c>
      <c r="L1237" s="6" t="str">
        <f aca="false">A1237&amp;";"&amp;B1237&amp;";"&amp;C1237</f>
        <v>16.36251869;71.55665483;22.3306339484363</v>
      </c>
      <c r="M1237" s="6" t="n">
        <f aca="false">IF(COUNTIF($L$2:$L$2201,L1237)&gt;1,1,0)</f>
        <v>0</v>
      </c>
      <c r="N1237" s="6" t="str">
        <f aca="false">IF(AND(C1237&lt;Assumptions!$B$9,B1237&lt;Assumptions!$B$10),"Irrigate Now",IF(AND(C1237&gt;=Assumptions!$B$11,B1237&gt;=Assumptions!$B$12),"No Irrigation Needed","Monitor"))</f>
        <v>Monitor</v>
      </c>
      <c r="O1237" s="6" t="n">
        <f aca="false">IF(N1237=G1237,1,0)</f>
        <v>1</v>
      </c>
    </row>
    <row r="1238" customFormat="false" ht="15" hidden="false" customHeight="false" outlineLevel="0" collapsed="false">
      <c r="A1238" s="16" t="n">
        <v>20.28370163</v>
      </c>
      <c r="B1238" s="16" t="n">
        <v>71.06611222</v>
      </c>
      <c r="C1238" s="16" t="n">
        <v>23.788590159525</v>
      </c>
      <c r="D1238" s="6" t="s">
        <v>57</v>
      </c>
      <c r="E1238" s="6" t="s">
        <v>57</v>
      </c>
      <c r="F1238" s="6" t="s">
        <v>60</v>
      </c>
      <c r="G1238" s="6" t="s">
        <v>61</v>
      </c>
      <c r="H1238" s="6" t="s">
        <v>63</v>
      </c>
      <c r="I1238" s="6" t="str">
        <f aca="false">IF(A1238&lt;Outliers!$E$6,"Low",IF(A1238&gt;Outliers!$F$6,"High",""))</f>
        <v/>
      </c>
      <c r="J1238" s="6" t="str">
        <f aca="false">IF(B1238&lt;Outliers!$E$7,"Low",IF(B1238&gt;Outliers!$F$7,"High",""))</f>
        <v/>
      </c>
      <c r="K1238" s="6" t="str">
        <f aca="false">IF(C1238&lt;Outliers!$E$8,"Low",IF(C1238&gt;Outliers!$F$8,"High",""))</f>
        <v/>
      </c>
      <c r="L1238" s="6" t="str">
        <f aca="false">A1238&amp;";"&amp;B1238&amp;";"&amp;C1238</f>
        <v>20.28370163;71.06611222;23.788590159525</v>
      </c>
      <c r="M1238" s="6" t="n">
        <f aca="false">IF(COUNTIF($L$2:$L$2201,L1238)&gt;1,1,0)</f>
        <v>0</v>
      </c>
      <c r="N1238" s="6" t="str">
        <f aca="false">IF(AND(C1238&lt;Assumptions!$B$9,B1238&lt;Assumptions!$B$10),"Irrigate Now",IF(AND(C1238&gt;=Assumptions!$B$11,B1238&gt;=Assumptions!$B$12),"No Irrigation Needed","Monitor"))</f>
        <v>Monitor</v>
      </c>
      <c r="O1238" s="6" t="n">
        <f aca="false">IF(N1238=G1238,1,0)</f>
        <v>1</v>
      </c>
    </row>
    <row r="1239" customFormat="false" ht="15" hidden="false" customHeight="false" outlineLevel="0" collapsed="false">
      <c r="A1239" s="16" t="n">
        <v>25.11108456</v>
      </c>
      <c r="B1239" s="16" t="n">
        <v>73.01026829</v>
      </c>
      <c r="C1239" s="16" t="n">
        <v>17.3131847297064</v>
      </c>
      <c r="D1239" s="6" t="s">
        <v>57</v>
      </c>
      <c r="E1239" s="6" t="s">
        <v>57</v>
      </c>
      <c r="F1239" s="6" t="s">
        <v>24</v>
      </c>
      <c r="G1239" s="6" t="s">
        <v>64</v>
      </c>
      <c r="H1239" s="6" t="s">
        <v>65</v>
      </c>
      <c r="I1239" s="6" t="str">
        <f aca="false">IF(A1239&lt;Outliers!$E$6,"Low",IF(A1239&gt;Outliers!$F$6,"High",""))</f>
        <v/>
      </c>
      <c r="J1239" s="6" t="str">
        <f aca="false">IF(B1239&lt;Outliers!$E$7,"Low",IF(B1239&gt;Outliers!$F$7,"High",""))</f>
        <v/>
      </c>
      <c r="K1239" s="6" t="str">
        <f aca="false">IF(C1239&lt;Outliers!$E$8,"Low",IF(C1239&gt;Outliers!$F$8,"High",""))</f>
        <v/>
      </c>
      <c r="L1239" s="6" t="str">
        <f aca="false">A1239&amp;";"&amp;B1239&amp;";"&amp;C1239</f>
        <v>25.11108456;73.01026829;17.3131847297064</v>
      </c>
      <c r="M1239" s="6" t="n">
        <f aca="false">IF(COUNTIF($L$2:$L$2201,L1239)&gt;1,1,0)</f>
        <v>0</v>
      </c>
      <c r="N1239" s="6" t="str">
        <f aca="false">IF(AND(C1239&lt;Assumptions!$B$9,B1239&lt;Assumptions!$B$10),"Irrigate Now",IF(AND(C1239&gt;=Assumptions!$B$11,B1239&gt;=Assumptions!$B$12),"No Irrigation Needed","Monitor"))</f>
        <v>Irrigate Now</v>
      </c>
      <c r="O1239" s="6" t="n">
        <f aca="false">IF(N1239=G1239,1,0)</f>
        <v>1</v>
      </c>
    </row>
    <row r="1240" customFormat="false" ht="15" hidden="false" customHeight="false" outlineLevel="0" collapsed="false">
      <c r="A1240" s="16" t="n">
        <v>33.4641162</v>
      </c>
      <c r="B1240" s="16" t="n">
        <v>67.92204319</v>
      </c>
      <c r="C1240" s="16" t="n">
        <v>22.7037309785631</v>
      </c>
      <c r="D1240" s="6" t="s">
        <v>67</v>
      </c>
      <c r="E1240" s="6" t="s">
        <v>57</v>
      </c>
      <c r="F1240" s="6" t="s">
        <v>60</v>
      </c>
      <c r="G1240" s="6" t="s">
        <v>61</v>
      </c>
      <c r="H1240" s="6" t="s">
        <v>63</v>
      </c>
      <c r="I1240" s="6" t="str">
        <f aca="false">IF(A1240&lt;Outliers!$E$6,"Low",IF(A1240&gt;Outliers!$F$6,"High",""))</f>
        <v/>
      </c>
      <c r="J1240" s="6" t="str">
        <f aca="false">IF(B1240&lt;Outliers!$E$7,"Low",IF(B1240&gt;Outliers!$F$7,"High",""))</f>
        <v/>
      </c>
      <c r="K1240" s="6" t="str">
        <f aca="false">IF(C1240&lt;Outliers!$E$8,"Low",IF(C1240&gt;Outliers!$F$8,"High",""))</f>
        <v/>
      </c>
      <c r="L1240" s="6" t="str">
        <f aca="false">A1240&amp;";"&amp;B1240&amp;";"&amp;C1240</f>
        <v>33.4641162;67.92204319;22.7037309785631</v>
      </c>
      <c r="M1240" s="6" t="n">
        <f aca="false">IF(COUNTIF($L$2:$L$2201,L1240)&gt;1,1,0)</f>
        <v>0</v>
      </c>
      <c r="N1240" s="6" t="str">
        <f aca="false">IF(AND(C1240&lt;Assumptions!$B$9,B1240&lt;Assumptions!$B$10),"Irrigate Now",IF(AND(C1240&gt;=Assumptions!$B$11,B1240&gt;=Assumptions!$B$12),"No Irrigation Needed","Monitor"))</f>
        <v>Monitor</v>
      </c>
      <c r="O1240" s="6" t="n">
        <f aca="false">IF(N1240=G1240,1,0)</f>
        <v>1</v>
      </c>
    </row>
    <row r="1241" customFormat="false" ht="15" hidden="false" customHeight="false" outlineLevel="0" collapsed="false">
      <c r="A1241" s="16" t="n">
        <v>11.7976469</v>
      </c>
      <c r="B1241" s="16" t="n">
        <v>65.06962486</v>
      </c>
      <c r="C1241" s="16" t="n">
        <v>15.0566206536881</v>
      </c>
      <c r="D1241" s="6" t="s">
        <v>66</v>
      </c>
      <c r="E1241" s="6" t="s">
        <v>57</v>
      </c>
      <c r="F1241" s="6" t="s">
        <v>24</v>
      </c>
      <c r="G1241" s="6" t="s">
        <v>64</v>
      </c>
      <c r="H1241" s="6" t="s">
        <v>65</v>
      </c>
      <c r="I1241" s="6" t="str">
        <f aca="false">IF(A1241&lt;Outliers!$E$6,"Low",IF(A1241&gt;Outliers!$F$6,"High",""))</f>
        <v>Low</v>
      </c>
      <c r="J1241" s="6" t="str">
        <f aca="false">IF(B1241&lt;Outliers!$E$7,"Low",IF(B1241&gt;Outliers!$F$7,"High",""))</f>
        <v/>
      </c>
      <c r="K1241" s="6" t="str">
        <f aca="false">IF(C1241&lt;Outliers!$E$8,"Low",IF(C1241&gt;Outliers!$F$8,"High",""))</f>
        <v/>
      </c>
      <c r="L1241" s="6" t="str">
        <f aca="false">A1241&amp;";"&amp;B1241&amp;";"&amp;C1241</f>
        <v>11.7976469;65.06962486;15.0566206536881</v>
      </c>
      <c r="M1241" s="6" t="n">
        <f aca="false">IF(COUNTIF($L$2:$L$2201,L1241)&gt;1,1,0)</f>
        <v>0</v>
      </c>
      <c r="N1241" s="6" t="str">
        <f aca="false">IF(AND(C1241&lt;Assumptions!$B$9,B1241&lt;Assumptions!$B$10),"Irrigate Now",IF(AND(C1241&gt;=Assumptions!$B$11,B1241&gt;=Assumptions!$B$12),"No Irrigation Needed","Monitor"))</f>
        <v>Irrigate Now</v>
      </c>
      <c r="O1241" s="6" t="n">
        <f aca="false">IF(N1241=G1241,1,0)</f>
        <v>1</v>
      </c>
    </row>
    <row r="1242" customFormat="false" ht="15" hidden="false" customHeight="false" outlineLevel="0" collapsed="false">
      <c r="A1242" s="16" t="n">
        <v>11.36300891</v>
      </c>
      <c r="B1242" s="16" t="n">
        <v>71.18289431</v>
      </c>
      <c r="C1242" s="16" t="n">
        <v>26.2639531570363</v>
      </c>
      <c r="D1242" s="6" t="s">
        <v>66</v>
      </c>
      <c r="E1242" s="6" t="s">
        <v>57</v>
      </c>
      <c r="F1242" s="6" t="s">
        <v>23</v>
      </c>
      <c r="G1242" s="6" t="s">
        <v>61</v>
      </c>
      <c r="H1242" s="6" t="s">
        <v>63</v>
      </c>
      <c r="I1242" s="6" t="str">
        <f aca="false">IF(A1242&lt;Outliers!$E$6,"Low",IF(A1242&gt;Outliers!$F$6,"High",""))</f>
        <v>Low</v>
      </c>
      <c r="J1242" s="6" t="str">
        <f aca="false">IF(B1242&lt;Outliers!$E$7,"Low",IF(B1242&gt;Outliers!$F$7,"High",""))</f>
        <v/>
      </c>
      <c r="K1242" s="6" t="str">
        <f aca="false">IF(C1242&lt;Outliers!$E$8,"Low",IF(C1242&gt;Outliers!$F$8,"High",""))</f>
        <v/>
      </c>
      <c r="L1242" s="6" t="str">
        <f aca="false">A1242&amp;";"&amp;B1242&amp;";"&amp;C1242</f>
        <v>11.36300891;71.18289431;26.2639531570363</v>
      </c>
      <c r="M1242" s="6" t="n">
        <f aca="false">IF(COUNTIF($L$2:$L$2201,L1242)&gt;1,1,0)</f>
        <v>0</v>
      </c>
      <c r="N1242" s="6" t="str">
        <f aca="false">IF(AND(C1242&lt;Assumptions!$B$9,B1242&lt;Assumptions!$B$10),"Irrigate Now",IF(AND(C1242&gt;=Assumptions!$B$11,B1242&gt;=Assumptions!$B$12),"No Irrigation Needed","Monitor"))</f>
        <v>Monitor</v>
      </c>
      <c r="O1242" s="6" t="n">
        <f aca="false">IF(N1242=G1242,1,0)</f>
        <v>1</v>
      </c>
    </row>
    <row r="1243" customFormat="false" ht="15" hidden="false" customHeight="false" outlineLevel="0" collapsed="false">
      <c r="A1243" s="16" t="n">
        <v>25.23542319</v>
      </c>
      <c r="B1243" s="16" t="n">
        <v>67.03840888</v>
      </c>
      <c r="C1243" s="16" t="n">
        <v>29.2289870875029</v>
      </c>
      <c r="D1243" s="6" t="s">
        <v>57</v>
      </c>
      <c r="E1243" s="6" t="s">
        <v>57</v>
      </c>
      <c r="F1243" s="6" t="s">
        <v>23</v>
      </c>
      <c r="G1243" s="6" t="s">
        <v>61</v>
      </c>
      <c r="H1243" s="6" t="s">
        <v>63</v>
      </c>
      <c r="I1243" s="6" t="str">
        <f aca="false">IF(A1243&lt;Outliers!$E$6,"Low",IF(A1243&gt;Outliers!$F$6,"High",""))</f>
        <v/>
      </c>
      <c r="J1243" s="6" t="str">
        <f aca="false">IF(B1243&lt;Outliers!$E$7,"Low",IF(B1243&gt;Outliers!$F$7,"High",""))</f>
        <v/>
      </c>
      <c r="K1243" s="6" t="str">
        <f aca="false">IF(C1243&lt;Outliers!$E$8,"Low",IF(C1243&gt;Outliers!$F$8,"High",""))</f>
        <v/>
      </c>
      <c r="L1243" s="6" t="str">
        <f aca="false">A1243&amp;";"&amp;B1243&amp;";"&amp;C1243</f>
        <v>25.23542319;67.03840888;29.2289870875029</v>
      </c>
      <c r="M1243" s="6" t="n">
        <f aca="false">IF(COUNTIF($L$2:$L$2201,L1243)&gt;1,1,0)</f>
        <v>0</v>
      </c>
      <c r="N1243" s="6" t="str">
        <f aca="false">IF(AND(C1243&lt;Assumptions!$B$9,B1243&lt;Assumptions!$B$10),"Irrigate Now",IF(AND(C1243&gt;=Assumptions!$B$11,B1243&gt;=Assumptions!$B$12),"No Irrigation Needed","Monitor"))</f>
        <v>Monitor</v>
      </c>
      <c r="O1243" s="6" t="n">
        <f aca="false">IF(N1243=G1243,1,0)</f>
        <v>1</v>
      </c>
    </row>
    <row r="1244" customFormat="false" ht="15" hidden="false" customHeight="false" outlineLevel="0" collapsed="false">
      <c r="A1244" s="16" t="n">
        <v>15.99050693</v>
      </c>
      <c r="B1244" s="16" t="n">
        <v>74.40198861</v>
      </c>
      <c r="C1244" s="16" t="n">
        <v>26.8305852218951</v>
      </c>
      <c r="D1244" s="6" t="s">
        <v>66</v>
      </c>
      <c r="E1244" s="6" t="s">
        <v>57</v>
      </c>
      <c r="F1244" s="6" t="s">
        <v>23</v>
      </c>
      <c r="G1244" s="6" t="s">
        <v>61</v>
      </c>
      <c r="H1244" s="6" t="s">
        <v>63</v>
      </c>
      <c r="I1244" s="6" t="str">
        <f aca="false">IF(A1244&lt;Outliers!$E$6,"Low",IF(A1244&gt;Outliers!$F$6,"High",""))</f>
        <v/>
      </c>
      <c r="J1244" s="6" t="str">
        <f aca="false">IF(B1244&lt;Outliers!$E$7,"Low",IF(B1244&gt;Outliers!$F$7,"High",""))</f>
        <v/>
      </c>
      <c r="K1244" s="6" t="str">
        <f aca="false">IF(C1244&lt;Outliers!$E$8,"Low",IF(C1244&gt;Outliers!$F$8,"High",""))</f>
        <v/>
      </c>
      <c r="L1244" s="6" t="str">
        <f aca="false">A1244&amp;";"&amp;B1244&amp;";"&amp;C1244</f>
        <v>15.99050693;74.40198861;26.8305852218951</v>
      </c>
      <c r="M1244" s="6" t="n">
        <f aca="false">IF(COUNTIF($L$2:$L$2201,L1244)&gt;1,1,0)</f>
        <v>0</v>
      </c>
      <c r="N1244" s="6" t="str">
        <f aca="false">IF(AND(C1244&lt;Assumptions!$B$9,B1244&lt;Assumptions!$B$10),"Irrigate Now",IF(AND(C1244&gt;=Assumptions!$B$11,B1244&gt;=Assumptions!$B$12),"No Irrigation Needed","Monitor"))</f>
        <v>Monitor</v>
      </c>
      <c r="O1244" s="6" t="n">
        <f aca="false">IF(N1244=G1244,1,0)</f>
        <v>1</v>
      </c>
    </row>
    <row r="1245" customFormat="false" ht="15" hidden="false" customHeight="false" outlineLevel="0" collapsed="false">
      <c r="A1245" s="16" t="n">
        <v>22.4359017</v>
      </c>
      <c r="B1245" s="16" t="n">
        <v>65.3973168</v>
      </c>
      <c r="C1245" s="16" t="n">
        <v>10.1859624545205</v>
      </c>
      <c r="D1245" s="6" t="s">
        <v>57</v>
      </c>
      <c r="E1245" s="6" t="s">
        <v>57</v>
      </c>
      <c r="F1245" s="6" t="s">
        <v>24</v>
      </c>
      <c r="G1245" s="6" t="s">
        <v>64</v>
      </c>
      <c r="H1245" s="6" t="s">
        <v>65</v>
      </c>
      <c r="I1245" s="6" t="str">
        <f aca="false">IF(A1245&lt;Outliers!$E$6,"Low",IF(A1245&gt;Outliers!$F$6,"High",""))</f>
        <v/>
      </c>
      <c r="J1245" s="6" t="str">
        <f aca="false">IF(B1245&lt;Outliers!$E$7,"Low",IF(B1245&gt;Outliers!$F$7,"High",""))</f>
        <v/>
      </c>
      <c r="K1245" s="6" t="str">
        <f aca="false">IF(C1245&lt;Outliers!$E$8,"Low",IF(C1245&gt;Outliers!$F$8,"High",""))</f>
        <v/>
      </c>
      <c r="L1245" s="6" t="str">
        <f aca="false">A1245&amp;";"&amp;B1245&amp;";"&amp;C1245</f>
        <v>22.4359017;65.3973168;10.1859624545205</v>
      </c>
      <c r="M1245" s="6" t="n">
        <f aca="false">IF(COUNTIF($L$2:$L$2201,L1245)&gt;1,1,0)</f>
        <v>0</v>
      </c>
      <c r="N1245" s="6" t="str">
        <f aca="false">IF(AND(C1245&lt;Assumptions!$B$9,B1245&lt;Assumptions!$B$10),"Irrigate Now",IF(AND(C1245&gt;=Assumptions!$B$11,B1245&gt;=Assumptions!$B$12),"No Irrigation Needed","Monitor"))</f>
        <v>Irrigate Now</v>
      </c>
      <c r="O1245" s="6" t="n">
        <f aca="false">IF(N1245=G1245,1,0)</f>
        <v>1</v>
      </c>
    </row>
    <row r="1246" customFormat="false" ht="15" hidden="false" customHeight="false" outlineLevel="0" collapsed="false">
      <c r="A1246" s="16" t="n">
        <v>34.76086052</v>
      </c>
      <c r="B1246" s="16" t="n">
        <v>65.70430027</v>
      </c>
      <c r="C1246" s="16" t="n">
        <v>24.5592044865155</v>
      </c>
      <c r="D1246" s="6" t="s">
        <v>67</v>
      </c>
      <c r="E1246" s="6" t="s">
        <v>57</v>
      </c>
      <c r="F1246" s="6" t="s">
        <v>60</v>
      </c>
      <c r="G1246" s="6" t="s">
        <v>61</v>
      </c>
      <c r="H1246" s="6" t="s">
        <v>63</v>
      </c>
      <c r="I1246" s="6" t="str">
        <f aca="false">IF(A1246&lt;Outliers!$E$6,"Low",IF(A1246&gt;Outliers!$F$6,"High",""))</f>
        <v/>
      </c>
      <c r="J1246" s="6" t="str">
        <f aca="false">IF(B1246&lt;Outliers!$E$7,"Low",IF(B1246&gt;Outliers!$F$7,"High",""))</f>
        <v/>
      </c>
      <c r="K1246" s="6" t="str">
        <f aca="false">IF(C1246&lt;Outliers!$E$8,"Low",IF(C1246&gt;Outliers!$F$8,"High",""))</f>
        <v/>
      </c>
      <c r="L1246" s="6" t="str">
        <f aca="false">A1246&amp;";"&amp;B1246&amp;";"&amp;C1246</f>
        <v>34.76086052;65.70430027;24.5592044865155</v>
      </c>
      <c r="M1246" s="6" t="n">
        <f aca="false">IF(COUNTIF($L$2:$L$2201,L1246)&gt;1,1,0)</f>
        <v>0</v>
      </c>
      <c r="N1246" s="6" t="str">
        <f aca="false">IF(AND(C1246&lt;Assumptions!$B$9,B1246&lt;Assumptions!$B$10),"Irrigate Now",IF(AND(C1246&gt;=Assumptions!$B$11,B1246&gt;=Assumptions!$B$12),"No Irrigation Needed","Monitor"))</f>
        <v>Monitor</v>
      </c>
      <c r="O1246" s="6" t="n">
        <f aca="false">IF(N1246=G1246,1,0)</f>
        <v>1</v>
      </c>
    </row>
    <row r="1247" customFormat="false" ht="15" hidden="false" customHeight="false" outlineLevel="0" collapsed="false">
      <c r="A1247" s="16" t="n">
        <v>31.11047251</v>
      </c>
      <c r="B1247" s="16" t="n">
        <v>71.43001582</v>
      </c>
      <c r="C1247" s="16" t="n">
        <v>10.3302698011588</v>
      </c>
      <c r="D1247" s="6" t="s">
        <v>67</v>
      </c>
      <c r="E1247" s="6" t="s">
        <v>57</v>
      </c>
      <c r="F1247" s="6" t="s">
        <v>24</v>
      </c>
      <c r="G1247" s="6" t="s">
        <v>64</v>
      </c>
      <c r="H1247" s="6" t="s">
        <v>65</v>
      </c>
      <c r="I1247" s="6" t="str">
        <f aca="false">IF(A1247&lt;Outliers!$E$6,"Low",IF(A1247&gt;Outliers!$F$6,"High",""))</f>
        <v/>
      </c>
      <c r="J1247" s="6" t="str">
        <f aca="false">IF(B1247&lt;Outliers!$E$7,"Low",IF(B1247&gt;Outliers!$F$7,"High",""))</f>
        <v/>
      </c>
      <c r="K1247" s="6" t="str">
        <f aca="false">IF(C1247&lt;Outliers!$E$8,"Low",IF(C1247&gt;Outliers!$F$8,"High",""))</f>
        <v/>
      </c>
      <c r="L1247" s="6" t="str">
        <f aca="false">A1247&amp;";"&amp;B1247&amp;";"&amp;C1247</f>
        <v>31.11047251;71.43001582;10.3302698011588</v>
      </c>
      <c r="M1247" s="6" t="n">
        <f aca="false">IF(COUNTIF($L$2:$L$2201,L1247)&gt;1,1,0)</f>
        <v>0</v>
      </c>
      <c r="N1247" s="6" t="str">
        <f aca="false">IF(AND(C1247&lt;Assumptions!$B$9,B1247&lt;Assumptions!$B$10),"Irrigate Now",IF(AND(C1247&gt;=Assumptions!$B$11,B1247&gt;=Assumptions!$B$12),"No Irrigation Needed","Monitor"))</f>
        <v>Irrigate Now</v>
      </c>
      <c r="O1247" s="6" t="n">
        <f aca="false">IF(N1247=G1247,1,0)</f>
        <v>1</v>
      </c>
    </row>
    <row r="1248" customFormat="false" ht="15" hidden="false" customHeight="false" outlineLevel="0" collapsed="false">
      <c r="A1248" s="16" t="n">
        <v>28.57828803</v>
      </c>
      <c r="B1248" s="16" t="n">
        <v>73.34232097</v>
      </c>
      <c r="C1248" s="16" t="n">
        <v>28.7188053232854</v>
      </c>
      <c r="D1248" s="6" t="s">
        <v>57</v>
      </c>
      <c r="E1248" s="6" t="s">
        <v>57</v>
      </c>
      <c r="F1248" s="6" t="s">
        <v>23</v>
      </c>
      <c r="G1248" s="6" t="s">
        <v>61</v>
      </c>
      <c r="H1248" s="6" t="s">
        <v>63</v>
      </c>
      <c r="I1248" s="6" t="str">
        <f aca="false">IF(A1248&lt;Outliers!$E$6,"Low",IF(A1248&gt;Outliers!$F$6,"High",""))</f>
        <v/>
      </c>
      <c r="J1248" s="6" t="str">
        <f aca="false">IF(B1248&lt;Outliers!$E$7,"Low",IF(B1248&gt;Outliers!$F$7,"High",""))</f>
        <v/>
      </c>
      <c r="K1248" s="6" t="str">
        <f aca="false">IF(C1248&lt;Outliers!$E$8,"Low",IF(C1248&gt;Outliers!$F$8,"High",""))</f>
        <v/>
      </c>
      <c r="L1248" s="6" t="str">
        <f aca="false">A1248&amp;";"&amp;B1248&amp;";"&amp;C1248</f>
        <v>28.57828803;73.34232097;28.7188053232854</v>
      </c>
      <c r="M1248" s="6" t="n">
        <f aca="false">IF(COUNTIF($L$2:$L$2201,L1248)&gt;1,1,0)</f>
        <v>0</v>
      </c>
      <c r="N1248" s="6" t="str">
        <f aca="false">IF(AND(C1248&lt;Assumptions!$B$9,B1248&lt;Assumptions!$B$10),"Irrigate Now",IF(AND(C1248&gt;=Assumptions!$B$11,B1248&gt;=Assumptions!$B$12),"No Irrigation Needed","Monitor"))</f>
        <v>Monitor</v>
      </c>
      <c r="O1248" s="6" t="n">
        <f aca="false">IF(N1248=G1248,1,0)</f>
        <v>1</v>
      </c>
    </row>
    <row r="1249" customFormat="false" ht="15" hidden="false" customHeight="false" outlineLevel="0" collapsed="false">
      <c r="A1249" s="16" t="n">
        <v>41.18664903</v>
      </c>
      <c r="B1249" s="16" t="n">
        <v>68.68895899</v>
      </c>
      <c r="C1249" s="16" t="n">
        <v>12.6525283764165</v>
      </c>
      <c r="D1249" s="6" t="s">
        <v>67</v>
      </c>
      <c r="E1249" s="6" t="s">
        <v>57</v>
      </c>
      <c r="F1249" s="6" t="s">
        <v>24</v>
      </c>
      <c r="G1249" s="6" t="s">
        <v>64</v>
      </c>
      <c r="H1249" s="6" t="s">
        <v>65</v>
      </c>
      <c r="I1249" s="6" t="str">
        <f aca="false">IF(A1249&lt;Outliers!$E$6,"Low",IF(A1249&gt;Outliers!$F$6,"High",""))</f>
        <v>High</v>
      </c>
      <c r="J1249" s="6" t="str">
        <f aca="false">IF(B1249&lt;Outliers!$E$7,"Low",IF(B1249&gt;Outliers!$F$7,"High",""))</f>
        <v/>
      </c>
      <c r="K1249" s="6" t="str">
        <f aca="false">IF(C1249&lt;Outliers!$E$8,"Low",IF(C1249&gt;Outliers!$F$8,"High",""))</f>
        <v/>
      </c>
      <c r="L1249" s="6" t="str">
        <f aca="false">A1249&amp;";"&amp;B1249&amp;";"&amp;C1249</f>
        <v>41.18664903;68.68895899;12.6525283764165</v>
      </c>
      <c r="M1249" s="6" t="n">
        <f aca="false">IF(COUNTIF($L$2:$L$2201,L1249)&gt;1,1,0)</f>
        <v>0</v>
      </c>
      <c r="N1249" s="6" t="str">
        <f aca="false">IF(AND(C1249&lt;Assumptions!$B$9,B1249&lt;Assumptions!$B$10),"Irrigate Now",IF(AND(C1249&gt;=Assumptions!$B$11,B1249&gt;=Assumptions!$B$12),"No Irrigation Needed","Monitor"))</f>
        <v>Irrigate Now</v>
      </c>
      <c r="O1249" s="6" t="n">
        <f aca="false">IF(N1249=G1249,1,0)</f>
        <v>1</v>
      </c>
    </row>
    <row r="1250" customFormat="false" ht="15" hidden="false" customHeight="false" outlineLevel="0" collapsed="false">
      <c r="A1250" s="16" t="n">
        <v>27.02766138</v>
      </c>
      <c r="B1250" s="16" t="n">
        <v>70.95666003</v>
      </c>
      <c r="C1250" s="16" t="n">
        <v>11.2488181231098</v>
      </c>
      <c r="D1250" s="6" t="s">
        <v>57</v>
      </c>
      <c r="E1250" s="6" t="s">
        <v>57</v>
      </c>
      <c r="F1250" s="6" t="s">
        <v>24</v>
      </c>
      <c r="G1250" s="6" t="s">
        <v>64</v>
      </c>
      <c r="H1250" s="6" t="s">
        <v>65</v>
      </c>
      <c r="I1250" s="6" t="str">
        <f aca="false">IF(A1250&lt;Outliers!$E$6,"Low",IF(A1250&gt;Outliers!$F$6,"High",""))</f>
        <v/>
      </c>
      <c r="J1250" s="6" t="str">
        <f aca="false">IF(B1250&lt;Outliers!$E$7,"Low",IF(B1250&gt;Outliers!$F$7,"High",""))</f>
        <v/>
      </c>
      <c r="K1250" s="6" t="str">
        <f aca="false">IF(C1250&lt;Outliers!$E$8,"Low",IF(C1250&gt;Outliers!$F$8,"High",""))</f>
        <v/>
      </c>
      <c r="L1250" s="6" t="str">
        <f aca="false">A1250&amp;";"&amp;B1250&amp;";"&amp;C1250</f>
        <v>27.02766138;70.95666003;11.2488181231098</v>
      </c>
      <c r="M1250" s="6" t="n">
        <f aca="false">IF(COUNTIF($L$2:$L$2201,L1250)&gt;1,1,0)</f>
        <v>0</v>
      </c>
      <c r="N1250" s="6" t="str">
        <f aca="false">IF(AND(C1250&lt;Assumptions!$B$9,B1250&lt;Assumptions!$B$10),"Irrigate Now",IF(AND(C1250&gt;=Assumptions!$B$11,B1250&gt;=Assumptions!$B$12),"No Irrigation Needed","Monitor"))</f>
        <v>Irrigate Now</v>
      </c>
      <c r="O1250" s="6" t="n">
        <f aca="false">IF(N1250=G1250,1,0)</f>
        <v>1</v>
      </c>
    </row>
    <row r="1251" customFormat="false" ht="15" hidden="false" customHeight="false" outlineLevel="0" collapsed="false">
      <c r="A1251" s="16" t="n">
        <v>21.19339319</v>
      </c>
      <c r="B1251" s="16" t="n">
        <v>74.62834921</v>
      </c>
      <c r="C1251" s="16" t="n">
        <v>24.2714077844505</v>
      </c>
      <c r="D1251" s="6" t="s">
        <v>57</v>
      </c>
      <c r="E1251" s="6" t="s">
        <v>57</v>
      </c>
      <c r="F1251" s="6" t="s">
        <v>60</v>
      </c>
      <c r="G1251" s="6" t="s">
        <v>61</v>
      </c>
      <c r="H1251" s="6" t="s">
        <v>63</v>
      </c>
      <c r="I1251" s="6" t="str">
        <f aca="false">IF(A1251&lt;Outliers!$E$6,"Low",IF(A1251&gt;Outliers!$F$6,"High",""))</f>
        <v/>
      </c>
      <c r="J1251" s="6" t="str">
        <f aca="false">IF(B1251&lt;Outliers!$E$7,"Low",IF(B1251&gt;Outliers!$F$7,"High",""))</f>
        <v/>
      </c>
      <c r="K1251" s="6" t="str">
        <f aca="false">IF(C1251&lt;Outliers!$E$8,"Low",IF(C1251&gt;Outliers!$F$8,"High",""))</f>
        <v/>
      </c>
      <c r="L1251" s="6" t="str">
        <f aca="false">A1251&amp;";"&amp;B1251&amp;";"&amp;C1251</f>
        <v>21.19339319;74.62834921;24.2714077844505</v>
      </c>
      <c r="M1251" s="6" t="n">
        <f aca="false">IF(COUNTIF($L$2:$L$2201,L1251)&gt;1,1,0)</f>
        <v>0</v>
      </c>
      <c r="N1251" s="6" t="str">
        <f aca="false">IF(AND(C1251&lt;Assumptions!$B$9,B1251&lt;Assumptions!$B$10),"Irrigate Now",IF(AND(C1251&gt;=Assumptions!$B$11,B1251&gt;=Assumptions!$B$12),"No Irrigation Needed","Monitor"))</f>
        <v>Monitor</v>
      </c>
      <c r="O1251" s="6" t="n">
        <f aca="false">IF(N1251=G1251,1,0)</f>
        <v>1</v>
      </c>
    </row>
    <row r="1252" customFormat="false" ht="15" hidden="false" customHeight="false" outlineLevel="0" collapsed="false">
      <c r="A1252" s="16" t="n">
        <v>10.38004759</v>
      </c>
      <c r="B1252" s="16" t="n">
        <v>67.3917379</v>
      </c>
      <c r="C1252" s="16" t="n">
        <v>11.0999565082997</v>
      </c>
      <c r="D1252" s="6" t="s">
        <v>66</v>
      </c>
      <c r="E1252" s="6" t="s">
        <v>57</v>
      </c>
      <c r="F1252" s="6" t="s">
        <v>24</v>
      </c>
      <c r="G1252" s="6" t="s">
        <v>64</v>
      </c>
      <c r="H1252" s="6" t="s">
        <v>65</v>
      </c>
      <c r="I1252" s="6" t="str">
        <f aca="false">IF(A1252&lt;Outliers!$E$6,"Low",IF(A1252&gt;Outliers!$F$6,"High",""))</f>
        <v>Low</v>
      </c>
      <c r="J1252" s="6" t="str">
        <f aca="false">IF(B1252&lt;Outliers!$E$7,"Low",IF(B1252&gt;Outliers!$F$7,"High",""))</f>
        <v/>
      </c>
      <c r="K1252" s="6" t="str">
        <f aca="false">IF(C1252&lt;Outliers!$E$8,"Low",IF(C1252&gt;Outliers!$F$8,"High",""))</f>
        <v/>
      </c>
      <c r="L1252" s="6" t="str">
        <f aca="false">A1252&amp;";"&amp;B1252&amp;";"&amp;C1252</f>
        <v>10.38004759;67.3917379;11.0999565082997</v>
      </c>
      <c r="M1252" s="6" t="n">
        <f aca="false">IF(COUNTIF($L$2:$L$2201,L1252)&gt;1,1,0)</f>
        <v>0</v>
      </c>
      <c r="N1252" s="6" t="str">
        <f aca="false">IF(AND(C1252&lt;Assumptions!$B$9,B1252&lt;Assumptions!$B$10),"Irrigate Now",IF(AND(C1252&gt;=Assumptions!$B$11,B1252&gt;=Assumptions!$B$12),"No Irrigation Needed","Monitor"))</f>
        <v>Irrigate Now</v>
      </c>
      <c r="O1252" s="6" t="n">
        <f aca="false">IF(N1252=G1252,1,0)</f>
        <v>1</v>
      </c>
    </row>
    <row r="1253" customFormat="false" ht="15" hidden="false" customHeight="false" outlineLevel="0" collapsed="false">
      <c r="A1253" s="16" t="n">
        <v>31.3115978</v>
      </c>
      <c r="B1253" s="16" t="n">
        <v>65.01095312</v>
      </c>
      <c r="C1253" s="16" t="n">
        <v>26.569298957555</v>
      </c>
      <c r="D1253" s="6" t="s">
        <v>67</v>
      </c>
      <c r="E1253" s="6" t="s">
        <v>57</v>
      </c>
      <c r="F1253" s="6" t="s">
        <v>23</v>
      </c>
      <c r="G1253" s="6" t="s">
        <v>61</v>
      </c>
      <c r="H1253" s="6" t="s">
        <v>63</v>
      </c>
      <c r="I1253" s="6" t="str">
        <f aca="false">IF(A1253&lt;Outliers!$E$6,"Low",IF(A1253&gt;Outliers!$F$6,"High",""))</f>
        <v/>
      </c>
      <c r="J1253" s="6" t="str">
        <f aca="false">IF(B1253&lt;Outliers!$E$7,"Low",IF(B1253&gt;Outliers!$F$7,"High",""))</f>
        <v/>
      </c>
      <c r="K1253" s="6" t="str">
        <f aca="false">IF(C1253&lt;Outliers!$E$8,"Low",IF(C1253&gt;Outliers!$F$8,"High",""))</f>
        <v/>
      </c>
      <c r="L1253" s="6" t="str">
        <f aca="false">A1253&amp;";"&amp;B1253&amp;";"&amp;C1253</f>
        <v>31.3115978;65.01095312;26.569298957555</v>
      </c>
      <c r="M1253" s="6" t="n">
        <f aca="false">IF(COUNTIF($L$2:$L$2201,L1253)&gt;1,1,0)</f>
        <v>0</v>
      </c>
      <c r="N1253" s="6" t="str">
        <f aca="false">IF(AND(C1253&lt;Assumptions!$B$9,B1253&lt;Assumptions!$B$10),"Irrigate Now",IF(AND(C1253&gt;=Assumptions!$B$11,B1253&gt;=Assumptions!$B$12),"No Irrigation Needed","Monitor"))</f>
        <v>Monitor</v>
      </c>
      <c r="O1253" s="6" t="n">
        <f aca="false">IF(N1253=G1253,1,0)</f>
        <v>1</v>
      </c>
    </row>
    <row r="1254" customFormat="false" ht="15" hidden="false" customHeight="false" outlineLevel="0" collapsed="false">
      <c r="A1254" s="16" t="n">
        <v>20.46657776</v>
      </c>
      <c r="B1254" s="16" t="n">
        <v>71.29813872</v>
      </c>
      <c r="C1254" s="16" t="n">
        <v>28.3368474089486</v>
      </c>
      <c r="D1254" s="6" t="s">
        <v>57</v>
      </c>
      <c r="E1254" s="6" t="s">
        <v>57</v>
      </c>
      <c r="F1254" s="6" t="s">
        <v>23</v>
      </c>
      <c r="G1254" s="6" t="s">
        <v>61</v>
      </c>
      <c r="H1254" s="6" t="s">
        <v>63</v>
      </c>
      <c r="I1254" s="6" t="str">
        <f aca="false">IF(A1254&lt;Outliers!$E$6,"Low",IF(A1254&gt;Outliers!$F$6,"High",""))</f>
        <v/>
      </c>
      <c r="J1254" s="6" t="str">
        <f aca="false">IF(B1254&lt;Outliers!$E$7,"Low",IF(B1254&gt;Outliers!$F$7,"High",""))</f>
        <v/>
      </c>
      <c r="K1254" s="6" t="str">
        <f aca="false">IF(C1254&lt;Outliers!$E$8,"Low",IF(C1254&gt;Outliers!$F$8,"High",""))</f>
        <v/>
      </c>
      <c r="L1254" s="6" t="str">
        <f aca="false">A1254&amp;";"&amp;B1254&amp;";"&amp;C1254</f>
        <v>20.46657776;71.29813872;28.3368474089486</v>
      </c>
      <c r="M1254" s="6" t="n">
        <f aca="false">IF(COUNTIF($L$2:$L$2201,L1254)&gt;1,1,0)</f>
        <v>0</v>
      </c>
      <c r="N1254" s="6" t="str">
        <f aca="false">IF(AND(C1254&lt;Assumptions!$B$9,B1254&lt;Assumptions!$B$10),"Irrigate Now",IF(AND(C1254&gt;=Assumptions!$B$11,B1254&gt;=Assumptions!$B$12),"No Irrigation Needed","Monitor"))</f>
        <v>Monitor</v>
      </c>
      <c r="O1254" s="6" t="n">
        <f aca="false">IF(N1254=G1254,1,0)</f>
        <v>1</v>
      </c>
    </row>
    <row r="1255" customFormat="false" ht="15" hidden="false" customHeight="false" outlineLevel="0" collapsed="false">
      <c r="A1255" s="16" t="n">
        <v>29.36947679</v>
      </c>
      <c r="B1255" s="16" t="n">
        <v>66.13442813</v>
      </c>
      <c r="C1255" s="16" t="n">
        <v>24.1052642892584</v>
      </c>
      <c r="D1255" s="6" t="s">
        <v>57</v>
      </c>
      <c r="E1255" s="6" t="s">
        <v>57</v>
      </c>
      <c r="F1255" s="6" t="s">
        <v>60</v>
      </c>
      <c r="G1255" s="6" t="s">
        <v>61</v>
      </c>
      <c r="H1255" s="6" t="s">
        <v>63</v>
      </c>
      <c r="I1255" s="6" t="str">
        <f aca="false">IF(A1255&lt;Outliers!$E$6,"Low",IF(A1255&gt;Outliers!$F$6,"High",""))</f>
        <v/>
      </c>
      <c r="J1255" s="6" t="str">
        <f aca="false">IF(B1255&lt;Outliers!$E$7,"Low",IF(B1255&gt;Outliers!$F$7,"High",""))</f>
        <v/>
      </c>
      <c r="K1255" s="6" t="str">
        <f aca="false">IF(C1255&lt;Outliers!$E$8,"Low",IF(C1255&gt;Outliers!$F$8,"High",""))</f>
        <v/>
      </c>
      <c r="L1255" s="6" t="str">
        <f aca="false">A1255&amp;";"&amp;B1255&amp;";"&amp;C1255</f>
        <v>29.36947679;66.13442813;24.1052642892584</v>
      </c>
      <c r="M1255" s="6" t="n">
        <f aca="false">IF(COUNTIF($L$2:$L$2201,L1255)&gt;1,1,0)</f>
        <v>0</v>
      </c>
      <c r="N1255" s="6" t="str">
        <f aca="false">IF(AND(C1255&lt;Assumptions!$B$9,B1255&lt;Assumptions!$B$10),"Irrigate Now",IF(AND(C1255&gt;=Assumptions!$B$11,B1255&gt;=Assumptions!$B$12),"No Irrigation Needed","Monitor"))</f>
        <v>Monitor</v>
      </c>
      <c r="O1255" s="6" t="n">
        <f aca="false">IF(N1255=G1255,1,0)</f>
        <v>1</v>
      </c>
    </row>
    <row r="1256" customFormat="false" ht="15" hidden="false" customHeight="false" outlineLevel="0" collapsed="false">
      <c r="A1256" s="16" t="n">
        <v>10.72302459</v>
      </c>
      <c r="B1256" s="16" t="n">
        <v>65.2982112</v>
      </c>
      <c r="C1256" s="16" t="n">
        <v>11.5650236546474</v>
      </c>
      <c r="D1256" s="6" t="s">
        <v>66</v>
      </c>
      <c r="E1256" s="6" t="s">
        <v>57</v>
      </c>
      <c r="F1256" s="6" t="s">
        <v>24</v>
      </c>
      <c r="G1256" s="6" t="s">
        <v>64</v>
      </c>
      <c r="H1256" s="6" t="s">
        <v>65</v>
      </c>
      <c r="I1256" s="6" t="str">
        <f aca="false">IF(A1256&lt;Outliers!$E$6,"Low",IF(A1256&gt;Outliers!$F$6,"High",""))</f>
        <v>Low</v>
      </c>
      <c r="J1256" s="6" t="str">
        <f aca="false">IF(B1256&lt;Outliers!$E$7,"Low",IF(B1256&gt;Outliers!$F$7,"High",""))</f>
        <v/>
      </c>
      <c r="K1256" s="6" t="str">
        <f aca="false">IF(C1256&lt;Outliers!$E$8,"Low",IF(C1256&gt;Outliers!$F$8,"High",""))</f>
        <v/>
      </c>
      <c r="L1256" s="6" t="str">
        <f aca="false">A1256&amp;";"&amp;B1256&amp;";"&amp;C1256</f>
        <v>10.72302459;65.2982112;11.5650236546474</v>
      </c>
      <c r="M1256" s="6" t="n">
        <f aca="false">IF(COUNTIF($L$2:$L$2201,L1256)&gt;1,1,0)</f>
        <v>0</v>
      </c>
      <c r="N1256" s="6" t="str">
        <f aca="false">IF(AND(C1256&lt;Assumptions!$B$9,B1256&lt;Assumptions!$B$10),"Irrigate Now",IF(AND(C1256&gt;=Assumptions!$B$11,B1256&gt;=Assumptions!$B$12),"No Irrigation Needed","Monitor"))</f>
        <v>Irrigate Now</v>
      </c>
      <c r="O1256" s="6" t="n">
        <f aca="false">IF(N1256=G1256,1,0)</f>
        <v>1</v>
      </c>
    </row>
    <row r="1257" customFormat="false" ht="15" hidden="false" customHeight="false" outlineLevel="0" collapsed="false">
      <c r="A1257" s="16" t="n">
        <v>14.97846952</v>
      </c>
      <c r="B1257" s="16" t="n">
        <v>71.63437433</v>
      </c>
      <c r="C1257" s="16" t="n">
        <v>23.2182970528965</v>
      </c>
      <c r="D1257" s="6" t="s">
        <v>66</v>
      </c>
      <c r="E1257" s="6" t="s">
        <v>57</v>
      </c>
      <c r="F1257" s="6" t="s">
        <v>60</v>
      </c>
      <c r="G1257" s="6" t="s">
        <v>61</v>
      </c>
      <c r="H1257" s="6" t="s">
        <v>63</v>
      </c>
      <c r="I1257" s="6" t="str">
        <f aca="false">IF(A1257&lt;Outliers!$E$6,"Low",IF(A1257&gt;Outliers!$F$6,"High",""))</f>
        <v/>
      </c>
      <c r="J1257" s="6" t="str">
        <f aca="false">IF(B1257&lt;Outliers!$E$7,"Low",IF(B1257&gt;Outliers!$F$7,"High",""))</f>
        <v/>
      </c>
      <c r="K1257" s="6" t="str">
        <f aca="false">IF(C1257&lt;Outliers!$E$8,"Low",IF(C1257&gt;Outliers!$F$8,"High",""))</f>
        <v/>
      </c>
      <c r="L1257" s="6" t="str">
        <f aca="false">A1257&amp;";"&amp;B1257&amp;";"&amp;C1257</f>
        <v>14.97846952;71.63437433;23.2182970528965</v>
      </c>
      <c r="M1257" s="6" t="n">
        <f aca="false">IF(COUNTIF($L$2:$L$2201,L1257)&gt;1,1,0)</f>
        <v>0</v>
      </c>
      <c r="N1257" s="6" t="str">
        <f aca="false">IF(AND(C1257&lt;Assumptions!$B$9,B1257&lt;Assumptions!$B$10),"Irrigate Now",IF(AND(C1257&gt;=Assumptions!$B$11,B1257&gt;=Assumptions!$B$12),"No Irrigation Needed","Monitor"))</f>
        <v>Monitor</v>
      </c>
      <c r="O1257" s="6" t="n">
        <f aca="false">IF(N1257=G1257,1,0)</f>
        <v>1</v>
      </c>
    </row>
    <row r="1258" customFormat="false" ht="15" hidden="false" customHeight="false" outlineLevel="0" collapsed="false">
      <c r="A1258" s="16" t="n">
        <v>15.3246651</v>
      </c>
      <c r="B1258" s="16" t="n">
        <v>71.60102999</v>
      </c>
      <c r="C1258" s="16" t="n">
        <v>22.6514815456319</v>
      </c>
      <c r="D1258" s="6" t="s">
        <v>66</v>
      </c>
      <c r="E1258" s="6" t="s">
        <v>57</v>
      </c>
      <c r="F1258" s="6" t="s">
        <v>60</v>
      </c>
      <c r="G1258" s="6" t="s">
        <v>61</v>
      </c>
      <c r="H1258" s="6" t="s">
        <v>63</v>
      </c>
      <c r="I1258" s="6" t="str">
        <f aca="false">IF(A1258&lt;Outliers!$E$6,"Low",IF(A1258&gt;Outliers!$F$6,"High",""))</f>
        <v/>
      </c>
      <c r="J1258" s="6" t="str">
        <f aca="false">IF(B1258&lt;Outliers!$E$7,"Low",IF(B1258&gt;Outliers!$F$7,"High",""))</f>
        <v/>
      </c>
      <c r="K1258" s="6" t="str">
        <f aca="false">IF(C1258&lt;Outliers!$E$8,"Low",IF(C1258&gt;Outliers!$F$8,"High",""))</f>
        <v/>
      </c>
      <c r="L1258" s="6" t="str">
        <f aca="false">A1258&amp;";"&amp;B1258&amp;";"&amp;C1258</f>
        <v>15.3246651;71.60102999;22.6514815456319</v>
      </c>
      <c r="M1258" s="6" t="n">
        <f aca="false">IF(COUNTIF($L$2:$L$2201,L1258)&gt;1,1,0)</f>
        <v>0</v>
      </c>
      <c r="N1258" s="6" t="str">
        <f aca="false">IF(AND(C1258&lt;Assumptions!$B$9,B1258&lt;Assumptions!$B$10),"Irrigate Now",IF(AND(C1258&gt;=Assumptions!$B$11,B1258&gt;=Assumptions!$B$12),"No Irrigation Needed","Monitor"))</f>
        <v>Monitor</v>
      </c>
      <c r="O1258" s="6" t="n">
        <f aca="false">IF(N1258=G1258,1,0)</f>
        <v>1</v>
      </c>
    </row>
    <row r="1259" customFormat="false" ht="15" hidden="false" customHeight="false" outlineLevel="0" collapsed="false">
      <c r="A1259" s="16" t="n">
        <v>18.73932187</v>
      </c>
      <c r="B1259" s="16" t="n">
        <v>73.55807954</v>
      </c>
      <c r="C1259" s="16" t="n">
        <v>10.2744696983068</v>
      </c>
      <c r="D1259" s="6" t="s">
        <v>66</v>
      </c>
      <c r="E1259" s="6" t="s">
        <v>57</v>
      </c>
      <c r="F1259" s="6" t="s">
        <v>24</v>
      </c>
      <c r="G1259" s="6" t="s">
        <v>64</v>
      </c>
      <c r="H1259" s="6" t="s">
        <v>65</v>
      </c>
      <c r="I1259" s="6" t="str">
        <f aca="false">IF(A1259&lt;Outliers!$E$6,"Low",IF(A1259&gt;Outliers!$F$6,"High",""))</f>
        <v/>
      </c>
      <c r="J1259" s="6" t="str">
        <f aca="false">IF(B1259&lt;Outliers!$E$7,"Low",IF(B1259&gt;Outliers!$F$7,"High",""))</f>
        <v/>
      </c>
      <c r="K1259" s="6" t="str">
        <f aca="false">IF(C1259&lt;Outliers!$E$8,"Low",IF(C1259&gt;Outliers!$F$8,"High",""))</f>
        <v/>
      </c>
      <c r="L1259" s="6" t="str">
        <f aca="false">A1259&amp;";"&amp;B1259&amp;";"&amp;C1259</f>
        <v>18.73932187;73.55807954;10.2744696983068</v>
      </c>
      <c r="M1259" s="6" t="n">
        <f aca="false">IF(COUNTIF($L$2:$L$2201,L1259)&gt;1,1,0)</f>
        <v>0</v>
      </c>
      <c r="N1259" s="6" t="str">
        <f aca="false">IF(AND(C1259&lt;Assumptions!$B$9,B1259&lt;Assumptions!$B$10),"Irrigate Now",IF(AND(C1259&gt;=Assumptions!$B$11,B1259&gt;=Assumptions!$B$12),"No Irrigation Needed","Monitor"))</f>
        <v>Irrigate Now</v>
      </c>
      <c r="O1259" s="6" t="n">
        <f aca="false">IF(N1259=G1259,1,0)</f>
        <v>1</v>
      </c>
    </row>
    <row r="1260" customFormat="false" ht="15" hidden="false" customHeight="false" outlineLevel="0" collapsed="false">
      <c r="A1260" s="16" t="n">
        <v>19.3642553</v>
      </c>
      <c r="B1260" s="16" t="n">
        <v>67.15094741</v>
      </c>
      <c r="C1260" s="16" t="n">
        <v>18.8353351180112</v>
      </c>
      <c r="D1260" s="6" t="s">
        <v>66</v>
      </c>
      <c r="E1260" s="6" t="s">
        <v>57</v>
      </c>
      <c r="F1260" s="6" t="s">
        <v>60</v>
      </c>
      <c r="G1260" s="6" t="s">
        <v>61</v>
      </c>
      <c r="H1260" s="6" t="s">
        <v>63</v>
      </c>
      <c r="I1260" s="6" t="str">
        <f aca="false">IF(A1260&lt;Outliers!$E$6,"Low",IF(A1260&gt;Outliers!$F$6,"High",""))</f>
        <v/>
      </c>
      <c r="J1260" s="6" t="str">
        <f aca="false">IF(B1260&lt;Outliers!$E$7,"Low",IF(B1260&gt;Outliers!$F$7,"High",""))</f>
        <v/>
      </c>
      <c r="K1260" s="6" t="str">
        <f aca="false">IF(C1260&lt;Outliers!$E$8,"Low",IF(C1260&gt;Outliers!$F$8,"High",""))</f>
        <v/>
      </c>
      <c r="L1260" s="6" t="str">
        <f aca="false">A1260&amp;";"&amp;B1260&amp;";"&amp;C1260</f>
        <v>19.3642553;67.15094741;18.8353351180112</v>
      </c>
      <c r="M1260" s="6" t="n">
        <f aca="false">IF(COUNTIF($L$2:$L$2201,L1260)&gt;1,1,0)</f>
        <v>0</v>
      </c>
      <c r="N1260" s="6" t="str">
        <f aca="false">IF(AND(C1260&lt;Assumptions!$B$9,B1260&lt;Assumptions!$B$10),"Irrigate Now",IF(AND(C1260&gt;=Assumptions!$B$11,B1260&gt;=Assumptions!$B$12),"No Irrigation Needed","Monitor"))</f>
        <v>Monitor</v>
      </c>
      <c r="O1260" s="6" t="n">
        <f aca="false">IF(N1260=G1260,1,0)</f>
        <v>1</v>
      </c>
    </row>
    <row r="1261" customFormat="false" ht="15" hidden="false" customHeight="false" outlineLevel="0" collapsed="false">
      <c r="A1261" s="16" t="n">
        <v>41.20733624</v>
      </c>
      <c r="B1261" s="16" t="n">
        <v>65.90227462</v>
      </c>
      <c r="C1261" s="16" t="n">
        <v>24.9302493677936</v>
      </c>
      <c r="D1261" s="6" t="s">
        <v>67</v>
      </c>
      <c r="E1261" s="6" t="s">
        <v>57</v>
      </c>
      <c r="F1261" s="6" t="s">
        <v>60</v>
      </c>
      <c r="G1261" s="6" t="s">
        <v>61</v>
      </c>
      <c r="H1261" s="6" t="s">
        <v>63</v>
      </c>
      <c r="I1261" s="6" t="str">
        <f aca="false">IF(A1261&lt;Outliers!$E$6,"Low",IF(A1261&gt;Outliers!$F$6,"High",""))</f>
        <v>High</v>
      </c>
      <c r="J1261" s="6" t="str">
        <f aca="false">IF(B1261&lt;Outliers!$E$7,"Low",IF(B1261&gt;Outliers!$F$7,"High",""))</f>
        <v/>
      </c>
      <c r="K1261" s="6" t="str">
        <f aca="false">IF(C1261&lt;Outliers!$E$8,"Low",IF(C1261&gt;Outliers!$F$8,"High",""))</f>
        <v/>
      </c>
      <c r="L1261" s="6" t="str">
        <f aca="false">A1261&amp;";"&amp;B1261&amp;";"&amp;C1261</f>
        <v>41.20733624;65.90227462;24.9302493677936</v>
      </c>
      <c r="M1261" s="6" t="n">
        <f aca="false">IF(COUNTIF($L$2:$L$2201,L1261)&gt;1,1,0)</f>
        <v>0</v>
      </c>
      <c r="N1261" s="6" t="str">
        <f aca="false">IF(AND(C1261&lt;Assumptions!$B$9,B1261&lt;Assumptions!$B$10),"Irrigate Now",IF(AND(C1261&gt;=Assumptions!$B$11,B1261&gt;=Assumptions!$B$12),"No Irrigation Needed","Monitor"))</f>
        <v>Monitor</v>
      </c>
      <c r="O1261" s="6" t="n">
        <f aca="false">IF(N1261=G1261,1,0)</f>
        <v>1</v>
      </c>
    </row>
    <row r="1262" customFormat="false" ht="15" hidden="false" customHeight="false" outlineLevel="0" collapsed="false">
      <c r="A1262" s="16" t="n">
        <v>33.34214482</v>
      </c>
      <c r="B1262" s="16" t="n">
        <v>70.68098614</v>
      </c>
      <c r="C1262" s="16" t="n">
        <v>26.886004500313</v>
      </c>
      <c r="D1262" s="6" t="s">
        <v>67</v>
      </c>
      <c r="E1262" s="6" t="s">
        <v>57</v>
      </c>
      <c r="F1262" s="6" t="s">
        <v>23</v>
      </c>
      <c r="G1262" s="6" t="s">
        <v>61</v>
      </c>
      <c r="H1262" s="6" t="s">
        <v>63</v>
      </c>
      <c r="I1262" s="6" t="str">
        <f aca="false">IF(A1262&lt;Outliers!$E$6,"Low",IF(A1262&gt;Outliers!$F$6,"High",""))</f>
        <v/>
      </c>
      <c r="J1262" s="6" t="str">
        <f aca="false">IF(B1262&lt;Outliers!$E$7,"Low",IF(B1262&gt;Outliers!$F$7,"High",""))</f>
        <v/>
      </c>
      <c r="K1262" s="6" t="str">
        <f aca="false">IF(C1262&lt;Outliers!$E$8,"Low",IF(C1262&gt;Outliers!$F$8,"High",""))</f>
        <v/>
      </c>
      <c r="L1262" s="6" t="str">
        <f aca="false">A1262&amp;";"&amp;B1262&amp;";"&amp;C1262</f>
        <v>33.34214482;70.68098614;26.886004500313</v>
      </c>
      <c r="M1262" s="6" t="n">
        <f aca="false">IF(COUNTIF($L$2:$L$2201,L1262)&gt;1,1,0)</f>
        <v>0</v>
      </c>
      <c r="N1262" s="6" t="str">
        <f aca="false">IF(AND(C1262&lt;Assumptions!$B$9,B1262&lt;Assumptions!$B$10),"Irrigate Now",IF(AND(C1262&gt;=Assumptions!$B$11,B1262&gt;=Assumptions!$B$12),"No Irrigation Needed","Monitor"))</f>
        <v>Monitor</v>
      </c>
      <c r="O1262" s="6" t="n">
        <f aca="false">IF(N1262=G1262,1,0)</f>
        <v>1</v>
      </c>
    </row>
    <row r="1263" customFormat="false" ht="15" hidden="false" customHeight="false" outlineLevel="0" collapsed="false">
      <c r="A1263" s="16" t="n">
        <v>23.81995682</v>
      </c>
      <c r="B1263" s="16" t="n">
        <v>67.2739864</v>
      </c>
      <c r="C1263" s="16" t="n">
        <v>21.9024044732796</v>
      </c>
      <c r="D1263" s="6" t="s">
        <v>57</v>
      </c>
      <c r="E1263" s="6" t="s">
        <v>57</v>
      </c>
      <c r="F1263" s="6" t="s">
        <v>60</v>
      </c>
      <c r="G1263" s="6" t="s">
        <v>61</v>
      </c>
      <c r="H1263" s="6" t="s">
        <v>63</v>
      </c>
      <c r="I1263" s="6" t="str">
        <f aca="false">IF(A1263&lt;Outliers!$E$6,"Low",IF(A1263&gt;Outliers!$F$6,"High",""))</f>
        <v/>
      </c>
      <c r="J1263" s="6" t="str">
        <f aca="false">IF(B1263&lt;Outliers!$E$7,"Low",IF(B1263&gt;Outliers!$F$7,"High",""))</f>
        <v/>
      </c>
      <c r="K1263" s="6" t="str">
        <f aca="false">IF(C1263&lt;Outliers!$E$8,"Low",IF(C1263&gt;Outliers!$F$8,"High",""))</f>
        <v/>
      </c>
      <c r="L1263" s="6" t="str">
        <f aca="false">A1263&amp;";"&amp;B1263&amp;";"&amp;C1263</f>
        <v>23.81995682;67.2739864;21.9024044732796</v>
      </c>
      <c r="M1263" s="6" t="n">
        <f aca="false">IF(COUNTIF($L$2:$L$2201,L1263)&gt;1,1,0)</f>
        <v>0</v>
      </c>
      <c r="N1263" s="6" t="str">
        <f aca="false">IF(AND(C1263&lt;Assumptions!$B$9,B1263&lt;Assumptions!$B$10),"Irrigate Now",IF(AND(C1263&gt;=Assumptions!$B$11,B1263&gt;=Assumptions!$B$12),"No Irrigation Needed","Monitor"))</f>
        <v>Monitor</v>
      </c>
      <c r="O1263" s="6" t="n">
        <f aca="false">IF(N1263=G1263,1,0)</f>
        <v>1</v>
      </c>
    </row>
    <row r="1264" customFormat="false" ht="15" hidden="false" customHeight="false" outlineLevel="0" collapsed="false">
      <c r="A1264" s="16" t="n">
        <v>40.66012294</v>
      </c>
      <c r="B1264" s="16" t="n">
        <v>74.03030056</v>
      </c>
      <c r="C1264" s="16" t="n">
        <v>16.9639624678111</v>
      </c>
      <c r="D1264" s="6" t="s">
        <v>67</v>
      </c>
      <c r="E1264" s="6" t="s">
        <v>57</v>
      </c>
      <c r="F1264" s="6" t="s">
        <v>24</v>
      </c>
      <c r="G1264" s="6" t="s">
        <v>64</v>
      </c>
      <c r="H1264" s="6" t="s">
        <v>65</v>
      </c>
      <c r="I1264" s="6" t="str">
        <f aca="false">IF(A1264&lt;Outliers!$E$6,"Low",IF(A1264&gt;Outliers!$F$6,"High",""))</f>
        <v>High</v>
      </c>
      <c r="J1264" s="6" t="str">
        <f aca="false">IF(B1264&lt;Outliers!$E$7,"Low",IF(B1264&gt;Outliers!$F$7,"High",""))</f>
        <v/>
      </c>
      <c r="K1264" s="6" t="str">
        <f aca="false">IF(C1264&lt;Outliers!$E$8,"Low",IF(C1264&gt;Outliers!$F$8,"High",""))</f>
        <v/>
      </c>
      <c r="L1264" s="6" t="str">
        <f aca="false">A1264&amp;";"&amp;B1264&amp;";"&amp;C1264</f>
        <v>40.66012294;74.03030056;16.9639624678111</v>
      </c>
      <c r="M1264" s="6" t="n">
        <f aca="false">IF(COUNTIF($L$2:$L$2201,L1264)&gt;1,1,0)</f>
        <v>0</v>
      </c>
      <c r="N1264" s="6" t="str">
        <f aca="false">IF(AND(C1264&lt;Assumptions!$B$9,B1264&lt;Assumptions!$B$10),"Irrigate Now",IF(AND(C1264&gt;=Assumptions!$B$11,B1264&gt;=Assumptions!$B$12),"No Irrigation Needed","Monitor"))</f>
        <v>Irrigate Now</v>
      </c>
      <c r="O1264" s="6" t="n">
        <f aca="false">IF(N1264=G1264,1,0)</f>
        <v>1</v>
      </c>
    </row>
    <row r="1265" customFormat="false" ht="15" hidden="false" customHeight="false" outlineLevel="0" collapsed="false">
      <c r="A1265" s="16" t="n">
        <v>11.82768186</v>
      </c>
      <c r="B1265" s="16" t="n">
        <v>74.10225057</v>
      </c>
      <c r="C1265" s="16" t="n">
        <v>16.7801896402213</v>
      </c>
      <c r="D1265" s="6" t="s">
        <v>66</v>
      </c>
      <c r="E1265" s="6" t="s">
        <v>57</v>
      </c>
      <c r="F1265" s="6" t="s">
        <v>24</v>
      </c>
      <c r="G1265" s="6" t="s">
        <v>64</v>
      </c>
      <c r="H1265" s="6" t="s">
        <v>65</v>
      </c>
      <c r="I1265" s="6" t="str">
        <f aca="false">IF(A1265&lt;Outliers!$E$6,"Low",IF(A1265&gt;Outliers!$F$6,"High",""))</f>
        <v>Low</v>
      </c>
      <c r="J1265" s="6" t="str">
        <f aca="false">IF(B1265&lt;Outliers!$E$7,"Low",IF(B1265&gt;Outliers!$F$7,"High",""))</f>
        <v/>
      </c>
      <c r="K1265" s="6" t="str">
        <f aca="false">IF(C1265&lt;Outliers!$E$8,"Low",IF(C1265&gt;Outliers!$F$8,"High",""))</f>
        <v/>
      </c>
      <c r="L1265" s="6" t="str">
        <f aca="false">A1265&amp;";"&amp;B1265&amp;";"&amp;C1265</f>
        <v>11.82768186;74.10225057;16.7801896402213</v>
      </c>
      <c r="M1265" s="6" t="n">
        <f aca="false">IF(COUNTIF($L$2:$L$2201,L1265)&gt;1,1,0)</f>
        <v>0</v>
      </c>
      <c r="N1265" s="6" t="str">
        <f aca="false">IF(AND(C1265&lt;Assumptions!$B$9,B1265&lt;Assumptions!$B$10),"Irrigate Now",IF(AND(C1265&gt;=Assumptions!$B$11,B1265&gt;=Assumptions!$B$12),"No Irrigation Needed","Monitor"))</f>
        <v>Irrigate Now</v>
      </c>
      <c r="O1265" s="6" t="n">
        <f aca="false">IF(N1265=G1265,1,0)</f>
        <v>1</v>
      </c>
    </row>
    <row r="1266" customFormat="false" ht="15" hidden="false" customHeight="false" outlineLevel="0" collapsed="false">
      <c r="A1266" s="16" t="n">
        <v>13.28504331</v>
      </c>
      <c r="B1266" s="16" t="n">
        <v>65.80006004</v>
      </c>
      <c r="C1266" s="16" t="n">
        <v>26.2026235667779</v>
      </c>
      <c r="D1266" s="6" t="s">
        <v>66</v>
      </c>
      <c r="E1266" s="6" t="s">
        <v>57</v>
      </c>
      <c r="F1266" s="6" t="s">
        <v>23</v>
      </c>
      <c r="G1266" s="6" t="s">
        <v>61</v>
      </c>
      <c r="H1266" s="6" t="s">
        <v>63</v>
      </c>
      <c r="I1266" s="6" t="str">
        <f aca="false">IF(A1266&lt;Outliers!$E$6,"Low",IF(A1266&gt;Outliers!$F$6,"High",""))</f>
        <v>Low</v>
      </c>
      <c r="J1266" s="6" t="str">
        <f aca="false">IF(B1266&lt;Outliers!$E$7,"Low",IF(B1266&gt;Outliers!$F$7,"High",""))</f>
        <v/>
      </c>
      <c r="K1266" s="6" t="str">
        <f aca="false">IF(C1266&lt;Outliers!$E$8,"Low",IF(C1266&gt;Outliers!$F$8,"High",""))</f>
        <v/>
      </c>
      <c r="L1266" s="6" t="str">
        <f aca="false">A1266&amp;";"&amp;B1266&amp;";"&amp;C1266</f>
        <v>13.28504331;65.80006004;26.2026235667779</v>
      </c>
      <c r="M1266" s="6" t="n">
        <f aca="false">IF(COUNTIF($L$2:$L$2201,L1266)&gt;1,1,0)</f>
        <v>0</v>
      </c>
      <c r="N1266" s="6" t="str">
        <f aca="false">IF(AND(C1266&lt;Assumptions!$B$9,B1266&lt;Assumptions!$B$10),"Irrigate Now",IF(AND(C1266&gt;=Assumptions!$B$11,B1266&gt;=Assumptions!$B$12),"No Irrigation Needed","Monitor"))</f>
        <v>Monitor</v>
      </c>
      <c r="O1266" s="6" t="n">
        <f aca="false">IF(N1266=G1266,1,0)</f>
        <v>1</v>
      </c>
    </row>
    <row r="1267" customFormat="false" ht="15" hidden="false" customHeight="false" outlineLevel="0" collapsed="false">
      <c r="A1267" s="16" t="n">
        <v>35.83089092</v>
      </c>
      <c r="B1267" s="16" t="n">
        <v>73.67984885</v>
      </c>
      <c r="C1267" s="16" t="n">
        <v>28.5786459638312</v>
      </c>
      <c r="D1267" s="6" t="s">
        <v>67</v>
      </c>
      <c r="E1267" s="6" t="s">
        <v>57</v>
      </c>
      <c r="F1267" s="6" t="s">
        <v>23</v>
      </c>
      <c r="G1267" s="6" t="s">
        <v>61</v>
      </c>
      <c r="H1267" s="6" t="s">
        <v>63</v>
      </c>
      <c r="I1267" s="6" t="str">
        <f aca="false">IF(A1267&lt;Outliers!$E$6,"Low",IF(A1267&gt;Outliers!$F$6,"High",""))</f>
        <v/>
      </c>
      <c r="J1267" s="6" t="str">
        <f aca="false">IF(B1267&lt;Outliers!$E$7,"Low",IF(B1267&gt;Outliers!$F$7,"High",""))</f>
        <v/>
      </c>
      <c r="K1267" s="6" t="str">
        <f aca="false">IF(C1267&lt;Outliers!$E$8,"Low",IF(C1267&gt;Outliers!$F$8,"High",""))</f>
        <v/>
      </c>
      <c r="L1267" s="6" t="str">
        <f aca="false">A1267&amp;";"&amp;B1267&amp;";"&amp;C1267</f>
        <v>35.83089092;73.67984885;28.5786459638312</v>
      </c>
      <c r="M1267" s="6" t="n">
        <f aca="false">IF(COUNTIF($L$2:$L$2201,L1267)&gt;1,1,0)</f>
        <v>0</v>
      </c>
      <c r="N1267" s="6" t="str">
        <f aca="false">IF(AND(C1267&lt;Assumptions!$B$9,B1267&lt;Assumptions!$B$10),"Irrigate Now",IF(AND(C1267&gt;=Assumptions!$B$11,B1267&gt;=Assumptions!$B$12),"No Irrigation Needed","Monitor"))</f>
        <v>Monitor</v>
      </c>
      <c r="O1267" s="6" t="n">
        <f aca="false">IF(N1267=G1267,1,0)</f>
        <v>1</v>
      </c>
    </row>
    <row r="1268" customFormat="false" ht="15" hidden="false" customHeight="false" outlineLevel="0" collapsed="false">
      <c r="A1268" s="16" t="n">
        <v>26.18159716</v>
      </c>
      <c r="B1268" s="16" t="n">
        <v>66.05911698</v>
      </c>
      <c r="C1268" s="16" t="n">
        <v>18.1637800137246</v>
      </c>
      <c r="D1268" s="6" t="s">
        <v>57</v>
      </c>
      <c r="E1268" s="6" t="s">
        <v>57</v>
      </c>
      <c r="F1268" s="6" t="s">
        <v>24</v>
      </c>
      <c r="G1268" s="6" t="s">
        <v>61</v>
      </c>
      <c r="H1268" s="6" t="s">
        <v>63</v>
      </c>
      <c r="I1268" s="6" t="str">
        <f aca="false">IF(A1268&lt;Outliers!$E$6,"Low",IF(A1268&gt;Outliers!$F$6,"High",""))</f>
        <v/>
      </c>
      <c r="J1268" s="6" t="str">
        <f aca="false">IF(B1268&lt;Outliers!$E$7,"Low",IF(B1268&gt;Outliers!$F$7,"High",""))</f>
        <v/>
      </c>
      <c r="K1268" s="6" t="str">
        <f aca="false">IF(C1268&lt;Outliers!$E$8,"Low",IF(C1268&gt;Outliers!$F$8,"High",""))</f>
        <v/>
      </c>
      <c r="L1268" s="6" t="str">
        <f aca="false">A1268&amp;";"&amp;B1268&amp;";"&amp;C1268</f>
        <v>26.18159716;66.05911698;18.1637800137246</v>
      </c>
      <c r="M1268" s="6" t="n">
        <f aca="false">IF(COUNTIF($L$2:$L$2201,L1268)&gt;1,1,0)</f>
        <v>0</v>
      </c>
      <c r="N1268" s="6" t="str">
        <f aca="false">IF(AND(C1268&lt;Assumptions!$B$9,B1268&lt;Assumptions!$B$10),"Irrigate Now",IF(AND(C1268&gt;=Assumptions!$B$11,B1268&gt;=Assumptions!$B$12),"No Irrigation Needed","Monitor"))</f>
        <v>Monitor</v>
      </c>
      <c r="O1268" s="6" t="n">
        <f aca="false">IF(N1268=G1268,1,0)</f>
        <v>1</v>
      </c>
    </row>
    <row r="1269" customFormat="false" ht="15" hidden="false" customHeight="false" outlineLevel="0" collapsed="false">
      <c r="A1269" s="16" t="n">
        <v>24.57558351</v>
      </c>
      <c r="B1269" s="16" t="n">
        <v>69.706113</v>
      </c>
      <c r="C1269" s="16" t="n">
        <v>11.329050465502</v>
      </c>
      <c r="D1269" s="6" t="s">
        <v>57</v>
      </c>
      <c r="E1269" s="6" t="s">
        <v>57</v>
      </c>
      <c r="F1269" s="6" t="s">
        <v>24</v>
      </c>
      <c r="G1269" s="6" t="s">
        <v>64</v>
      </c>
      <c r="H1269" s="6" t="s">
        <v>65</v>
      </c>
      <c r="I1269" s="6" t="str">
        <f aca="false">IF(A1269&lt;Outliers!$E$6,"Low",IF(A1269&gt;Outliers!$F$6,"High",""))</f>
        <v/>
      </c>
      <c r="J1269" s="6" t="str">
        <f aca="false">IF(B1269&lt;Outliers!$E$7,"Low",IF(B1269&gt;Outliers!$F$7,"High",""))</f>
        <v/>
      </c>
      <c r="K1269" s="6" t="str">
        <f aca="false">IF(C1269&lt;Outliers!$E$8,"Low",IF(C1269&gt;Outliers!$F$8,"High",""))</f>
        <v/>
      </c>
      <c r="L1269" s="6" t="str">
        <f aca="false">A1269&amp;";"&amp;B1269&amp;";"&amp;C1269</f>
        <v>24.57558351;69.706113;11.329050465502</v>
      </c>
      <c r="M1269" s="6" t="n">
        <f aca="false">IF(COUNTIF($L$2:$L$2201,L1269)&gt;1,1,0)</f>
        <v>0</v>
      </c>
      <c r="N1269" s="6" t="str">
        <f aca="false">IF(AND(C1269&lt;Assumptions!$B$9,B1269&lt;Assumptions!$B$10),"Irrigate Now",IF(AND(C1269&gt;=Assumptions!$B$11,B1269&gt;=Assumptions!$B$12),"No Irrigation Needed","Monitor"))</f>
        <v>Irrigate Now</v>
      </c>
      <c r="O1269" s="6" t="n">
        <f aca="false">IF(N1269=G1269,1,0)</f>
        <v>1</v>
      </c>
    </row>
    <row r="1270" customFormat="false" ht="15" hidden="false" customHeight="false" outlineLevel="0" collapsed="false">
      <c r="A1270" s="16" t="n">
        <v>29.67229086</v>
      </c>
      <c r="B1270" s="16" t="n">
        <v>66.48490371</v>
      </c>
      <c r="C1270" s="16" t="n">
        <v>20.7654048787847</v>
      </c>
      <c r="D1270" s="6" t="s">
        <v>57</v>
      </c>
      <c r="E1270" s="6" t="s">
        <v>57</v>
      </c>
      <c r="F1270" s="6" t="s">
        <v>60</v>
      </c>
      <c r="G1270" s="6" t="s">
        <v>61</v>
      </c>
      <c r="H1270" s="6" t="s">
        <v>63</v>
      </c>
      <c r="I1270" s="6" t="str">
        <f aca="false">IF(A1270&lt;Outliers!$E$6,"Low",IF(A1270&gt;Outliers!$F$6,"High",""))</f>
        <v/>
      </c>
      <c r="J1270" s="6" t="str">
        <f aca="false">IF(B1270&lt;Outliers!$E$7,"Low",IF(B1270&gt;Outliers!$F$7,"High",""))</f>
        <v/>
      </c>
      <c r="K1270" s="6" t="str">
        <f aca="false">IF(C1270&lt;Outliers!$E$8,"Low",IF(C1270&gt;Outliers!$F$8,"High",""))</f>
        <v/>
      </c>
      <c r="L1270" s="6" t="str">
        <f aca="false">A1270&amp;";"&amp;B1270&amp;";"&amp;C1270</f>
        <v>29.67229086;66.48490371;20.7654048787847</v>
      </c>
      <c r="M1270" s="6" t="n">
        <f aca="false">IF(COUNTIF($L$2:$L$2201,L1270)&gt;1,1,0)</f>
        <v>0</v>
      </c>
      <c r="N1270" s="6" t="str">
        <f aca="false">IF(AND(C1270&lt;Assumptions!$B$9,B1270&lt;Assumptions!$B$10),"Irrigate Now",IF(AND(C1270&gt;=Assumptions!$B$11,B1270&gt;=Assumptions!$B$12),"No Irrigation Needed","Monitor"))</f>
        <v>Monitor</v>
      </c>
      <c r="O1270" s="6" t="n">
        <f aca="false">IF(N1270=G1270,1,0)</f>
        <v>1</v>
      </c>
    </row>
    <row r="1271" customFormat="false" ht="15" hidden="false" customHeight="false" outlineLevel="0" collapsed="false">
      <c r="A1271" s="16" t="n">
        <v>39.37102553</v>
      </c>
      <c r="B1271" s="16" t="n">
        <v>74.08101744</v>
      </c>
      <c r="C1271" s="16" t="n">
        <v>10.4249582039655</v>
      </c>
      <c r="D1271" s="6" t="s">
        <v>67</v>
      </c>
      <c r="E1271" s="6" t="s">
        <v>57</v>
      </c>
      <c r="F1271" s="6" t="s">
        <v>24</v>
      </c>
      <c r="G1271" s="6" t="s">
        <v>64</v>
      </c>
      <c r="H1271" s="6" t="s">
        <v>65</v>
      </c>
      <c r="I1271" s="6" t="str">
        <f aca="false">IF(A1271&lt;Outliers!$E$6,"Low",IF(A1271&gt;Outliers!$F$6,"High",""))</f>
        <v>High</v>
      </c>
      <c r="J1271" s="6" t="str">
        <f aca="false">IF(B1271&lt;Outliers!$E$7,"Low",IF(B1271&gt;Outliers!$F$7,"High",""))</f>
        <v/>
      </c>
      <c r="K1271" s="6" t="str">
        <f aca="false">IF(C1271&lt;Outliers!$E$8,"Low",IF(C1271&gt;Outliers!$F$8,"High",""))</f>
        <v/>
      </c>
      <c r="L1271" s="6" t="str">
        <f aca="false">A1271&amp;";"&amp;B1271&amp;";"&amp;C1271</f>
        <v>39.37102553;74.08101744;10.4249582039655</v>
      </c>
      <c r="M1271" s="6" t="n">
        <f aca="false">IF(COUNTIF($L$2:$L$2201,L1271)&gt;1,1,0)</f>
        <v>0</v>
      </c>
      <c r="N1271" s="6" t="str">
        <f aca="false">IF(AND(C1271&lt;Assumptions!$B$9,B1271&lt;Assumptions!$B$10),"Irrigate Now",IF(AND(C1271&gt;=Assumptions!$B$11,B1271&gt;=Assumptions!$B$12),"No Irrigation Needed","Monitor"))</f>
        <v>Irrigate Now</v>
      </c>
      <c r="O1271" s="6" t="n">
        <f aca="false">IF(N1271=G1271,1,0)</f>
        <v>1</v>
      </c>
    </row>
    <row r="1272" customFormat="false" ht="15" hidden="false" customHeight="false" outlineLevel="0" collapsed="false">
      <c r="A1272" s="16" t="n">
        <v>17.66558428</v>
      </c>
      <c r="B1272" s="16" t="n">
        <v>69.8671263</v>
      </c>
      <c r="C1272" s="16" t="n">
        <v>17.4838915756371</v>
      </c>
      <c r="D1272" s="6" t="s">
        <v>66</v>
      </c>
      <c r="E1272" s="6" t="s">
        <v>57</v>
      </c>
      <c r="F1272" s="6" t="s">
        <v>24</v>
      </c>
      <c r="G1272" s="6" t="s">
        <v>64</v>
      </c>
      <c r="H1272" s="6" t="s">
        <v>65</v>
      </c>
      <c r="I1272" s="6" t="str">
        <f aca="false">IF(A1272&lt;Outliers!$E$6,"Low",IF(A1272&gt;Outliers!$F$6,"High",""))</f>
        <v/>
      </c>
      <c r="J1272" s="6" t="str">
        <f aca="false">IF(B1272&lt;Outliers!$E$7,"Low",IF(B1272&gt;Outliers!$F$7,"High",""))</f>
        <v/>
      </c>
      <c r="K1272" s="6" t="str">
        <f aca="false">IF(C1272&lt;Outliers!$E$8,"Low",IF(C1272&gt;Outliers!$F$8,"High",""))</f>
        <v/>
      </c>
      <c r="L1272" s="6" t="str">
        <f aca="false">A1272&amp;";"&amp;B1272&amp;";"&amp;C1272</f>
        <v>17.66558428;69.8671263;17.4838915756371</v>
      </c>
      <c r="M1272" s="6" t="n">
        <f aca="false">IF(COUNTIF($L$2:$L$2201,L1272)&gt;1,1,0)</f>
        <v>0</v>
      </c>
      <c r="N1272" s="6" t="str">
        <f aca="false">IF(AND(C1272&lt;Assumptions!$B$9,B1272&lt;Assumptions!$B$10),"Irrigate Now",IF(AND(C1272&gt;=Assumptions!$B$11,B1272&gt;=Assumptions!$B$12),"No Irrigation Needed","Monitor"))</f>
        <v>Irrigate Now</v>
      </c>
      <c r="O1272" s="6" t="n">
        <f aca="false">IF(N1272=G1272,1,0)</f>
        <v>1</v>
      </c>
    </row>
    <row r="1273" customFormat="false" ht="15" hidden="false" customHeight="false" outlineLevel="0" collapsed="false">
      <c r="A1273" s="16" t="n">
        <v>24.06679352</v>
      </c>
      <c r="B1273" s="16" t="n">
        <v>69.81855775</v>
      </c>
      <c r="C1273" s="16" t="n">
        <v>25.1509312950491</v>
      </c>
      <c r="D1273" s="6" t="s">
        <v>57</v>
      </c>
      <c r="E1273" s="6" t="s">
        <v>57</v>
      </c>
      <c r="F1273" s="6" t="s">
        <v>23</v>
      </c>
      <c r="G1273" s="6" t="s">
        <v>61</v>
      </c>
      <c r="H1273" s="6" t="s">
        <v>63</v>
      </c>
      <c r="I1273" s="6" t="str">
        <f aca="false">IF(A1273&lt;Outliers!$E$6,"Low",IF(A1273&gt;Outliers!$F$6,"High",""))</f>
        <v/>
      </c>
      <c r="J1273" s="6" t="str">
        <f aca="false">IF(B1273&lt;Outliers!$E$7,"Low",IF(B1273&gt;Outliers!$F$7,"High",""))</f>
        <v/>
      </c>
      <c r="K1273" s="6" t="str">
        <f aca="false">IF(C1273&lt;Outliers!$E$8,"Low",IF(C1273&gt;Outliers!$F$8,"High",""))</f>
        <v/>
      </c>
      <c r="L1273" s="6" t="str">
        <f aca="false">A1273&amp;";"&amp;B1273&amp;";"&amp;C1273</f>
        <v>24.06679352;69.81855775;25.1509312950491</v>
      </c>
      <c r="M1273" s="6" t="n">
        <f aca="false">IF(COUNTIF($L$2:$L$2201,L1273)&gt;1,1,0)</f>
        <v>0</v>
      </c>
      <c r="N1273" s="6" t="str">
        <f aca="false">IF(AND(C1273&lt;Assumptions!$B$9,B1273&lt;Assumptions!$B$10),"Irrigate Now",IF(AND(C1273&gt;=Assumptions!$B$11,B1273&gt;=Assumptions!$B$12),"No Irrigation Needed","Monitor"))</f>
        <v>Monitor</v>
      </c>
      <c r="O1273" s="6" t="n">
        <f aca="false">IF(N1273=G1273,1,0)</f>
        <v>1</v>
      </c>
    </row>
    <row r="1274" customFormat="false" ht="15" hidden="false" customHeight="false" outlineLevel="0" collapsed="false">
      <c r="A1274" s="16" t="n">
        <v>15.31413469</v>
      </c>
      <c r="B1274" s="16" t="n">
        <v>74.82144653</v>
      </c>
      <c r="C1274" s="16" t="n">
        <v>12.7004221706742</v>
      </c>
      <c r="D1274" s="6" t="s">
        <v>66</v>
      </c>
      <c r="E1274" s="6" t="s">
        <v>57</v>
      </c>
      <c r="F1274" s="6" t="s">
        <v>24</v>
      </c>
      <c r="G1274" s="6" t="s">
        <v>64</v>
      </c>
      <c r="H1274" s="6" t="s">
        <v>65</v>
      </c>
      <c r="I1274" s="6" t="str">
        <f aca="false">IF(A1274&lt;Outliers!$E$6,"Low",IF(A1274&gt;Outliers!$F$6,"High",""))</f>
        <v/>
      </c>
      <c r="J1274" s="6" t="str">
        <f aca="false">IF(B1274&lt;Outliers!$E$7,"Low",IF(B1274&gt;Outliers!$F$7,"High",""))</f>
        <v/>
      </c>
      <c r="K1274" s="6" t="str">
        <f aca="false">IF(C1274&lt;Outliers!$E$8,"Low",IF(C1274&gt;Outliers!$F$8,"High",""))</f>
        <v/>
      </c>
      <c r="L1274" s="6" t="str">
        <f aca="false">A1274&amp;";"&amp;B1274&amp;";"&amp;C1274</f>
        <v>15.31413469;74.82144653;12.7004221706742</v>
      </c>
      <c r="M1274" s="6" t="n">
        <f aca="false">IF(COUNTIF($L$2:$L$2201,L1274)&gt;1,1,0)</f>
        <v>0</v>
      </c>
      <c r="N1274" s="6" t="str">
        <f aca="false">IF(AND(C1274&lt;Assumptions!$B$9,B1274&lt;Assumptions!$B$10),"Irrigate Now",IF(AND(C1274&gt;=Assumptions!$B$11,B1274&gt;=Assumptions!$B$12),"No Irrigation Needed","Monitor"))</f>
        <v>Irrigate Now</v>
      </c>
      <c r="O1274" s="6" t="n">
        <f aca="false">IF(N1274=G1274,1,0)</f>
        <v>1</v>
      </c>
    </row>
    <row r="1275" customFormat="false" ht="15" hidden="false" customHeight="false" outlineLevel="0" collapsed="false">
      <c r="A1275" s="16" t="n">
        <v>21.77466746</v>
      </c>
      <c r="B1275" s="16" t="n">
        <v>69.39630398</v>
      </c>
      <c r="C1275" s="16" t="n">
        <v>22.0330108054059</v>
      </c>
      <c r="D1275" s="6" t="s">
        <v>57</v>
      </c>
      <c r="E1275" s="6" t="s">
        <v>57</v>
      </c>
      <c r="F1275" s="6" t="s">
        <v>60</v>
      </c>
      <c r="G1275" s="6" t="s">
        <v>61</v>
      </c>
      <c r="H1275" s="6" t="s">
        <v>63</v>
      </c>
      <c r="I1275" s="6" t="str">
        <f aca="false">IF(A1275&lt;Outliers!$E$6,"Low",IF(A1275&gt;Outliers!$F$6,"High",""))</f>
        <v/>
      </c>
      <c r="J1275" s="6" t="str">
        <f aca="false">IF(B1275&lt;Outliers!$E$7,"Low",IF(B1275&gt;Outliers!$F$7,"High",""))</f>
        <v/>
      </c>
      <c r="K1275" s="6" t="str">
        <f aca="false">IF(C1275&lt;Outliers!$E$8,"Low",IF(C1275&gt;Outliers!$F$8,"High",""))</f>
        <v/>
      </c>
      <c r="L1275" s="6" t="str">
        <f aca="false">A1275&amp;";"&amp;B1275&amp;";"&amp;C1275</f>
        <v>21.77466746;69.39630398;22.0330108054059</v>
      </c>
      <c r="M1275" s="6" t="n">
        <f aca="false">IF(COUNTIF($L$2:$L$2201,L1275)&gt;1,1,0)</f>
        <v>0</v>
      </c>
      <c r="N1275" s="6" t="str">
        <f aca="false">IF(AND(C1275&lt;Assumptions!$B$9,B1275&lt;Assumptions!$B$10),"Irrigate Now",IF(AND(C1275&gt;=Assumptions!$B$11,B1275&gt;=Assumptions!$B$12),"No Irrigation Needed","Monitor"))</f>
        <v>Monitor</v>
      </c>
      <c r="O1275" s="6" t="n">
        <f aca="false">IF(N1275=G1275,1,0)</f>
        <v>1</v>
      </c>
    </row>
    <row r="1276" customFormat="false" ht="15" hidden="false" customHeight="false" outlineLevel="0" collapsed="false">
      <c r="A1276" s="16" t="n">
        <v>26.91624843</v>
      </c>
      <c r="B1276" s="16" t="n">
        <v>69.30927185</v>
      </c>
      <c r="C1276" s="16" t="n">
        <v>27.554117393355</v>
      </c>
      <c r="D1276" s="6" t="s">
        <v>57</v>
      </c>
      <c r="E1276" s="6" t="s">
        <v>57</v>
      </c>
      <c r="F1276" s="6" t="s">
        <v>23</v>
      </c>
      <c r="G1276" s="6" t="s">
        <v>61</v>
      </c>
      <c r="H1276" s="6" t="s">
        <v>63</v>
      </c>
      <c r="I1276" s="6" t="str">
        <f aca="false">IF(A1276&lt;Outliers!$E$6,"Low",IF(A1276&gt;Outliers!$F$6,"High",""))</f>
        <v/>
      </c>
      <c r="J1276" s="6" t="str">
        <f aca="false">IF(B1276&lt;Outliers!$E$7,"Low",IF(B1276&gt;Outliers!$F$7,"High",""))</f>
        <v/>
      </c>
      <c r="K1276" s="6" t="str">
        <f aca="false">IF(C1276&lt;Outliers!$E$8,"Low",IF(C1276&gt;Outliers!$F$8,"High",""))</f>
        <v/>
      </c>
      <c r="L1276" s="6" t="str">
        <f aca="false">A1276&amp;";"&amp;B1276&amp;";"&amp;C1276</f>
        <v>26.91624843;69.30927185;27.554117393355</v>
      </c>
      <c r="M1276" s="6" t="n">
        <f aca="false">IF(COUNTIF($L$2:$L$2201,L1276)&gt;1,1,0)</f>
        <v>0</v>
      </c>
      <c r="N1276" s="6" t="str">
        <f aca="false">IF(AND(C1276&lt;Assumptions!$B$9,B1276&lt;Assumptions!$B$10),"Irrigate Now",IF(AND(C1276&gt;=Assumptions!$B$11,B1276&gt;=Assumptions!$B$12),"No Irrigation Needed","Monitor"))</f>
        <v>Monitor</v>
      </c>
      <c r="O1276" s="6" t="n">
        <f aca="false">IF(N1276=G1276,1,0)</f>
        <v>1</v>
      </c>
    </row>
    <row r="1277" customFormat="false" ht="15" hidden="false" customHeight="false" outlineLevel="0" collapsed="false">
      <c r="A1277" s="16" t="n">
        <v>41.65602996</v>
      </c>
      <c r="B1277" s="16" t="n">
        <v>74.19664838</v>
      </c>
      <c r="C1277" s="16" t="n">
        <v>24.43952238827</v>
      </c>
      <c r="D1277" s="6" t="s">
        <v>67</v>
      </c>
      <c r="E1277" s="6" t="s">
        <v>57</v>
      </c>
      <c r="F1277" s="6" t="s">
        <v>60</v>
      </c>
      <c r="G1277" s="6" t="s">
        <v>61</v>
      </c>
      <c r="H1277" s="6" t="s">
        <v>63</v>
      </c>
      <c r="I1277" s="6" t="str">
        <f aca="false">IF(A1277&lt;Outliers!$E$6,"Low",IF(A1277&gt;Outliers!$F$6,"High",""))</f>
        <v>High</v>
      </c>
      <c r="J1277" s="6" t="str">
        <f aca="false">IF(B1277&lt;Outliers!$E$7,"Low",IF(B1277&gt;Outliers!$F$7,"High",""))</f>
        <v/>
      </c>
      <c r="K1277" s="6" t="str">
        <f aca="false">IF(C1277&lt;Outliers!$E$8,"Low",IF(C1277&gt;Outliers!$F$8,"High",""))</f>
        <v/>
      </c>
      <c r="L1277" s="6" t="str">
        <f aca="false">A1277&amp;";"&amp;B1277&amp;";"&amp;C1277</f>
        <v>41.65602996;74.19664838;24.43952238827</v>
      </c>
      <c r="M1277" s="6" t="n">
        <f aca="false">IF(COUNTIF($L$2:$L$2201,L1277)&gt;1,1,0)</f>
        <v>0</v>
      </c>
      <c r="N1277" s="6" t="str">
        <f aca="false">IF(AND(C1277&lt;Assumptions!$B$9,B1277&lt;Assumptions!$B$10),"Irrigate Now",IF(AND(C1277&gt;=Assumptions!$B$11,B1277&gt;=Assumptions!$B$12),"No Irrigation Needed","Monitor"))</f>
        <v>Monitor</v>
      </c>
      <c r="O1277" s="6" t="n">
        <f aca="false">IF(N1277=G1277,1,0)</f>
        <v>1</v>
      </c>
    </row>
    <row r="1278" customFormat="false" ht="15" hidden="false" customHeight="false" outlineLevel="0" collapsed="false">
      <c r="A1278" s="16" t="n">
        <v>17.98667801</v>
      </c>
      <c r="B1278" s="16" t="n">
        <v>72.37127689</v>
      </c>
      <c r="C1278" s="16" t="n">
        <v>13.372461857546</v>
      </c>
      <c r="D1278" s="6" t="s">
        <v>66</v>
      </c>
      <c r="E1278" s="6" t="s">
        <v>57</v>
      </c>
      <c r="F1278" s="6" t="s">
        <v>24</v>
      </c>
      <c r="G1278" s="6" t="s">
        <v>64</v>
      </c>
      <c r="H1278" s="6" t="s">
        <v>65</v>
      </c>
      <c r="I1278" s="6" t="str">
        <f aca="false">IF(A1278&lt;Outliers!$E$6,"Low",IF(A1278&gt;Outliers!$F$6,"High",""))</f>
        <v/>
      </c>
      <c r="J1278" s="6" t="str">
        <f aca="false">IF(B1278&lt;Outliers!$E$7,"Low",IF(B1278&gt;Outliers!$F$7,"High",""))</f>
        <v/>
      </c>
      <c r="K1278" s="6" t="str">
        <f aca="false">IF(C1278&lt;Outliers!$E$8,"Low",IF(C1278&gt;Outliers!$F$8,"High",""))</f>
        <v/>
      </c>
      <c r="L1278" s="6" t="str">
        <f aca="false">A1278&amp;";"&amp;B1278&amp;";"&amp;C1278</f>
        <v>17.98667801;72.37127689;13.372461857546</v>
      </c>
      <c r="M1278" s="6" t="n">
        <f aca="false">IF(COUNTIF($L$2:$L$2201,L1278)&gt;1,1,0)</f>
        <v>0</v>
      </c>
      <c r="N1278" s="6" t="str">
        <f aca="false">IF(AND(C1278&lt;Assumptions!$B$9,B1278&lt;Assumptions!$B$10),"Irrigate Now",IF(AND(C1278&gt;=Assumptions!$B$11,B1278&gt;=Assumptions!$B$12),"No Irrigation Needed","Monitor"))</f>
        <v>Irrigate Now</v>
      </c>
      <c r="O1278" s="6" t="n">
        <f aca="false">IF(N1278=G1278,1,0)</f>
        <v>1</v>
      </c>
    </row>
    <row r="1279" customFormat="false" ht="15" hidden="false" customHeight="false" outlineLevel="0" collapsed="false">
      <c r="A1279" s="16" t="n">
        <v>29.12033769</v>
      </c>
      <c r="B1279" s="16" t="n">
        <v>68.8503047</v>
      </c>
      <c r="C1279" s="16" t="n">
        <v>29.4818716997995</v>
      </c>
      <c r="D1279" s="6" t="s">
        <v>57</v>
      </c>
      <c r="E1279" s="6" t="s">
        <v>57</v>
      </c>
      <c r="F1279" s="6" t="s">
        <v>23</v>
      </c>
      <c r="G1279" s="6" t="s">
        <v>61</v>
      </c>
      <c r="H1279" s="6" t="s">
        <v>63</v>
      </c>
      <c r="I1279" s="6" t="str">
        <f aca="false">IF(A1279&lt;Outliers!$E$6,"Low",IF(A1279&gt;Outliers!$F$6,"High",""))</f>
        <v/>
      </c>
      <c r="J1279" s="6" t="str">
        <f aca="false">IF(B1279&lt;Outliers!$E$7,"Low",IF(B1279&gt;Outliers!$F$7,"High",""))</f>
        <v/>
      </c>
      <c r="K1279" s="6" t="str">
        <f aca="false">IF(C1279&lt;Outliers!$E$8,"Low",IF(C1279&gt;Outliers!$F$8,"High",""))</f>
        <v/>
      </c>
      <c r="L1279" s="6" t="str">
        <f aca="false">A1279&amp;";"&amp;B1279&amp;";"&amp;C1279</f>
        <v>29.12033769;68.8503047;29.4818716997995</v>
      </c>
      <c r="M1279" s="6" t="n">
        <f aca="false">IF(COUNTIF($L$2:$L$2201,L1279)&gt;1,1,0)</f>
        <v>0</v>
      </c>
      <c r="N1279" s="6" t="str">
        <f aca="false">IF(AND(C1279&lt;Assumptions!$B$9,B1279&lt;Assumptions!$B$10),"Irrigate Now",IF(AND(C1279&gt;=Assumptions!$B$11,B1279&gt;=Assumptions!$B$12),"No Irrigation Needed","Monitor"))</f>
        <v>Monitor</v>
      </c>
      <c r="O1279" s="6" t="n">
        <f aca="false">IF(N1279=G1279,1,0)</f>
        <v>1</v>
      </c>
    </row>
    <row r="1280" customFormat="false" ht="15" hidden="false" customHeight="false" outlineLevel="0" collapsed="false">
      <c r="A1280" s="16" t="n">
        <v>34.38922481</v>
      </c>
      <c r="B1280" s="16" t="n">
        <v>71.03001556</v>
      </c>
      <c r="C1280" s="16" t="n">
        <v>17.3061288176104</v>
      </c>
      <c r="D1280" s="6" t="s">
        <v>67</v>
      </c>
      <c r="E1280" s="6" t="s">
        <v>57</v>
      </c>
      <c r="F1280" s="6" t="s">
        <v>24</v>
      </c>
      <c r="G1280" s="6" t="s">
        <v>64</v>
      </c>
      <c r="H1280" s="6" t="s">
        <v>65</v>
      </c>
      <c r="I1280" s="6" t="str">
        <f aca="false">IF(A1280&lt;Outliers!$E$6,"Low",IF(A1280&gt;Outliers!$F$6,"High",""))</f>
        <v/>
      </c>
      <c r="J1280" s="6" t="str">
        <f aca="false">IF(B1280&lt;Outliers!$E$7,"Low",IF(B1280&gt;Outliers!$F$7,"High",""))</f>
        <v/>
      </c>
      <c r="K1280" s="6" t="str">
        <f aca="false">IF(C1280&lt;Outliers!$E$8,"Low",IF(C1280&gt;Outliers!$F$8,"High",""))</f>
        <v/>
      </c>
      <c r="L1280" s="6" t="str">
        <f aca="false">A1280&amp;";"&amp;B1280&amp;";"&amp;C1280</f>
        <v>34.38922481;71.03001556;17.3061288176104</v>
      </c>
      <c r="M1280" s="6" t="n">
        <f aca="false">IF(COUNTIF($L$2:$L$2201,L1280)&gt;1,1,0)</f>
        <v>0</v>
      </c>
      <c r="N1280" s="6" t="str">
        <f aca="false">IF(AND(C1280&lt;Assumptions!$B$9,B1280&lt;Assumptions!$B$10),"Irrigate Now",IF(AND(C1280&gt;=Assumptions!$B$11,B1280&gt;=Assumptions!$B$12),"No Irrigation Needed","Monitor"))</f>
        <v>Irrigate Now</v>
      </c>
      <c r="O1280" s="6" t="n">
        <f aca="false">IF(N1280=G1280,1,0)</f>
        <v>1</v>
      </c>
    </row>
    <row r="1281" customFormat="false" ht="15" hidden="false" customHeight="false" outlineLevel="0" collapsed="false">
      <c r="A1281" s="16" t="n">
        <v>41.36106301</v>
      </c>
      <c r="B1281" s="16" t="n">
        <v>69.92107482</v>
      </c>
      <c r="C1281" s="16" t="n">
        <v>10.070927185904</v>
      </c>
      <c r="D1281" s="6" t="s">
        <v>67</v>
      </c>
      <c r="E1281" s="6" t="s">
        <v>57</v>
      </c>
      <c r="F1281" s="6" t="s">
        <v>24</v>
      </c>
      <c r="G1281" s="6" t="s">
        <v>64</v>
      </c>
      <c r="H1281" s="6" t="s">
        <v>65</v>
      </c>
      <c r="I1281" s="6" t="str">
        <f aca="false">IF(A1281&lt;Outliers!$E$6,"Low",IF(A1281&gt;Outliers!$F$6,"High",""))</f>
        <v>High</v>
      </c>
      <c r="J1281" s="6" t="str">
        <f aca="false">IF(B1281&lt;Outliers!$E$7,"Low",IF(B1281&gt;Outliers!$F$7,"High",""))</f>
        <v/>
      </c>
      <c r="K1281" s="6" t="str">
        <f aca="false">IF(C1281&lt;Outliers!$E$8,"Low",IF(C1281&gt;Outliers!$F$8,"High",""))</f>
        <v/>
      </c>
      <c r="L1281" s="6" t="str">
        <f aca="false">A1281&amp;";"&amp;B1281&amp;";"&amp;C1281</f>
        <v>41.36106301;69.92107482;10.070927185904</v>
      </c>
      <c r="M1281" s="6" t="n">
        <f aca="false">IF(COUNTIF($L$2:$L$2201,L1281)&gt;1,1,0)</f>
        <v>0</v>
      </c>
      <c r="N1281" s="6" t="str">
        <f aca="false">IF(AND(C1281&lt;Assumptions!$B$9,B1281&lt;Assumptions!$B$10),"Irrigate Now",IF(AND(C1281&gt;=Assumptions!$B$11,B1281&gt;=Assumptions!$B$12),"No Irrigation Needed","Monitor"))</f>
        <v>Irrigate Now</v>
      </c>
      <c r="O1281" s="6" t="n">
        <f aca="false">IF(N1281=G1281,1,0)</f>
        <v>1</v>
      </c>
    </row>
    <row r="1282" customFormat="false" ht="15" hidden="false" customHeight="false" outlineLevel="0" collapsed="false">
      <c r="A1282" s="16" t="n">
        <v>35.12158265</v>
      </c>
      <c r="B1282" s="16" t="n">
        <v>69.71518491</v>
      </c>
      <c r="C1282" s="16" t="n">
        <v>24.7968359113145</v>
      </c>
      <c r="D1282" s="6" t="s">
        <v>67</v>
      </c>
      <c r="E1282" s="6" t="s">
        <v>57</v>
      </c>
      <c r="F1282" s="6" t="s">
        <v>60</v>
      </c>
      <c r="G1282" s="6" t="s">
        <v>61</v>
      </c>
      <c r="H1282" s="6" t="s">
        <v>63</v>
      </c>
      <c r="I1282" s="6" t="str">
        <f aca="false">IF(A1282&lt;Outliers!$E$6,"Low",IF(A1282&gt;Outliers!$F$6,"High",""))</f>
        <v/>
      </c>
      <c r="J1282" s="6" t="str">
        <f aca="false">IF(B1282&lt;Outliers!$E$7,"Low",IF(B1282&gt;Outliers!$F$7,"High",""))</f>
        <v/>
      </c>
      <c r="K1282" s="6" t="str">
        <f aca="false">IF(C1282&lt;Outliers!$E$8,"Low",IF(C1282&gt;Outliers!$F$8,"High",""))</f>
        <v/>
      </c>
      <c r="L1282" s="6" t="str">
        <f aca="false">A1282&amp;";"&amp;B1282&amp;";"&amp;C1282</f>
        <v>35.12158265;69.71518491;24.7968359113145</v>
      </c>
      <c r="M1282" s="6" t="n">
        <f aca="false">IF(COUNTIF($L$2:$L$2201,L1282)&gt;1,1,0)</f>
        <v>0</v>
      </c>
      <c r="N1282" s="6" t="str">
        <f aca="false">IF(AND(C1282&lt;Assumptions!$B$9,B1282&lt;Assumptions!$B$10),"Irrigate Now",IF(AND(C1282&gt;=Assumptions!$B$11,B1282&gt;=Assumptions!$B$12),"No Irrigation Needed","Monitor"))</f>
        <v>Monitor</v>
      </c>
      <c r="O1282" s="6" t="n">
        <f aca="false">IF(N1282=G1282,1,0)</f>
        <v>1</v>
      </c>
    </row>
    <row r="1283" customFormat="false" ht="15" hidden="false" customHeight="false" outlineLevel="0" collapsed="false">
      <c r="A1283" s="16" t="n">
        <v>19.6491772</v>
      </c>
      <c r="B1283" s="16" t="n">
        <v>73.69529586</v>
      </c>
      <c r="C1283" s="16" t="n">
        <v>14.0128183437017</v>
      </c>
      <c r="D1283" s="6" t="s">
        <v>66</v>
      </c>
      <c r="E1283" s="6" t="s">
        <v>57</v>
      </c>
      <c r="F1283" s="6" t="s">
        <v>24</v>
      </c>
      <c r="G1283" s="6" t="s">
        <v>64</v>
      </c>
      <c r="H1283" s="6" t="s">
        <v>65</v>
      </c>
      <c r="I1283" s="6" t="str">
        <f aca="false">IF(A1283&lt;Outliers!$E$6,"Low",IF(A1283&gt;Outliers!$F$6,"High",""))</f>
        <v/>
      </c>
      <c r="J1283" s="6" t="str">
        <f aca="false">IF(B1283&lt;Outliers!$E$7,"Low",IF(B1283&gt;Outliers!$F$7,"High",""))</f>
        <v/>
      </c>
      <c r="K1283" s="6" t="str">
        <f aca="false">IF(C1283&lt;Outliers!$E$8,"Low",IF(C1283&gt;Outliers!$F$8,"High",""))</f>
        <v/>
      </c>
      <c r="L1283" s="6" t="str">
        <f aca="false">A1283&amp;";"&amp;B1283&amp;";"&amp;C1283</f>
        <v>19.6491772;73.69529586;14.0128183437017</v>
      </c>
      <c r="M1283" s="6" t="n">
        <f aca="false">IF(COUNTIF($L$2:$L$2201,L1283)&gt;1,1,0)</f>
        <v>0</v>
      </c>
      <c r="N1283" s="6" t="str">
        <f aca="false">IF(AND(C1283&lt;Assumptions!$B$9,B1283&lt;Assumptions!$B$10),"Irrigate Now",IF(AND(C1283&gt;=Assumptions!$B$11,B1283&gt;=Assumptions!$B$12),"No Irrigation Needed","Monitor"))</f>
        <v>Irrigate Now</v>
      </c>
      <c r="O1283" s="6" t="n">
        <f aca="false">IF(N1283=G1283,1,0)</f>
        <v>1</v>
      </c>
    </row>
    <row r="1284" customFormat="false" ht="15" hidden="false" customHeight="false" outlineLevel="0" collapsed="false">
      <c r="A1284" s="16" t="n">
        <v>16.27852801</v>
      </c>
      <c r="B1284" s="16" t="n">
        <v>66.57462809</v>
      </c>
      <c r="C1284" s="16" t="n">
        <v>17.1864550845506</v>
      </c>
      <c r="D1284" s="6" t="s">
        <v>66</v>
      </c>
      <c r="E1284" s="6" t="s">
        <v>57</v>
      </c>
      <c r="F1284" s="6" t="s">
        <v>24</v>
      </c>
      <c r="G1284" s="6" t="s">
        <v>64</v>
      </c>
      <c r="H1284" s="6" t="s">
        <v>65</v>
      </c>
      <c r="I1284" s="6" t="str">
        <f aca="false">IF(A1284&lt;Outliers!$E$6,"Low",IF(A1284&gt;Outliers!$F$6,"High",""))</f>
        <v/>
      </c>
      <c r="J1284" s="6" t="str">
        <f aca="false">IF(B1284&lt;Outliers!$E$7,"Low",IF(B1284&gt;Outliers!$F$7,"High",""))</f>
        <v/>
      </c>
      <c r="K1284" s="6" t="str">
        <f aca="false">IF(C1284&lt;Outliers!$E$8,"Low",IF(C1284&gt;Outliers!$F$8,"High",""))</f>
        <v/>
      </c>
      <c r="L1284" s="6" t="str">
        <f aca="false">A1284&amp;";"&amp;B1284&amp;";"&amp;C1284</f>
        <v>16.27852801;66.57462809;17.1864550845506</v>
      </c>
      <c r="M1284" s="6" t="n">
        <f aca="false">IF(COUNTIF($L$2:$L$2201,L1284)&gt;1,1,0)</f>
        <v>0</v>
      </c>
      <c r="N1284" s="6" t="str">
        <f aca="false">IF(AND(C1284&lt;Assumptions!$B$9,B1284&lt;Assumptions!$B$10),"Irrigate Now",IF(AND(C1284&gt;=Assumptions!$B$11,B1284&gt;=Assumptions!$B$12),"No Irrigation Needed","Monitor"))</f>
        <v>Irrigate Now</v>
      </c>
      <c r="O1284" s="6" t="n">
        <f aca="false">IF(N1284=G1284,1,0)</f>
        <v>1</v>
      </c>
    </row>
    <row r="1285" customFormat="false" ht="15" hidden="false" customHeight="false" outlineLevel="0" collapsed="false">
      <c r="A1285" s="16" t="n">
        <v>21.11903604</v>
      </c>
      <c r="B1285" s="16" t="n">
        <v>69.27779761</v>
      </c>
      <c r="C1285" s="16" t="n">
        <v>19.6484356223871</v>
      </c>
      <c r="D1285" s="6" t="s">
        <v>57</v>
      </c>
      <c r="E1285" s="6" t="s">
        <v>57</v>
      </c>
      <c r="F1285" s="6" t="s">
        <v>60</v>
      </c>
      <c r="G1285" s="6" t="s">
        <v>61</v>
      </c>
      <c r="H1285" s="6" t="s">
        <v>63</v>
      </c>
      <c r="I1285" s="6" t="str">
        <f aca="false">IF(A1285&lt;Outliers!$E$6,"Low",IF(A1285&gt;Outliers!$F$6,"High",""))</f>
        <v/>
      </c>
      <c r="J1285" s="6" t="str">
        <f aca="false">IF(B1285&lt;Outliers!$E$7,"Low",IF(B1285&gt;Outliers!$F$7,"High",""))</f>
        <v/>
      </c>
      <c r="K1285" s="6" t="str">
        <f aca="false">IF(C1285&lt;Outliers!$E$8,"Low",IF(C1285&gt;Outliers!$F$8,"High",""))</f>
        <v/>
      </c>
      <c r="L1285" s="6" t="str">
        <f aca="false">A1285&amp;";"&amp;B1285&amp;";"&amp;C1285</f>
        <v>21.11903604;69.27779761;19.6484356223871</v>
      </c>
      <c r="M1285" s="6" t="n">
        <f aca="false">IF(COUNTIF($L$2:$L$2201,L1285)&gt;1,1,0)</f>
        <v>0</v>
      </c>
      <c r="N1285" s="6" t="str">
        <f aca="false">IF(AND(C1285&lt;Assumptions!$B$9,B1285&lt;Assumptions!$B$10),"Irrigate Now",IF(AND(C1285&gt;=Assumptions!$B$11,B1285&gt;=Assumptions!$B$12),"No Irrigation Needed","Monitor"))</f>
        <v>Monitor</v>
      </c>
      <c r="O1285" s="6" t="n">
        <f aca="false">IF(N1285=G1285,1,0)</f>
        <v>1</v>
      </c>
    </row>
    <row r="1286" customFormat="false" ht="15" hidden="false" customHeight="false" outlineLevel="0" collapsed="false">
      <c r="A1286" s="16" t="n">
        <v>19.2077707</v>
      </c>
      <c r="B1286" s="16" t="n">
        <v>66.83113717</v>
      </c>
      <c r="C1286" s="16" t="n">
        <v>11.8798643195087</v>
      </c>
      <c r="D1286" s="6" t="s">
        <v>66</v>
      </c>
      <c r="E1286" s="6" t="s">
        <v>57</v>
      </c>
      <c r="F1286" s="6" t="s">
        <v>24</v>
      </c>
      <c r="G1286" s="6" t="s">
        <v>64</v>
      </c>
      <c r="H1286" s="6" t="s">
        <v>65</v>
      </c>
      <c r="I1286" s="6" t="str">
        <f aca="false">IF(A1286&lt;Outliers!$E$6,"Low",IF(A1286&gt;Outliers!$F$6,"High",""))</f>
        <v/>
      </c>
      <c r="J1286" s="6" t="str">
        <f aca="false">IF(B1286&lt;Outliers!$E$7,"Low",IF(B1286&gt;Outliers!$F$7,"High",""))</f>
        <v/>
      </c>
      <c r="K1286" s="6" t="str">
        <f aca="false">IF(C1286&lt;Outliers!$E$8,"Low",IF(C1286&gt;Outliers!$F$8,"High",""))</f>
        <v/>
      </c>
      <c r="L1286" s="6" t="str">
        <f aca="false">A1286&amp;";"&amp;B1286&amp;";"&amp;C1286</f>
        <v>19.2077707;66.83113717;11.8798643195087</v>
      </c>
      <c r="M1286" s="6" t="n">
        <f aca="false">IF(COUNTIF($L$2:$L$2201,L1286)&gt;1,1,0)</f>
        <v>0</v>
      </c>
      <c r="N1286" s="6" t="str">
        <f aca="false">IF(AND(C1286&lt;Assumptions!$B$9,B1286&lt;Assumptions!$B$10),"Irrigate Now",IF(AND(C1286&gt;=Assumptions!$B$11,B1286&gt;=Assumptions!$B$12),"No Irrigation Needed","Monitor"))</f>
        <v>Irrigate Now</v>
      </c>
      <c r="O1286" s="6" t="n">
        <f aca="false">IF(N1286=G1286,1,0)</f>
        <v>1</v>
      </c>
    </row>
    <row r="1287" customFormat="false" ht="15" hidden="false" customHeight="false" outlineLevel="0" collapsed="false">
      <c r="A1287" s="16" t="n">
        <v>25.96308415</v>
      </c>
      <c r="B1287" s="16" t="n">
        <v>70.31782647</v>
      </c>
      <c r="C1287" s="16" t="n">
        <v>19.183086182484</v>
      </c>
      <c r="D1287" s="6" t="s">
        <v>57</v>
      </c>
      <c r="E1287" s="6" t="s">
        <v>57</v>
      </c>
      <c r="F1287" s="6" t="s">
        <v>60</v>
      </c>
      <c r="G1287" s="6" t="s">
        <v>61</v>
      </c>
      <c r="H1287" s="6" t="s">
        <v>63</v>
      </c>
      <c r="I1287" s="6" t="str">
        <f aca="false">IF(A1287&lt;Outliers!$E$6,"Low",IF(A1287&gt;Outliers!$F$6,"High",""))</f>
        <v/>
      </c>
      <c r="J1287" s="6" t="str">
        <f aca="false">IF(B1287&lt;Outliers!$E$7,"Low",IF(B1287&gt;Outliers!$F$7,"High",""))</f>
        <v/>
      </c>
      <c r="K1287" s="6" t="str">
        <f aca="false">IF(C1287&lt;Outliers!$E$8,"Low",IF(C1287&gt;Outliers!$F$8,"High",""))</f>
        <v/>
      </c>
      <c r="L1287" s="6" t="str">
        <f aca="false">A1287&amp;";"&amp;B1287&amp;";"&amp;C1287</f>
        <v>25.96308415;70.31782647;19.183086182484</v>
      </c>
      <c r="M1287" s="6" t="n">
        <f aca="false">IF(COUNTIF($L$2:$L$2201,L1287)&gt;1,1,0)</f>
        <v>0</v>
      </c>
      <c r="N1287" s="6" t="str">
        <f aca="false">IF(AND(C1287&lt;Assumptions!$B$9,B1287&lt;Assumptions!$B$10),"Irrigate Now",IF(AND(C1287&gt;=Assumptions!$B$11,B1287&gt;=Assumptions!$B$12),"No Irrigation Needed","Monitor"))</f>
        <v>Monitor</v>
      </c>
      <c r="O1287" s="6" t="n">
        <f aca="false">IF(N1287=G1287,1,0)</f>
        <v>1</v>
      </c>
    </row>
    <row r="1288" customFormat="false" ht="15" hidden="false" customHeight="false" outlineLevel="0" collapsed="false">
      <c r="A1288" s="16" t="n">
        <v>25.67385024</v>
      </c>
      <c r="B1288" s="16" t="n">
        <v>74.10919422</v>
      </c>
      <c r="C1288" s="16" t="n">
        <v>12.9512630151274</v>
      </c>
      <c r="D1288" s="6" t="s">
        <v>57</v>
      </c>
      <c r="E1288" s="6" t="s">
        <v>57</v>
      </c>
      <c r="F1288" s="6" t="s">
        <v>24</v>
      </c>
      <c r="G1288" s="6" t="s">
        <v>64</v>
      </c>
      <c r="H1288" s="6" t="s">
        <v>65</v>
      </c>
      <c r="I1288" s="6" t="str">
        <f aca="false">IF(A1288&lt;Outliers!$E$6,"Low",IF(A1288&gt;Outliers!$F$6,"High",""))</f>
        <v/>
      </c>
      <c r="J1288" s="6" t="str">
        <f aca="false">IF(B1288&lt;Outliers!$E$7,"Low",IF(B1288&gt;Outliers!$F$7,"High",""))</f>
        <v/>
      </c>
      <c r="K1288" s="6" t="str">
        <f aca="false">IF(C1288&lt;Outliers!$E$8,"Low",IF(C1288&gt;Outliers!$F$8,"High",""))</f>
        <v/>
      </c>
      <c r="L1288" s="6" t="str">
        <f aca="false">A1288&amp;";"&amp;B1288&amp;";"&amp;C1288</f>
        <v>25.67385024;74.10919422;12.9512630151274</v>
      </c>
      <c r="M1288" s="6" t="n">
        <f aca="false">IF(COUNTIF($L$2:$L$2201,L1288)&gt;1,1,0)</f>
        <v>0</v>
      </c>
      <c r="N1288" s="6" t="str">
        <f aca="false">IF(AND(C1288&lt;Assumptions!$B$9,B1288&lt;Assumptions!$B$10),"Irrigate Now",IF(AND(C1288&gt;=Assumptions!$B$11,B1288&gt;=Assumptions!$B$12),"No Irrigation Needed","Monitor"))</f>
        <v>Irrigate Now</v>
      </c>
      <c r="O1288" s="6" t="n">
        <f aca="false">IF(N1288=G1288,1,0)</f>
        <v>1</v>
      </c>
    </row>
    <row r="1289" customFormat="false" ht="15" hidden="false" customHeight="false" outlineLevel="0" collapsed="false">
      <c r="A1289" s="16" t="n">
        <v>41.94865736</v>
      </c>
      <c r="B1289" s="16" t="n">
        <v>73.06862952</v>
      </c>
      <c r="C1289" s="16" t="n">
        <v>24.3088305879758</v>
      </c>
      <c r="D1289" s="6" t="s">
        <v>67</v>
      </c>
      <c r="E1289" s="6" t="s">
        <v>57</v>
      </c>
      <c r="F1289" s="6" t="s">
        <v>60</v>
      </c>
      <c r="G1289" s="6" t="s">
        <v>61</v>
      </c>
      <c r="H1289" s="6" t="s">
        <v>63</v>
      </c>
      <c r="I1289" s="6" t="str">
        <f aca="false">IF(A1289&lt;Outliers!$E$6,"Low",IF(A1289&gt;Outliers!$F$6,"High",""))</f>
        <v>High</v>
      </c>
      <c r="J1289" s="6" t="str">
        <f aca="false">IF(B1289&lt;Outliers!$E$7,"Low",IF(B1289&gt;Outliers!$F$7,"High",""))</f>
        <v/>
      </c>
      <c r="K1289" s="6" t="str">
        <f aca="false">IF(C1289&lt;Outliers!$E$8,"Low",IF(C1289&gt;Outliers!$F$8,"High",""))</f>
        <v/>
      </c>
      <c r="L1289" s="6" t="str">
        <f aca="false">A1289&amp;";"&amp;B1289&amp;";"&amp;C1289</f>
        <v>41.94865736;73.06862952;24.3088305879758</v>
      </c>
      <c r="M1289" s="6" t="n">
        <f aca="false">IF(COUNTIF($L$2:$L$2201,L1289)&gt;1,1,0)</f>
        <v>0</v>
      </c>
      <c r="N1289" s="6" t="str">
        <f aca="false">IF(AND(C1289&lt;Assumptions!$B$9,B1289&lt;Assumptions!$B$10),"Irrigate Now",IF(AND(C1289&gt;=Assumptions!$B$11,B1289&gt;=Assumptions!$B$12),"No Irrigation Needed","Monitor"))</f>
        <v>Monitor</v>
      </c>
      <c r="O1289" s="6" t="n">
        <f aca="false">IF(N1289=G1289,1,0)</f>
        <v>1</v>
      </c>
    </row>
    <row r="1290" customFormat="false" ht="15" hidden="false" customHeight="false" outlineLevel="0" collapsed="false">
      <c r="A1290" s="16" t="n">
        <v>11.18994268</v>
      </c>
      <c r="B1290" s="16" t="n">
        <v>66.34234944</v>
      </c>
      <c r="C1290" s="16" t="n">
        <v>16.0861481541204</v>
      </c>
      <c r="D1290" s="6" t="s">
        <v>66</v>
      </c>
      <c r="E1290" s="6" t="s">
        <v>57</v>
      </c>
      <c r="F1290" s="6" t="s">
        <v>24</v>
      </c>
      <c r="G1290" s="6" t="s">
        <v>64</v>
      </c>
      <c r="H1290" s="6" t="s">
        <v>65</v>
      </c>
      <c r="I1290" s="6" t="str">
        <f aca="false">IF(A1290&lt;Outliers!$E$6,"Low",IF(A1290&gt;Outliers!$F$6,"High",""))</f>
        <v>Low</v>
      </c>
      <c r="J1290" s="6" t="str">
        <f aca="false">IF(B1290&lt;Outliers!$E$7,"Low",IF(B1290&gt;Outliers!$F$7,"High",""))</f>
        <v/>
      </c>
      <c r="K1290" s="6" t="str">
        <f aca="false">IF(C1290&lt;Outliers!$E$8,"Low",IF(C1290&gt;Outliers!$F$8,"High",""))</f>
        <v/>
      </c>
      <c r="L1290" s="6" t="str">
        <f aca="false">A1290&amp;";"&amp;B1290&amp;";"&amp;C1290</f>
        <v>11.18994268;66.34234944;16.0861481541204</v>
      </c>
      <c r="M1290" s="6" t="n">
        <f aca="false">IF(COUNTIF($L$2:$L$2201,L1290)&gt;1,1,0)</f>
        <v>0</v>
      </c>
      <c r="N1290" s="6" t="str">
        <f aca="false">IF(AND(C1290&lt;Assumptions!$B$9,B1290&lt;Assumptions!$B$10),"Irrigate Now",IF(AND(C1290&gt;=Assumptions!$B$11,B1290&gt;=Assumptions!$B$12),"No Irrigation Needed","Monitor"))</f>
        <v>Irrigate Now</v>
      </c>
      <c r="O1290" s="6" t="n">
        <f aca="false">IF(N1290=G1290,1,0)</f>
        <v>1</v>
      </c>
    </row>
    <row r="1291" customFormat="false" ht="15" hidden="false" customHeight="false" outlineLevel="0" collapsed="false">
      <c r="A1291" s="16" t="n">
        <v>17.5438296</v>
      </c>
      <c r="B1291" s="16" t="n">
        <v>73.77063744</v>
      </c>
      <c r="C1291" s="16" t="n">
        <v>20.8053967192803</v>
      </c>
      <c r="D1291" s="6" t="s">
        <v>66</v>
      </c>
      <c r="E1291" s="6" t="s">
        <v>57</v>
      </c>
      <c r="F1291" s="6" t="s">
        <v>60</v>
      </c>
      <c r="G1291" s="6" t="s">
        <v>61</v>
      </c>
      <c r="H1291" s="6" t="s">
        <v>63</v>
      </c>
      <c r="I1291" s="6" t="str">
        <f aca="false">IF(A1291&lt;Outliers!$E$6,"Low",IF(A1291&gt;Outliers!$F$6,"High",""))</f>
        <v/>
      </c>
      <c r="J1291" s="6" t="str">
        <f aca="false">IF(B1291&lt;Outliers!$E$7,"Low",IF(B1291&gt;Outliers!$F$7,"High",""))</f>
        <v/>
      </c>
      <c r="K1291" s="6" t="str">
        <f aca="false">IF(C1291&lt;Outliers!$E$8,"Low",IF(C1291&gt;Outliers!$F$8,"High",""))</f>
        <v/>
      </c>
      <c r="L1291" s="6" t="str">
        <f aca="false">A1291&amp;";"&amp;B1291&amp;";"&amp;C1291</f>
        <v>17.5438296;73.77063744;20.8053967192803</v>
      </c>
      <c r="M1291" s="6" t="n">
        <f aca="false">IF(COUNTIF($L$2:$L$2201,L1291)&gt;1,1,0)</f>
        <v>0</v>
      </c>
      <c r="N1291" s="6" t="str">
        <f aca="false">IF(AND(C1291&lt;Assumptions!$B$9,B1291&lt;Assumptions!$B$10),"Irrigate Now",IF(AND(C1291&gt;=Assumptions!$B$11,B1291&gt;=Assumptions!$B$12),"No Irrigation Needed","Monitor"))</f>
        <v>Monitor</v>
      </c>
      <c r="O1291" s="6" t="n">
        <f aca="false">IF(N1291=G1291,1,0)</f>
        <v>1</v>
      </c>
    </row>
    <row r="1292" customFormat="false" ht="15" hidden="false" customHeight="false" outlineLevel="0" collapsed="false">
      <c r="A1292" s="16" t="n">
        <v>13.05809741</v>
      </c>
      <c r="B1292" s="16" t="n">
        <v>70.75633584</v>
      </c>
      <c r="C1292" s="16" t="n">
        <v>20.2212596398523</v>
      </c>
      <c r="D1292" s="6" t="s">
        <v>66</v>
      </c>
      <c r="E1292" s="6" t="s">
        <v>57</v>
      </c>
      <c r="F1292" s="6" t="s">
        <v>60</v>
      </c>
      <c r="G1292" s="6" t="s">
        <v>61</v>
      </c>
      <c r="H1292" s="6" t="s">
        <v>63</v>
      </c>
      <c r="I1292" s="6" t="str">
        <f aca="false">IF(A1292&lt;Outliers!$E$6,"Low",IF(A1292&gt;Outliers!$F$6,"High",""))</f>
        <v>Low</v>
      </c>
      <c r="J1292" s="6" t="str">
        <f aca="false">IF(B1292&lt;Outliers!$E$7,"Low",IF(B1292&gt;Outliers!$F$7,"High",""))</f>
        <v/>
      </c>
      <c r="K1292" s="6" t="str">
        <f aca="false">IF(C1292&lt;Outliers!$E$8,"Low",IF(C1292&gt;Outliers!$F$8,"High",""))</f>
        <v/>
      </c>
      <c r="L1292" s="6" t="str">
        <f aca="false">A1292&amp;";"&amp;B1292&amp;";"&amp;C1292</f>
        <v>13.05809741;70.75633584;20.2212596398523</v>
      </c>
      <c r="M1292" s="6" t="n">
        <f aca="false">IF(COUNTIF($L$2:$L$2201,L1292)&gt;1,1,0)</f>
        <v>0</v>
      </c>
      <c r="N1292" s="6" t="str">
        <f aca="false">IF(AND(C1292&lt;Assumptions!$B$9,B1292&lt;Assumptions!$B$10),"Irrigate Now",IF(AND(C1292&gt;=Assumptions!$B$11,B1292&gt;=Assumptions!$B$12),"No Irrigation Needed","Monitor"))</f>
        <v>Monitor</v>
      </c>
      <c r="O1292" s="6" t="n">
        <f aca="false">IF(N1292=G1292,1,0)</f>
        <v>1</v>
      </c>
    </row>
    <row r="1293" customFormat="false" ht="15" hidden="false" customHeight="false" outlineLevel="0" collapsed="false">
      <c r="A1293" s="16" t="n">
        <v>9.724457611</v>
      </c>
      <c r="B1293" s="16" t="n">
        <v>74.46411148</v>
      </c>
      <c r="C1293" s="16" t="n">
        <v>23.4975844784642</v>
      </c>
      <c r="D1293" s="6" t="s">
        <v>66</v>
      </c>
      <c r="E1293" s="6" t="s">
        <v>57</v>
      </c>
      <c r="F1293" s="6" t="s">
        <v>60</v>
      </c>
      <c r="G1293" s="6" t="s">
        <v>61</v>
      </c>
      <c r="H1293" s="6" t="s">
        <v>63</v>
      </c>
      <c r="I1293" s="6" t="str">
        <f aca="false">IF(A1293&lt;Outliers!$E$6,"Low",IF(A1293&gt;Outliers!$F$6,"High",""))</f>
        <v>Low</v>
      </c>
      <c r="J1293" s="6" t="str">
        <f aca="false">IF(B1293&lt;Outliers!$E$7,"Low",IF(B1293&gt;Outliers!$F$7,"High",""))</f>
        <v/>
      </c>
      <c r="K1293" s="6" t="str">
        <f aca="false">IF(C1293&lt;Outliers!$E$8,"Low",IF(C1293&gt;Outliers!$F$8,"High",""))</f>
        <v/>
      </c>
      <c r="L1293" s="6" t="str">
        <f aca="false">A1293&amp;";"&amp;B1293&amp;";"&amp;C1293</f>
        <v>9.724457611;74.46411148;23.4975844784642</v>
      </c>
      <c r="M1293" s="6" t="n">
        <f aca="false">IF(COUNTIF($L$2:$L$2201,L1293)&gt;1,1,0)</f>
        <v>0</v>
      </c>
      <c r="N1293" s="6" t="str">
        <f aca="false">IF(AND(C1293&lt;Assumptions!$B$9,B1293&lt;Assumptions!$B$10),"Irrigate Now",IF(AND(C1293&gt;=Assumptions!$B$11,B1293&gt;=Assumptions!$B$12),"No Irrigation Needed","Monitor"))</f>
        <v>Monitor</v>
      </c>
      <c r="O1293" s="6" t="n">
        <f aca="false">IF(N1293=G1293,1,0)</f>
        <v>1</v>
      </c>
    </row>
    <row r="1294" customFormat="false" ht="15" hidden="false" customHeight="false" outlineLevel="0" collapsed="false">
      <c r="A1294" s="16" t="n">
        <v>27.92004934</v>
      </c>
      <c r="B1294" s="16" t="n">
        <v>69.92092839</v>
      </c>
      <c r="C1294" s="16" t="n">
        <v>14.3878606064275</v>
      </c>
      <c r="D1294" s="6" t="s">
        <v>57</v>
      </c>
      <c r="E1294" s="6" t="s">
        <v>57</v>
      </c>
      <c r="F1294" s="6" t="s">
        <v>24</v>
      </c>
      <c r="G1294" s="6" t="s">
        <v>64</v>
      </c>
      <c r="H1294" s="6" t="s">
        <v>65</v>
      </c>
      <c r="I1294" s="6" t="str">
        <f aca="false">IF(A1294&lt;Outliers!$E$6,"Low",IF(A1294&gt;Outliers!$F$6,"High",""))</f>
        <v/>
      </c>
      <c r="J1294" s="6" t="str">
        <f aca="false">IF(B1294&lt;Outliers!$E$7,"Low",IF(B1294&gt;Outliers!$F$7,"High",""))</f>
        <v/>
      </c>
      <c r="K1294" s="6" t="str">
        <f aca="false">IF(C1294&lt;Outliers!$E$8,"Low",IF(C1294&gt;Outliers!$F$8,"High",""))</f>
        <v/>
      </c>
      <c r="L1294" s="6" t="str">
        <f aca="false">A1294&amp;";"&amp;B1294&amp;";"&amp;C1294</f>
        <v>27.92004934;69.92092839;14.3878606064275</v>
      </c>
      <c r="M1294" s="6" t="n">
        <f aca="false">IF(COUNTIF($L$2:$L$2201,L1294)&gt;1,1,0)</f>
        <v>0</v>
      </c>
      <c r="N1294" s="6" t="str">
        <f aca="false">IF(AND(C1294&lt;Assumptions!$B$9,B1294&lt;Assumptions!$B$10),"Irrigate Now",IF(AND(C1294&gt;=Assumptions!$B$11,B1294&gt;=Assumptions!$B$12),"No Irrigation Needed","Monitor"))</f>
        <v>Irrigate Now</v>
      </c>
      <c r="O1294" s="6" t="n">
        <f aca="false">IF(N1294=G1294,1,0)</f>
        <v>1</v>
      </c>
    </row>
    <row r="1295" customFormat="false" ht="15" hidden="false" customHeight="false" outlineLevel="0" collapsed="false">
      <c r="A1295" s="16" t="n">
        <v>9.535585543</v>
      </c>
      <c r="B1295" s="16" t="n">
        <v>69.44115171</v>
      </c>
      <c r="C1295" s="16" t="n">
        <v>22.5460241999841</v>
      </c>
      <c r="D1295" s="6" t="s">
        <v>66</v>
      </c>
      <c r="E1295" s="6" t="s">
        <v>57</v>
      </c>
      <c r="F1295" s="6" t="s">
        <v>60</v>
      </c>
      <c r="G1295" s="6" t="s">
        <v>61</v>
      </c>
      <c r="H1295" s="6" t="s">
        <v>63</v>
      </c>
      <c r="I1295" s="6" t="str">
        <f aca="false">IF(A1295&lt;Outliers!$E$6,"Low",IF(A1295&gt;Outliers!$F$6,"High",""))</f>
        <v>Low</v>
      </c>
      <c r="J1295" s="6" t="str">
        <f aca="false">IF(B1295&lt;Outliers!$E$7,"Low",IF(B1295&gt;Outliers!$F$7,"High",""))</f>
        <v/>
      </c>
      <c r="K1295" s="6" t="str">
        <f aca="false">IF(C1295&lt;Outliers!$E$8,"Low",IF(C1295&gt;Outliers!$F$8,"High",""))</f>
        <v/>
      </c>
      <c r="L1295" s="6" t="str">
        <f aca="false">A1295&amp;";"&amp;B1295&amp;";"&amp;C1295</f>
        <v>9.535585543;69.44115171;22.5460241999841</v>
      </c>
      <c r="M1295" s="6" t="n">
        <f aca="false">IF(COUNTIF($L$2:$L$2201,L1295)&gt;1,1,0)</f>
        <v>0</v>
      </c>
      <c r="N1295" s="6" t="str">
        <f aca="false">IF(AND(C1295&lt;Assumptions!$B$9,B1295&lt;Assumptions!$B$10),"Irrigate Now",IF(AND(C1295&gt;=Assumptions!$B$11,B1295&gt;=Assumptions!$B$12),"No Irrigation Needed","Monitor"))</f>
        <v>Monitor</v>
      </c>
      <c r="O1295" s="6" t="n">
        <f aca="false">IF(N1295=G1295,1,0)</f>
        <v>1</v>
      </c>
    </row>
    <row r="1296" customFormat="false" ht="15" hidden="false" customHeight="false" outlineLevel="0" collapsed="false">
      <c r="A1296" s="16" t="n">
        <v>13.42988625</v>
      </c>
      <c r="B1296" s="16" t="n">
        <v>71.40043037</v>
      </c>
      <c r="C1296" s="16" t="n">
        <v>13.6170834124082</v>
      </c>
      <c r="D1296" s="6" t="s">
        <v>66</v>
      </c>
      <c r="E1296" s="6" t="s">
        <v>57</v>
      </c>
      <c r="F1296" s="6" t="s">
        <v>24</v>
      </c>
      <c r="G1296" s="6" t="s">
        <v>64</v>
      </c>
      <c r="H1296" s="6" t="s">
        <v>65</v>
      </c>
      <c r="I1296" s="6" t="str">
        <f aca="false">IF(A1296&lt;Outliers!$E$6,"Low",IF(A1296&gt;Outliers!$F$6,"High",""))</f>
        <v>Low</v>
      </c>
      <c r="J1296" s="6" t="str">
        <f aca="false">IF(B1296&lt;Outliers!$E$7,"Low",IF(B1296&gt;Outliers!$F$7,"High",""))</f>
        <v/>
      </c>
      <c r="K1296" s="6" t="str">
        <f aca="false">IF(C1296&lt;Outliers!$E$8,"Low",IF(C1296&gt;Outliers!$F$8,"High",""))</f>
        <v/>
      </c>
      <c r="L1296" s="6" t="str">
        <f aca="false">A1296&amp;";"&amp;B1296&amp;";"&amp;C1296</f>
        <v>13.42988625;71.40043037;13.6170834124082</v>
      </c>
      <c r="M1296" s="6" t="n">
        <f aca="false">IF(COUNTIF($L$2:$L$2201,L1296)&gt;1,1,0)</f>
        <v>0</v>
      </c>
      <c r="N1296" s="6" t="str">
        <f aca="false">IF(AND(C1296&lt;Assumptions!$B$9,B1296&lt;Assumptions!$B$10),"Irrigate Now",IF(AND(C1296&gt;=Assumptions!$B$11,B1296&gt;=Assumptions!$B$12),"No Irrigation Needed","Monitor"))</f>
        <v>Irrigate Now</v>
      </c>
      <c r="O1296" s="6" t="n">
        <f aca="false">IF(N1296=G1296,1,0)</f>
        <v>1</v>
      </c>
    </row>
    <row r="1297" customFormat="false" ht="15" hidden="false" customHeight="false" outlineLevel="0" collapsed="false">
      <c r="A1297" s="16" t="n">
        <v>9.851242629</v>
      </c>
      <c r="B1297" s="16" t="n">
        <v>68.42802444</v>
      </c>
      <c r="C1297" s="16" t="n">
        <v>20.6592530350037</v>
      </c>
      <c r="D1297" s="6" t="s">
        <v>66</v>
      </c>
      <c r="E1297" s="6" t="s">
        <v>57</v>
      </c>
      <c r="F1297" s="6" t="s">
        <v>60</v>
      </c>
      <c r="G1297" s="6" t="s">
        <v>61</v>
      </c>
      <c r="H1297" s="6" t="s">
        <v>63</v>
      </c>
      <c r="I1297" s="6" t="str">
        <f aca="false">IF(A1297&lt;Outliers!$E$6,"Low",IF(A1297&gt;Outliers!$F$6,"High",""))</f>
        <v>Low</v>
      </c>
      <c r="J1297" s="6" t="str">
        <f aca="false">IF(B1297&lt;Outliers!$E$7,"Low",IF(B1297&gt;Outliers!$F$7,"High",""))</f>
        <v/>
      </c>
      <c r="K1297" s="6" t="str">
        <f aca="false">IF(C1297&lt;Outliers!$E$8,"Low",IF(C1297&gt;Outliers!$F$8,"High",""))</f>
        <v/>
      </c>
      <c r="L1297" s="6" t="str">
        <f aca="false">A1297&amp;";"&amp;B1297&amp;";"&amp;C1297</f>
        <v>9.851242629;68.42802444;20.6592530350037</v>
      </c>
      <c r="M1297" s="6" t="n">
        <f aca="false">IF(COUNTIF($L$2:$L$2201,L1297)&gt;1,1,0)</f>
        <v>0</v>
      </c>
      <c r="N1297" s="6" t="str">
        <f aca="false">IF(AND(C1297&lt;Assumptions!$B$9,B1297&lt;Assumptions!$B$10),"Irrigate Now",IF(AND(C1297&gt;=Assumptions!$B$11,B1297&gt;=Assumptions!$B$12),"No Irrigation Needed","Monitor"))</f>
        <v>Monitor</v>
      </c>
      <c r="O1297" s="6" t="n">
        <f aca="false">IF(N1297=G1297,1,0)</f>
        <v>1</v>
      </c>
    </row>
    <row r="1298" customFormat="false" ht="15" hidden="false" customHeight="false" outlineLevel="0" collapsed="false">
      <c r="A1298" s="16" t="n">
        <v>24.97256132</v>
      </c>
      <c r="B1298" s="16" t="n">
        <v>66.70016285</v>
      </c>
      <c r="C1298" s="16" t="n">
        <v>25.7977474204268</v>
      </c>
      <c r="D1298" s="6" t="s">
        <v>57</v>
      </c>
      <c r="E1298" s="6" t="s">
        <v>57</v>
      </c>
      <c r="F1298" s="6" t="s">
        <v>23</v>
      </c>
      <c r="G1298" s="6" t="s">
        <v>61</v>
      </c>
      <c r="H1298" s="6" t="s">
        <v>63</v>
      </c>
      <c r="I1298" s="6" t="str">
        <f aca="false">IF(A1298&lt;Outliers!$E$6,"Low",IF(A1298&gt;Outliers!$F$6,"High",""))</f>
        <v/>
      </c>
      <c r="J1298" s="6" t="str">
        <f aca="false">IF(B1298&lt;Outliers!$E$7,"Low",IF(B1298&gt;Outliers!$F$7,"High",""))</f>
        <v/>
      </c>
      <c r="K1298" s="6" t="str">
        <f aca="false">IF(C1298&lt;Outliers!$E$8,"Low",IF(C1298&gt;Outliers!$F$8,"High",""))</f>
        <v/>
      </c>
      <c r="L1298" s="6" t="str">
        <f aca="false">A1298&amp;";"&amp;B1298&amp;";"&amp;C1298</f>
        <v>24.97256132;66.70016285;25.7977474204268</v>
      </c>
      <c r="M1298" s="6" t="n">
        <f aca="false">IF(COUNTIF($L$2:$L$2201,L1298)&gt;1,1,0)</f>
        <v>0</v>
      </c>
      <c r="N1298" s="6" t="str">
        <f aca="false">IF(AND(C1298&lt;Assumptions!$B$9,B1298&lt;Assumptions!$B$10),"Irrigate Now",IF(AND(C1298&gt;=Assumptions!$B$11,B1298&gt;=Assumptions!$B$12),"No Irrigation Needed","Monitor"))</f>
        <v>Monitor</v>
      </c>
      <c r="O1298" s="6" t="n">
        <f aca="false">IF(N1298=G1298,1,0)</f>
        <v>1</v>
      </c>
    </row>
    <row r="1299" customFormat="false" ht="15" hidden="false" customHeight="false" outlineLevel="0" collapsed="false">
      <c r="A1299" s="16" t="n">
        <v>27.23708304</v>
      </c>
      <c r="B1299" s="16" t="n">
        <v>70.42508897</v>
      </c>
      <c r="C1299" s="16" t="n">
        <v>29.9686174847948</v>
      </c>
      <c r="D1299" s="6" t="s">
        <v>57</v>
      </c>
      <c r="E1299" s="6" t="s">
        <v>57</v>
      </c>
      <c r="F1299" s="6" t="s">
        <v>23</v>
      </c>
      <c r="G1299" s="6" t="s">
        <v>61</v>
      </c>
      <c r="H1299" s="6" t="s">
        <v>63</v>
      </c>
      <c r="I1299" s="6" t="str">
        <f aca="false">IF(A1299&lt;Outliers!$E$6,"Low",IF(A1299&gt;Outliers!$F$6,"High",""))</f>
        <v/>
      </c>
      <c r="J1299" s="6" t="str">
        <f aca="false">IF(B1299&lt;Outliers!$E$7,"Low",IF(B1299&gt;Outliers!$F$7,"High",""))</f>
        <v/>
      </c>
      <c r="K1299" s="6" t="str">
        <f aca="false">IF(C1299&lt;Outliers!$E$8,"Low",IF(C1299&gt;Outliers!$F$8,"High",""))</f>
        <v/>
      </c>
      <c r="L1299" s="6" t="str">
        <f aca="false">A1299&amp;";"&amp;B1299&amp;";"&amp;C1299</f>
        <v>27.23708304;70.42508897;29.9686174847948</v>
      </c>
      <c r="M1299" s="6" t="n">
        <f aca="false">IF(COUNTIF($L$2:$L$2201,L1299)&gt;1,1,0)</f>
        <v>0</v>
      </c>
      <c r="N1299" s="6" t="str">
        <f aca="false">IF(AND(C1299&lt;Assumptions!$B$9,B1299&lt;Assumptions!$B$10),"Irrigate Now",IF(AND(C1299&gt;=Assumptions!$B$11,B1299&gt;=Assumptions!$B$12),"No Irrigation Needed","Monitor"))</f>
        <v>Monitor</v>
      </c>
      <c r="O1299" s="6" t="n">
        <f aca="false">IF(N1299=G1299,1,0)</f>
        <v>1</v>
      </c>
    </row>
    <row r="1300" customFormat="false" ht="15" hidden="false" customHeight="false" outlineLevel="0" collapsed="false">
      <c r="A1300" s="16" t="n">
        <v>18.70679077</v>
      </c>
      <c r="B1300" s="16" t="n">
        <v>66.5964488</v>
      </c>
      <c r="C1300" s="16" t="n">
        <v>10.5858789693774</v>
      </c>
      <c r="D1300" s="6" t="s">
        <v>66</v>
      </c>
      <c r="E1300" s="6" t="s">
        <v>57</v>
      </c>
      <c r="F1300" s="6" t="s">
        <v>24</v>
      </c>
      <c r="G1300" s="6" t="s">
        <v>64</v>
      </c>
      <c r="H1300" s="6" t="s">
        <v>65</v>
      </c>
      <c r="I1300" s="6" t="str">
        <f aca="false">IF(A1300&lt;Outliers!$E$6,"Low",IF(A1300&gt;Outliers!$F$6,"High",""))</f>
        <v/>
      </c>
      <c r="J1300" s="6" t="str">
        <f aca="false">IF(B1300&lt;Outliers!$E$7,"Low",IF(B1300&gt;Outliers!$F$7,"High",""))</f>
        <v/>
      </c>
      <c r="K1300" s="6" t="str">
        <f aca="false">IF(C1300&lt;Outliers!$E$8,"Low",IF(C1300&gt;Outliers!$F$8,"High",""))</f>
        <v/>
      </c>
      <c r="L1300" s="6" t="str">
        <f aca="false">A1300&amp;";"&amp;B1300&amp;";"&amp;C1300</f>
        <v>18.70679077;66.5964488;10.5858789693774</v>
      </c>
      <c r="M1300" s="6" t="n">
        <f aca="false">IF(COUNTIF($L$2:$L$2201,L1300)&gt;1,1,0)</f>
        <v>0</v>
      </c>
      <c r="N1300" s="6" t="str">
        <f aca="false">IF(AND(C1300&lt;Assumptions!$B$9,B1300&lt;Assumptions!$B$10),"Irrigate Now",IF(AND(C1300&gt;=Assumptions!$B$11,B1300&gt;=Assumptions!$B$12),"No Irrigation Needed","Monitor"))</f>
        <v>Irrigate Now</v>
      </c>
      <c r="O1300" s="6" t="n">
        <f aca="false">IF(N1300=G1300,1,0)</f>
        <v>1</v>
      </c>
    </row>
    <row r="1301" customFormat="false" ht="15" hidden="false" customHeight="false" outlineLevel="0" collapsed="false">
      <c r="A1301" s="16" t="n">
        <v>9.949929082</v>
      </c>
      <c r="B1301" s="16" t="n">
        <v>66.00817551</v>
      </c>
      <c r="C1301" s="16" t="n">
        <v>13.6208875941169</v>
      </c>
      <c r="D1301" s="6" t="s">
        <v>66</v>
      </c>
      <c r="E1301" s="6" t="s">
        <v>57</v>
      </c>
      <c r="F1301" s="6" t="s">
        <v>24</v>
      </c>
      <c r="G1301" s="6" t="s">
        <v>64</v>
      </c>
      <c r="H1301" s="6" t="s">
        <v>65</v>
      </c>
      <c r="I1301" s="6" t="str">
        <f aca="false">IF(A1301&lt;Outliers!$E$6,"Low",IF(A1301&gt;Outliers!$F$6,"High",""))</f>
        <v>Low</v>
      </c>
      <c r="J1301" s="6" t="str">
        <f aca="false">IF(B1301&lt;Outliers!$E$7,"Low",IF(B1301&gt;Outliers!$F$7,"High",""))</f>
        <v/>
      </c>
      <c r="K1301" s="6" t="str">
        <f aca="false">IF(C1301&lt;Outliers!$E$8,"Low",IF(C1301&gt;Outliers!$F$8,"High",""))</f>
        <v/>
      </c>
      <c r="L1301" s="6" t="str">
        <f aca="false">A1301&amp;";"&amp;B1301&amp;";"&amp;C1301</f>
        <v>9.949929082;66.00817551;13.6208875941169</v>
      </c>
      <c r="M1301" s="6" t="n">
        <f aca="false">IF(COUNTIF($L$2:$L$2201,L1301)&gt;1,1,0)</f>
        <v>0</v>
      </c>
      <c r="N1301" s="6" t="str">
        <f aca="false">IF(AND(C1301&lt;Assumptions!$B$9,B1301&lt;Assumptions!$B$10),"Irrigate Now",IF(AND(C1301&gt;=Assumptions!$B$11,B1301&gt;=Assumptions!$B$12),"No Irrigation Needed","Monitor"))</f>
        <v>Irrigate Now</v>
      </c>
      <c r="O1301" s="6" t="n">
        <f aca="false">IF(N1301=G1301,1,0)</f>
        <v>1</v>
      </c>
    </row>
    <row r="1302" customFormat="false" ht="15" hidden="false" customHeight="false" outlineLevel="0" collapsed="false">
      <c r="A1302" s="16" t="n">
        <v>26.47330219</v>
      </c>
      <c r="B1302" s="16" t="n">
        <v>53.65742581</v>
      </c>
      <c r="C1302" s="16" t="n">
        <v>15.0805714327242</v>
      </c>
      <c r="D1302" s="6" t="s">
        <v>57</v>
      </c>
      <c r="E1302" s="6" t="s">
        <v>57</v>
      </c>
      <c r="F1302" s="6" t="s">
        <v>24</v>
      </c>
      <c r="G1302" s="6" t="s">
        <v>64</v>
      </c>
      <c r="H1302" s="6" t="s">
        <v>65</v>
      </c>
      <c r="I1302" s="6" t="str">
        <f aca="false">IF(A1302&lt;Outliers!$E$6,"Low",IF(A1302&gt;Outliers!$F$6,"High",""))</f>
        <v/>
      </c>
      <c r="J1302" s="6" t="str">
        <f aca="false">IF(B1302&lt;Outliers!$E$7,"Low",IF(B1302&gt;Outliers!$F$7,"High",""))</f>
        <v/>
      </c>
      <c r="K1302" s="6" t="str">
        <f aca="false">IF(C1302&lt;Outliers!$E$8,"Low",IF(C1302&gt;Outliers!$F$8,"High",""))</f>
        <v/>
      </c>
      <c r="L1302" s="6" t="str">
        <f aca="false">A1302&amp;";"&amp;B1302&amp;";"&amp;C1302</f>
        <v>26.47330219;53.65742581;15.0805714327242</v>
      </c>
      <c r="M1302" s="6" t="n">
        <f aca="false">IF(COUNTIF($L$2:$L$2201,L1302)&gt;1,1,0)</f>
        <v>0</v>
      </c>
      <c r="N1302" s="6" t="str">
        <f aca="false">IF(AND(C1302&lt;Assumptions!$B$9,B1302&lt;Assumptions!$B$10),"Irrigate Now",IF(AND(C1302&gt;=Assumptions!$B$11,B1302&gt;=Assumptions!$B$12),"No Irrigation Needed","Monitor"))</f>
        <v>Irrigate Now</v>
      </c>
      <c r="O1302" s="6" t="n">
        <f aca="false">IF(N1302=G1302,1,0)</f>
        <v>1</v>
      </c>
    </row>
    <row r="1303" customFormat="false" ht="15" hidden="false" customHeight="false" outlineLevel="0" collapsed="false">
      <c r="A1303" s="16" t="n">
        <v>25.18780042</v>
      </c>
      <c r="B1303" s="16" t="n">
        <v>46.87420883</v>
      </c>
      <c r="C1303" s="16" t="n">
        <v>24.4271215995774</v>
      </c>
      <c r="D1303" s="6" t="s">
        <v>57</v>
      </c>
      <c r="E1303" s="6" t="s">
        <v>23</v>
      </c>
      <c r="F1303" s="6" t="s">
        <v>60</v>
      </c>
      <c r="G1303" s="6" t="s">
        <v>61</v>
      </c>
      <c r="H1303" s="6" t="s">
        <v>63</v>
      </c>
      <c r="I1303" s="6" t="str">
        <f aca="false">IF(A1303&lt;Outliers!$E$6,"Low",IF(A1303&gt;Outliers!$F$6,"High",""))</f>
        <v/>
      </c>
      <c r="J1303" s="6" t="str">
        <f aca="false">IF(B1303&lt;Outliers!$E$7,"Low",IF(B1303&gt;Outliers!$F$7,"High",""))</f>
        <v/>
      </c>
      <c r="K1303" s="6" t="str">
        <f aca="false">IF(C1303&lt;Outliers!$E$8,"Low",IF(C1303&gt;Outliers!$F$8,"High",""))</f>
        <v/>
      </c>
      <c r="L1303" s="6" t="str">
        <f aca="false">A1303&amp;";"&amp;B1303&amp;";"&amp;C1303</f>
        <v>25.18780042;46.87420883;24.4271215995774</v>
      </c>
      <c r="M1303" s="6" t="n">
        <f aca="false">IF(COUNTIF($L$2:$L$2201,L1303)&gt;1,1,0)</f>
        <v>0</v>
      </c>
      <c r="N1303" s="6" t="str">
        <f aca="false">IF(AND(C1303&lt;Assumptions!$B$9,B1303&lt;Assumptions!$B$10),"Irrigate Now",IF(AND(C1303&gt;=Assumptions!$B$11,B1303&gt;=Assumptions!$B$12),"No Irrigation Needed","Monitor"))</f>
        <v>Monitor</v>
      </c>
      <c r="O1303" s="6" t="n">
        <f aca="false">IF(N1303=G1303,1,0)</f>
        <v>1</v>
      </c>
    </row>
    <row r="1304" customFormat="false" ht="15" hidden="false" customHeight="false" outlineLevel="0" collapsed="false">
      <c r="A1304" s="16" t="n">
        <v>25.29954705</v>
      </c>
      <c r="B1304" s="16" t="n">
        <v>57.04147057</v>
      </c>
      <c r="C1304" s="16" t="n">
        <v>27.8406767625962</v>
      </c>
      <c r="D1304" s="6" t="s">
        <v>57</v>
      </c>
      <c r="E1304" s="6" t="s">
        <v>57</v>
      </c>
      <c r="F1304" s="6" t="s">
        <v>23</v>
      </c>
      <c r="G1304" s="6" t="s">
        <v>61</v>
      </c>
      <c r="H1304" s="6" t="s">
        <v>63</v>
      </c>
      <c r="I1304" s="6" t="str">
        <f aca="false">IF(A1304&lt;Outliers!$E$6,"Low",IF(A1304&gt;Outliers!$F$6,"High",""))</f>
        <v/>
      </c>
      <c r="J1304" s="6" t="str">
        <f aca="false">IF(B1304&lt;Outliers!$E$7,"Low",IF(B1304&gt;Outliers!$F$7,"High",""))</f>
        <v/>
      </c>
      <c r="K1304" s="6" t="str">
        <f aca="false">IF(C1304&lt;Outliers!$E$8,"Low",IF(C1304&gt;Outliers!$F$8,"High",""))</f>
        <v/>
      </c>
      <c r="L1304" s="6" t="str">
        <f aca="false">A1304&amp;";"&amp;B1304&amp;";"&amp;C1304</f>
        <v>25.29954705;57.04147057;27.8406767625962</v>
      </c>
      <c r="M1304" s="6" t="n">
        <f aca="false">IF(COUNTIF($L$2:$L$2201,L1304)&gt;1,1,0)</f>
        <v>0</v>
      </c>
      <c r="N1304" s="6" t="str">
        <f aca="false">IF(AND(C1304&lt;Assumptions!$B$9,B1304&lt;Assumptions!$B$10),"Irrigate Now",IF(AND(C1304&gt;=Assumptions!$B$11,B1304&gt;=Assumptions!$B$12),"No Irrigation Needed","Monitor"))</f>
        <v>Monitor</v>
      </c>
      <c r="O1304" s="6" t="n">
        <f aca="false">IF(N1304=G1304,1,0)</f>
        <v>1</v>
      </c>
    </row>
    <row r="1305" customFormat="false" ht="15" hidden="false" customHeight="false" outlineLevel="0" collapsed="false">
      <c r="A1305" s="16" t="n">
        <v>24.74631269</v>
      </c>
      <c r="B1305" s="16" t="n">
        <v>57.95826144</v>
      </c>
      <c r="C1305" s="16" t="n">
        <v>21.7225803210443</v>
      </c>
      <c r="D1305" s="6" t="s">
        <v>57</v>
      </c>
      <c r="E1305" s="6" t="s">
        <v>57</v>
      </c>
      <c r="F1305" s="6" t="s">
        <v>60</v>
      </c>
      <c r="G1305" s="6" t="s">
        <v>61</v>
      </c>
      <c r="H1305" s="6" t="s">
        <v>63</v>
      </c>
      <c r="I1305" s="6" t="str">
        <f aca="false">IF(A1305&lt;Outliers!$E$6,"Low",IF(A1305&gt;Outliers!$F$6,"High",""))</f>
        <v/>
      </c>
      <c r="J1305" s="6" t="str">
        <f aca="false">IF(B1305&lt;Outliers!$E$7,"Low",IF(B1305&gt;Outliers!$F$7,"High",""))</f>
        <v/>
      </c>
      <c r="K1305" s="6" t="str">
        <f aca="false">IF(C1305&lt;Outliers!$E$8,"Low",IF(C1305&gt;Outliers!$F$8,"High",""))</f>
        <v/>
      </c>
      <c r="L1305" s="6" t="str">
        <f aca="false">A1305&amp;";"&amp;B1305&amp;";"&amp;C1305</f>
        <v>24.74631269;57.95826144;21.7225803210443</v>
      </c>
      <c r="M1305" s="6" t="n">
        <f aca="false">IF(COUNTIF($L$2:$L$2201,L1305)&gt;1,1,0)</f>
        <v>0</v>
      </c>
      <c r="N1305" s="6" t="str">
        <f aca="false">IF(AND(C1305&lt;Assumptions!$B$9,B1305&lt;Assumptions!$B$10),"Irrigate Now",IF(AND(C1305&gt;=Assumptions!$B$11,B1305&gt;=Assumptions!$B$12),"No Irrigation Needed","Monitor"))</f>
        <v>Monitor</v>
      </c>
      <c r="O1305" s="6" t="n">
        <f aca="false">IF(N1305=G1305,1,0)</f>
        <v>1</v>
      </c>
    </row>
    <row r="1306" customFormat="false" ht="15" hidden="false" customHeight="false" outlineLevel="0" collapsed="false">
      <c r="A1306" s="16" t="n">
        <v>26.58740671</v>
      </c>
      <c r="B1306" s="16" t="n">
        <v>41.87540028</v>
      </c>
      <c r="C1306" s="16" t="n">
        <v>21.602344170023</v>
      </c>
      <c r="D1306" s="6" t="s">
        <v>57</v>
      </c>
      <c r="E1306" s="6" t="s">
        <v>23</v>
      </c>
      <c r="F1306" s="6" t="s">
        <v>60</v>
      </c>
      <c r="G1306" s="6" t="s">
        <v>61</v>
      </c>
      <c r="H1306" s="6" t="s">
        <v>63</v>
      </c>
      <c r="I1306" s="6" t="str">
        <f aca="false">IF(A1306&lt;Outliers!$E$6,"Low",IF(A1306&gt;Outliers!$F$6,"High",""))</f>
        <v/>
      </c>
      <c r="J1306" s="6" t="str">
        <f aca="false">IF(B1306&lt;Outliers!$E$7,"Low",IF(B1306&gt;Outliers!$F$7,"High",""))</f>
        <v/>
      </c>
      <c r="K1306" s="6" t="str">
        <f aca="false">IF(C1306&lt;Outliers!$E$8,"Low",IF(C1306&gt;Outliers!$F$8,"High",""))</f>
        <v/>
      </c>
      <c r="L1306" s="6" t="str">
        <f aca="false">A1306&amp;";"&amp;B1306&amp;";"&amp;C1306</f>
        <v>26.58740671;41.87540028;21.602344170023</v>
      </c>
      <c r="M1306" s="6" t="n">
        <f aca="false">IF(COUNTIF($L$2:$L$2201,L1306)&gt;1,1,0)</f>
        <v>0</v>
      </c>
      <c r="N1306" s="6" t="str">
        <f aca="false">IF(AND(C1306&lt;Assumptions!$B$9,B1306&lt;Assumptions!$B$10),"Irrigate Now",IF(AND(C1306&gt;=Assumptions!$B$11,B1306&gt;=Assumptions!$B$12),"No Irrigation Needed","Monitor"))</f>
        <v>Monitor</v>
      </c>
      <c r="O1306" s="6" t="n">
        <f aca="false">IF(N1306=G1306,1,0)</f>
        <v>1</v>
      </c>
    </row>
    <row r="1307" customFormat="false" ht="15" hidden="false" customHeight="false" outlineLevel="0" collapsed="false">
      <c r="A1307" s="16" t="n">
        <v>24.53442564</v>
      </c>
      <c r="B1307" s="16" t="n">
        <v>49.11618732</v>
      </c>
      <c r="C1307" s="16" t="n">
        <v>25.1271904042104</v>
      </c>
      <c r="D1307" s="6" t="s">
        <v>57</v>
      </c>
      <c r="E1307" s="6" t="s">
        <v>23</v>
      </c>
      <c r="F1307" s="6" t="s">
        <v>60</v>
      </c>
      <c r="G1307" s="6" t="s">
        <v>61</v>
      </c>
      <c r="H1307" s="6" t="s">
        <v>63</v>
      </c>
      <c r="I1307" s="6" t="str">
        <f aca="false">IF(A1307&lt;Outliers!$E$6,"Low",IF(A1307&gt;Outliers!$F$6,"High",""))</f>
        <v/>
      </c>
      <c r="J1307" s="6" t="str">
        <f aca="false">IF(B1307&lt;Outliers!$E$7,"Low",IF(B1307&gt;Outliers!$F$7,"High",""))</f>
        <v/>
      </c>
      <c r="K1307" s="6" t="str">
        <f aca="false">IF(C1307&lt;Outliers!$E$8,"Low",IF(C1307&gt;Outliers!$F$8,"High",""))</f>
        <v/>
      </c>
      <c r="L1307" s="6" t="str">
        <f aca="false">A1307&amp;";"&amp;B1307&amp;";"&amp;C1307</f>
        <v>24.53442564;49.11618732;25.1271904042104</v>
      </c>
      <c r="M1307" s="6" t="n">
        <f aca="false">IF(COUNTIF($L$2:$L$2201,L1307)&gt;1,1,0)</f>
        <v>0</v>
      </c>
      <c r="N1307" s="6" t="str">
        <f aca="false">IF(AND(C1307&lt;Assumptions!$B$9,B1307&lt;Assumptions!$B$10),"Irrigate Now",IF(AND(C1307&gt;=Assumptions!$B$11,B1307&gt;=Assumptions!$B$12),"No Irrigation Needed","Monitor"))</f>
        <v>Monitor</v>
      </c>
      <c r="O1307" s="6" t="n">
        <f aca="false">IF(N1307=G1307,1,0)</f>
        <v>1</v>
      </c>
    </row>
    <row r="1308" customFormat="false" ht="15" hidden="false" customHeight="false" outlineLevel="0" collapsed="false">
      <c r="A1308" s="16" t="n">
        <v>26.0713757</v>
      </c>
      <c r="B1308" s="16" t="n">
        <v>57.79652846</v>
      </c>
      <c r="C1308" s="16" t="n">
        <v>23.8304536597924</v>
      </c>
      <c r="D1308" s="6" t="s">
        <v>57</v>
      </c>
      <c r="E1308" s="6" t="s">
        <v>57</v>
      </c>
      <c r="F1308" s="6" t="s">
        <v>60</v>
      </c>
      <c r="G1308" s="6" t="s">
        <v>61</v>
      </c>
      <c r="H1308" s="6" t="s">
        <v>63</v>
      </c>
      <c r="I1308" s="6" t="str">
        <f aca="false">IF(A1308&lt;Outliers!$E$6,"Low",IF(A1308&gt;Outliers!$F$6,"High",""))</f>
        <v/>
      </c>
      <c r="J1308" s="6" t="str">
        <f aca="false">IF(B1308&lt;Outliers!$E$7,"Low",IF(B1308&gt;Outliers!$F$7,"High",""))</f>
        <v/>
      </c>
      <c r="K1308" s="6" t="str">
        <f aca="false">IF(C1308&lt;Outliers!$E$8,"Low",IF(C1308&gt;Outliers!$F$8,"High",""))</f>
        <v/>
      </c>
      <c r="L1308" s="6" t="str">
        <f aca="false">A1308&amp;";"&amp;B1308&amp;";"&amp;C1308</f>
        <v>26.0713757;57.79652846;23.8304536597924</v>
      </c>
      <c r="M1308" s="6" t="n">
        <f aca="false">IF(COUNTIF($L$2:$L$2201,L1308)&gt;1,1,0)</f>
        <v>0</v>
      </c>
      <c r="N1308" s="6" t="str">
        <f aca="false">IF(AND(C1308&lt;Assumptions!$B$9,B1308&lt;Assumptions!$B$10),"Irrigate Now",IF(AND(C1308&gt;=Assumptions!$B$11,B1308&gt;=Assumptions!$B$12),"No Irrigation Needed","Monitor"))</f>
        <v>Monitor</v>
      </c>
      <c r="O1308" s="6" t="n">
        <f aca="false">IF(N1308=G1308,1,0)</f>
        <v>1</v>
      </c>
    </row>
    <row r="1309" customFormat="false" ht="15" hidden="false" customHeight="false" outlineLevel="0" collapsed="false">
      <c r="A1309" s="16" t="n">
        <v>25.96534238</v>
      </c>
      <c r="B1309" s="16" t="n">
        <v>59.46338556</v>
      </c>
      <c r="C1309" s="16" t="n">
        <v>25.3144608236713</v>
      </c>
      <c r="D1309" s="6" t="s">
        <v>57</v>
      </c>
      <c r="E1309" s="6" t="s">
        <v>57</v>
      </c>
      <c r="F1309" s="6" t="s">
        <v>60</v>
      </c>
      <c r="G1309" s="6" t="s">
        <v>61</v>
      </c>
      <c r="H1309" s="6" t="s">
        <v>63</v>
      </c>
      <c r="I1309" s="6" t="str">
        <f aca="false">IF(A1309&lt;Outliers!$E$6,"Low",IF(A1309&gt;Outliers!$F$6,"High",""))</f>
        <v/>
      </c>
      <c r="J1309" s="6" t="str">
        <f aca="false">IF(B1309&lt;Outliers!$E$7,"Low",IF(B1309&gt;Outliers!$F$7,"High",""))</f>
        <v/>
      </c>
      <c r="K1309" s="6" t="str">
        <f aca="false">IF(C1309&lt;Outliers!$E$8,"Low",IF(C1309&gt;Outliers!$F$8,"High",""))</f>
        <v/>
      </c>
      <c r="L1309" s="6" t="str">
        <f aca="false">A1309&amp;";"&amp;B1309&amp;";"&amp;C1309</f>
        <v>25.96534238;59.46338556;25.3144608236713</v>
      </c>
      <c r="M1309" s="6" t="n">
        <f aca="false">IF(COUNTIF($L$2:$L$2201,L1309)&gt;1,1,0)</f>
        <v>0</v>
      </c>
      <c r="N1309" s="6" t="str">
        <f aca="false">IF(AND(C1309&lt;Assumptions!$B$9,B1309&lt;Assumptions!$B$10),"Irrigate Now",IF(AND(C1309&gt;=Assumptions!$B$11,B1309&gt;=Assumptions!$B$12),"No Irrigation Needed","Monitor"))</f>
        <v>Monitor</v>
      </c>
      <c r="O1309" s="6" t="n">
        <f aca="false">IF(N1309=G1309,1,0)</f>
        <v>1</v>
      </c>
    </row>
    <row r="1310" customFormat="false" ht="15" hidden="false" customHeight="false" outlineLevel="0" collapsed="false">
      <c r="A1310" s="16" t="n">
        <v>26.22338015</v>
      </c>
      <c r="B1310" s="16" t="n">
        <v>54.60159289</v>
      </c>
      <c r="C1310" s="16" t="n">
        <v>12.9119164961058</v>
      </c>
      <c r="D1310" s="6" t="s">
        <v>57</v>
      </c>
      <c r="E1310" s="6" t="s">
        <v>57</v>
      </c>
      <c r="F1310" s="6" t="s">
        <v>24</v>
      </c>
      <c r="G1310" s="6" t="s">
        <v>64</v>
      </c>
      <c r="H1310" s="6" t="s">
        <v>65</v>
      </c>
      <c r="I1310" s="6" t="str">
        <f aca="false">IF(A1310&lt;Outliers!$E$6,"Low",IF(A1310&gt;Outliers!$F$6,"High",""))</f>
        <v/>
      </c>
      <c r="J1310" s="6" t="str">
        <f aca="false">IF(B1310&lt;Outliers!$E$7,"Low",IF(B1310&gt;Outliers!$F$7,"High",""))</f>
        <v/>
      </c>
      <c r="K1310" s="6" t="str">
        <f aca="false">IF(C1310&lt;Outliers!$E$8,"Low",IF(C1310&gt;Outliers!$F$8,"High",""))</f>
        <v/>
      </c>
      <c r="L1310" s="6" t="str">
        <f aca="false">A1310&amp;";"&amp;B1310&amp;";"&amp;C1310</f>
        <v>26.22338015;54.60159289;12.9119164961058</v>
      </c>
      <c r="M1310" s="6" t="n">
        <f aca="false">IF(COUNTIF($L$2:$L$2201,L1310)&gt;1,1,0)</f>
        <v>0</v>
      </c>
      <c r="N1310" s="6" t="str">
        <f aca="false">IF(AND(C1310&lt;Assumptions!$B$9,B1310&lt;Assumptions!$B$10),"Irrigate Now",IF(AND(C1310&gt;=Assumptions!$B$11,B1310&gt;=Assumptions!$B$12),"No Irrigation Needed","Monitor"))</f>
        <v>Irrigate Now</v>
      </c>
      <c r="O1310" s="6" t="n">
        <f aca="false">IF(N1310=G1310,1,0)</f>
        <v>1</v>
      </c>
    </row>
    <row r="1311" customFormat="false" ht="15" hidden="false" customHeight="false" outlineLevel="0" collapsed="false">
      <c r="A1311" s="16" t="n">
        <v>24.41311871</v>
      </c>
      <c r="B1311" s="16" t="n">
        <v>44.07843475</v>
      </c>
      <c r="C1311" s="16" t="n">
        <v>29.5290018441562</v>
      </c>
      <c r="D1311" s="6" t="s">
        <v>57</v>
      </c>
      <c r="E1311" s="6" t="s">
        <v>23</v>
      </c>
      <c r="F1311" s="6" t="s">
        <v>23</v>
      </c>
      <c r="G1311" s="6" t="s">
        <v>61</v>
      </c>
      <c r="H1311" s="6" t="s">
        <v>63</v>
      </c>
      <c r="I1311" s="6" t="str">
        <f aca="false">IF(A1311&lt;Outliers!$E$6,"Low",IF(A1311&gt;Outliers!$F$6,"High",""))</f>
        <v/>
      </c>
      <c r="J1311" s="6" t="str">
        <f aca="false">IF(B1311&lt;Outliers!$E$7,"Low",IF(B1311&gt;Outliers!$F$7,"High",""))</f>
        <v/>
      </c>
      <c r="K1311" s="6" t="str">
        <f aca="false">IF(C1311&lt;Outliers!$E$8,"Low",IF(C1311&gt;Outliers!$F$8,"High",""))</f>
        <v/>
      </c>
      <c r="L1311" s="6" t="str">
        <f aca="false">A1311&amp;";"&amp;B1311&amp;";"&amp;C1311</f>
        <v>24.41311871;44.07843475;29.5290018441562</v>
      </c>
      <c r="M1311" s="6" t="n">
        <f aca="false">IF(COUNTIF($L$2:$L$2201,L1311)&gt;1,1,0)</f>
        <v>0</v>
      </c>
      <c r="N1311" s="6" t="str">
        <f aca="false">IF(AND(C1311&lt;Assumptions!$B$9,B1311&lt;Assumptions!$B$10),"Irrigate Now",IF(AND(C1311&gt;=Assumptions!$B$11,B1311&gt;=Assumptions!$B$12),"No Irrigation Needed","Monitor"))</f>
        <v>Monitor</v>
      </c>
      <c r="O1311" s="6" t="n">
        <f aca="false">IF(N1311=G1311,1,0)</f>
        <v>1</v>
      </c>
    </row>
    <row r="1312" customFormat="false" ht="15" hidden="false" customHeight="false" outlineLevel="0" collapsed="false">
      <c r="A1312" s="16" t="n">
        <v>26.49195283</v>
      </c>
      <c r="B1312" s="16" t="n">
        <v>57.72799157</v>
      </c>
      <c r="C1312" s="16" t="n">
        <v>18.9444281390502</v>
      </c>
      <c r="D1312" s="6" t="s">
        <v>57</v>
      </c>
      <c r="E1312" s="6" t="s">
        <v>57</v>
      </c>
      <c r="F1312" s="6" t="s">
        <v>24</v>
      </c>
      <c r="G1312" s="6" t="s">
        <v>61</v>
      </c>
      <c r="H1312" s="6" t="s">
        <v>63</v>
      </c>
      <c r="I1312" s="6" t="str">
        <f aca="false">IF(A1312&lt;Outliers!$E$6,"Low",IF(A1312&gt;Outliers!$F$6,"High",""))</f>
        <v/>
      </c>
      <c r="J1312" s="6" t="str">
        <f aca="false">IF(B1312&lt;Outliers!$E$7,"Low",IF(B1312&gt;Outliers!$F$7,"High",""))</f>
        <v/>
      </c>
      <c r="K1312" s="6" t="str">
        <f aca="false">IF(C1312&lt;Outliers!$E$8,"Low",IF(C1312&gt;Outliers!$F$8,"High",""))</f>
        <v/>
      </c>
      <c r="L1312" s="6" t="str">
        <f aca="false">A1312&amp;";"&amp;B1312&amp;";"&amp;C1312</f>
        <v>26.49195283;57.72799157;18.9444281390502</v>
      </c>
      <c r="M1312" s="6" t="n">
        <f aca="false">IF(COUNTIF($L$2:$L$2201,L1312)&gt;1,1,0)</f>
        <v>0</v>
      </c>
      <c r="N1312" s="6" t="str">
        <f aca="false">IF(AND(C1312&lt;Assumptions!$B$9,B1312&lt;Assumptions!$B$10),"Irrigate Now",IF(AND(C1312&gt;=Assumptions!$B$11,B1312&gt;=Assumptions!$B$12),"No Irrigation Needed","Monitor"))</f>
        <v>Monitor</v>
      </c>
      <c r="O1312" s="6" t="n">
        <f aca="false">IF(N1312=G1312,1,0)</f>
        <v>1</v>
      </c>
    </row>
    <row r="1313" customFormat="false" ht="15" hidden="false" customHeight="false" outlineLevel="0" collapsed="false">
      <c r="A1313" s="16" t="n">
        <v>24.04355803</v>
      </c>
      <c r="B1313" s="16" t="n">
        <v>53.78929956</v>
      </c>
      <c r="C1313" s="16" t="n">
        <v>26.6210221548196</v>
      </c>
      <c r="D1313" s="6" t="s">
        <v>57</v>
      </c>
      <c r="E1313" s="6" t="s">
        <v>57</v>
      </c>
      <c r="F1313" s="6" t="s">
        <v>23</v>
      </c>
      <c r="G1313" s="6" t="s">
        <v>61</v>
      </c>
      <c r="H1313" s="6" t="s">
        <v>63</v>
      </c>
      <c r="I1313" s="6" t="str">
        <f aca="false">IF(A1313&lt;Outliers!$E$6,"Low",IF(A1313&gt;Outliers!$F$6,"High",""))</f>
        <v/>
      </c>
      <c r="J1313" s="6" t="str">
        <f aca="false">IF(B1313&lt;Outliers!$E$7,"Low",IF(B1313&gt;Outliers!$F$7,"High",""))</f>
        <v/>
      </c>
      <c r="K1313" s="6" t="str">
        <f aca="false">IF(C1313&lt;Outliers!$E$8,"Low",IF(C1313&gt;Outliers!$F$8,"High",""))</f>
        <v/>
      </c>
      <c r="L1313" s="6" t="str">
        <f aca="false">A1313&amp;";"&amp;B1313&amp;";"&amp;C1313</f>
        <v>24.04355803;53.78929956;26.6210221548196</v>
      </c>
      <c r="M1313" s="6" t="n">
        <f aca="false">IF(COUNTIF($L$2:$L$2201,L1313)&gt;1,1,0)</f>
        <v>0</v>
      </c>
      <c r="N1313" s="6" t="str">
        <f aca="false">IF(AND(C1313&lt;Assumptions!$B$9,B1313&lt;Assumptions!$B$10),"Irrigate Now",IF(AND(C1313&gt;=Assumptions!$B$11,B1313&gt;=Assumptions!$B$12),"No Irrigation Needed","Monitor"))</f>
        <v>Monitor</v>
      </c>
      <c r="O1313" s="6" t="n">
        <f aca="false">IF(N1313=G1313,1,0)</f>
        <v>1</v>
      </c>
    </row>
    <row r="1314" customFormat="false" ht="15" hidden="false" customHeight="false" outlineLevel="0" collapsed="false">
      <c r="A1314" s="16" t="n">
        <v>25.5421695</v>
      </c>
      <c r="B1314" s="16" t="n">
        <v>57.57343233</v>
      </c>
      <c r="C1314" s="16" t="n">
        <v>21.0884632785975</v>
      </c>
      <c r="D1314" s="6" t="s">
        <v>57</v>
      </c>
      <c r="E1314" s="6" t="s">
        <v>57</v>
      </c>
      <c r="F1314" s="6" t="s">
        <v>60</v>
      </c>
      <c r="G1314" s="6" t="s">
        <v>61</v>
      </c>
      <c r="H1314" s="6" t="s">
        <v>63</v>
      </c>
      <c r="I1314" s="6" t="str">
        <f aca="false">IF(A1314&lt;Outliers!$E$6,"Low",IF(A1314&gt;Outliers!$F$6,"High",""))</f>
        <v/>
      </c>
      <c r="J1314" s="6" t="str">
        <f aca="false">IF(B1314&lt;Outliers!$E$7,"Low",IF(B1314&gt;Outliers!$F$7,"High",""))</f>
        <v/>
      </c>
      <c r="K1314" s="6" t="str">
        <f aca="false">IF(C1314&lt;Outliers!$E$8,"Low",IF(C1314&gt;Outliers!$F$8,"High",""))</f>
        <v/>
      </c>
      <c r="L1314" s="6" t="str">
        <f aca="false">A1314&amp;";"&amp;B1314&amp;";"&amp;C1314</f>
        <v>25.5421695;57.57343233;21.0884632785975</v>
      </c>
      <c r="M1314" s="6" t="n">
        <f aca="false">IF(COUNTIF($L$2:$L$2201,L1314)&gt;1,1,0)</f>
        <v>0</v>
      </c>
      <c r="N1314" s="6" t="str">
        <f aca="false">IF(AND(C1314&lt;Assumptions!$B$9,B1314&lt;Assumptions!$B$10),"Irrigate Now",IF(AND(C1314&gt;=Assumptions!$B$11,B1314&gt;=Assumptions!$B$12),"No Irrigation Needed","Monitor"))</f>
        <v>Monitor</v>
      </c>
      <c r="O1314" s="6" t="n">
        <f aca="false">IF(N1314=G1314,1,0)</f>
        <v>1</v>
      </c>
    </row>
    <row r="1315" customFormat="false" ht="15" hidden="false" customHeight="false" outlineLevel="0" collapsed="false">
      <c r="A1315" s="16" t="n">
        <v>26.74550678</v>
      </c>
      <c r="B1315" s="16" t="n">
        <v>40.794305</v>
      </c>
      <c r="C1315" s="16" t="n">
        <v>23.3744377747235</v>
      </c>
      <c r="D1315" s="6" t="s">
        <v>57</v>
      </c>
      <c r="E1315" s="6" t="s">
        <v>23</v>
      </c>
      <c r="F1315" s="6" t="s">
        <v>60</v>
      </c>
      <c r="G1315" s="6" t="s">
        <v>61</v>
      </c>
      <c r="H1315" s="6" t="s">
        <v>63</v>
      </c>
      <c r="I1315" s="6" t="str">
        <f aca="false">IF(A1315&lt;Outliers!$E$6,"Low",IF(A1315&gt;Outliers!$F$6,"High",""))</f>
        <v/>
      </c>
      <c r="J1315" s="6" t="str">
        <f aca="false">IF(B1315&lt;Outliers!$E$7,"Low",IF(B1315&gt;Outliers!$F$7,"High",""))</f>
        <v/>
      </c>
      <c r="K1315" s="6" t="str">
        <f aca="false">IF(C1315&lt;Outliers!$E$8,"Low",IF(C1315&gt;Outliers!$F$8,"High",""))</f>
        <v/>
      </c>
      <c r="L1315" s="6" t="str">
        <f aca="false">A1315&amp;";"&amp;B1315&amp;";"&amp;C1315</f>
        <v>26.74550678;40.794305;23.3744377747235</v>
      </c>
      <c r="M1315" s="6" t="n">
        <f aca="false">IF(COUNTIF($L$2:$L$2201,L1315)&gt;1,1,0)</f>
        <v>0</v>
      </c>
      <c r="N1315" s="6" t="str">
        <f aca="false">IF(AND(C1315&lt;Assumptions!$B$9,B1315&lt;Assumptions!$B$10),"Irrigate Now",IF(AND(C1315&gt;=Assumptions!$B$11,B1315&gt;=Assumptions!$B$12),"No Irrigation Needed","Monitor"))</f>
        <v>Monitor</v>
      </c>
      <c r="O1315" s="6" t="n">
        <f aca="false">IF(N1315=G1315,1,0)</f>
        <v>1</v>
      </c>
    </row>
    <row r="1316" customFormat="false" ht="15" hidden="false" customHeight="false" outlineLevel="0" collapsed="false">
      <c r="A1316" s="16" t="n">
        <v>25.7131428</v>
      </c>
      <c r="B1316" s="16" t="n">
        <v>43.08961827</v>
      </c>
      <c r="C1316" s="16" t="n">
        <v>26.0778663115177</v>
      </c>
      <c r="D1316" s="6" t="s">
        <v>57</v>
      </c>
      <c r="E1316" s="6" t="s">
        <v>23</v>
      </c>
      <c r="F1316" s="6" t="s">
        <v>60</v>
      </c>
      <c r="G1316" s="6" t="s">
        <v>61</v>
      </c>
      <c r="H1316" s="6" t="s">
        <v>63</v>
      </c>
      <c r="I1316" s="6" t="str">
        <f aca="false">IF(A1316&lt;Outliers!$E$6,"Low",IF(A1316&gt;Outliers!$F$6,"High",""))</f>
        <v/>
      </c>
      <c r="J1316" s="6" t="str">
        <f aca="false">IF(B1316&lt;Outliers!$E$7,"Low",IF(B1316&gt;Outliers!$F$7,"High",""))</f>
        <v/>
      </c>
      <c r="K1316" s="6" t="str">
        <f aca="false">IF(C1316&lt;Outliers!$E$8,"Low",IF(C1316&gt;Outliers!$F$8,"High",""))</f>
        <v/>
      </c>
      <c r="L1316" s="6" t="str">
        <f aca="false">A1316&amp;";"&amp;B1316&amp;";"&amp;C1316</f>
        <v>25.7131428;43.08961827;26.0778663115177</v>
      </c>
      <c r="M1316" s="6" t="n">
        <f aca="false">IF(COUNTIF($L$2:$L$2201,L1316)&gt;1,1,0)</f>
        <v>0</v>
      </c>
      <c r="N1316" s="6" t="str">
        <f aca="false">IF(AND(C1316&lt;Assumptions!$B$9,B1316&lt;Assumptions!$B$10),"Irrigate Now",IF(AND(C1316&gt;=Assumptions!$B$11,B1316&gt;=Assumptions!$B$12),"No Irrigation Needed","Monitor"))</f>
        <v>Monitor</v>
      </c>
      <c r="O1316" s="6" t="n">
        <f aca="false">IF(N1316=G1316,1,0)</f>
        <v>1</v>
      </c>
    </row>
    <row r="1317" customFormat="false" ht="15" hidden="false" customHeight="false" outlineLevel="0" collapsed="false">
      <c r="A1317" s="16" t="n">
        <v>25.76484262</v>
      </c>
      <c r="B1317" s="16" t="n">
        <v>44.22066914</v>
      </c>
      <c r="C1317" s="16" t="n">
        <v>21.4711039934903</v>
      </c>
      <c r="D1317" s="6" t="s">
        <v>57</v>
      </c>
      <c r="E1317" s="6" t="s">
        <v>23</v>
      </c>
      <c r="F1317" s="6" t="s">
        <v>60</v>
      </c>
      <c r="G1317" s="6" t="s">
        <v>61</v>
      </c>
      <c r="H1317" s="6" t="s">
        <v>63</v>
      </c>
      <c r="I1317" s="6" t="str">
        <f aca="false">IF(A1317&lt;Outliers!$E$6,"Low",IF(A1317&gt;Outliers!$F$6,"High",""))</f>
        <v/>
      </c>
      <c r="J1317" s="6" t="str">
        <f aca="false">IF(B1317&lt;Outliers!$E$7,"Low",IF(B1317&gt;Outliers!$F$7,"High",""))</f>
        <v/>
      </c>
      <c r="K1317" s="6" t="str">
        <f aca="false">IF(C1317&lt;Outliers!$E$8,"Low",IF(C1317&gt;Outliers!$F$8,"High",""))</f>
        <v/>
      </c>
      <c r="L1317" s="6" t="str">
        <f aca="false">A1317&amp;";"&amp;B1317&amp;";"&amp;C1317</f>
        <v>25.76484262;44.22066914;21.4711039934903</v>
      </c>
      <c r="M1317" s="6" t="n">
        <f aca="false">IF(COUNTIF($L$2:$L$2201,L1317)&gt;1,1,0)</f>
        <v>0</v>
      </c>
      <c r="N1317" s="6" t="str">
        <f aca="false">IF(AND(C1317&lt;Assumptions!$B$9,B1317&lt;Assumptions!$B$10),"Irrigate Now",IF(AND(C1317&gt;=Assumptions!$B$11,B1317&gt;=Assumptions!$B$12),"No Irrigation Needed","Monitor"))</f>
        <v>Monitor</v>
      </c>
      <c r="O1317" s="6" t="n">
        <f aca="false">IF(N1317=G1317,1,0)</f>
        <v>1</v>
      </c>
    </row>
    <row r="1318" customFormat="false" ht="15" hidden="false" customHeight="false" outlineLevel="0" collapsed="false">
      <c r="A1318" s="16" t="n">
        <v>26.79489868</v>
      </c>
      <c r="B1318" s="16" t="n">
        <v>57.74091817</v>
      </c>
      <c r="C1318" s="16" t="n">
        <v>27.7320783096286</v>
      </c>
      <c r="D1318" s="6" t="s">
        <v>57</v>
      </c>
      <c r="E1318" s="6" t="s">
        <v>57</v>
      </c>
      <c r="F1318" s="6" t="s">
        <v>23</v>
      </c>
      <c r="G1318" s="6" t="s">
        <v>61</v>
      </c>
      <c r="H1318" s="6" t="s">
        <v>63</v>
      </c>
      <c r="I1318" s="6" t="str">
        <f aca="false">IF(A1318&lt;Outliers!$E$6,"Low",IF(A1318&gt;Outliers!$F$6,"High",""))</f>
        <v/>
      </c>
      <c r="J1318" s="6" t="str">
        <f aca="false">IF(B1318&lt;Outliers!$E$7,"Low",IF(B1318&gt;Outliers!$F$7,"High",""))</f>
        <v/>
      </c>
      <c r="K1318" s="6" t="str">
        <f aca="false">IF(C1318&lt;Outliers!$E$8,"Low",IF(C1318&gt;Outliers!$F$8,"High",""))</f>
        <v/>
      </c>
      <c r="L1318" s="6" t="str">
        <f aca="false">A1318&amp;";"&amp;B1318&amp;";"&amp;C1318</f>
        <v>26.79489868;57.74091817;27.7320783096286</v>
      </c>
      <c r="M1318" s="6" t="n">
        <f aca="false">IF(COUNTIF($L$2:$L$2201,L1318)&gt;1,1,0)</f>
        <v>0</v>
      </c>
      <c r="N1318" s="6" t="str">
        <f aca="false">IF(AND(C1318&lt;Assumptions!$B$9,B1318&lt;Assumptions!$B$10),"Irrigate Now",IF(AND(C1318&gt;=Assumptions!$B$11,B1318&gt;=Assumptions!$B$12),"No Irrigation Needed","Monitor"))</f>
        <v>Monitor</v>
      </c>
      <c r="O1318" s="6" t="n">
        <f aca="false">IF(N1318=G1318,1,0)</f>
        <v>1</v>
      </c>
    </row>
    <row r="1319" customFormat="false" ht="15" hidden="false" customHeight="false" outlineLevel="0" collapsed="false">
      <c r="A1319" s="16" t="n">
        <v>24.9004602</v>
      </c>
      <c r="B1319" s="16" t="n">
        <v>57.44942094</v>
      </c>
      <c r="C1319" s="16" t="n">
        <v>24.4154081297498</v>
      </c>
      <c r="D1319" s="6" t="s">
        <v>57</v>
      </c>
      <c r="E1319" s="6" t="s">
        <v>57</v>
      </c>
      <c r="F1319" s="6" t="s">
        <v>60</v>
      </c>
      <c r="G1319" s="6" t="s">
        <v>61</v>
      </c>
      <c r="H1319" s="6" t="s">
        <v>63</v>
      </c>
      <c r="I1319" s="6" t="str">
        <f aca="false">IF(A1319&lt;Outliers!$E$6,"Low",IF(A1319&gt;Outliers!$F$6,"High",""))</f>
        <v/>
      </c>
      <c r="J1319" s="6" t="str">
        <f aca="false">IF(B1319&lt;Outliers!$E$7,"Low",IF(B1319&gt;Outliers!$F$7,"High",""))</f>
        <v/>
      </c>
      <c r="K1319" s="6" t="str">
        <f aca="false">IF(C1319&lt;Outliers!$E$8,"Low",IF(C1319&gt;Outliers!$F$8,"High",""))</f>
        <v/>
      </c>
      <c r="L1319" s="6" t="str">
        <f aca="false">A1319&amp;";"&amp;B1319&amp;";"&amp;C1319</f>
        <v>24.9004602;57.44942094;24.4154081297498</v>
      </c>
      <c r="M1319" s="6" t="n">
        <f aca="false">IF(COUNTIF($L$2:$L$2201,L1319)&gt;1,1,0)</f>
        <v>0</v>
      </c>
      <c r="N1319" s="6" t="str">
        <f aca="false">IF(AND(C1319&lt;Assumptions!$B$9,B1319&lt;Assumptions!$B$10),"Irrigate Now",IF(AND(C1319&gt;=Assumptions!$B$11,B1319&gt;=Assumptions!$B$12),"No Irrigation Needed","Monitor"))</f>
        <v>Monitor</v>
      </c>
      <c r="O1319" s="6" t="n">
        <f aca="false">IF(N1319=G1319,1,0)</f>
        <v>1</v>
      </c>
    </row>
    <row r="1320" customFormat="false" ht="15" hidden="false" customHeight="false" outlineLevel="0" collapsed="false">
      <c r="A1320" s="16" t="n">
        <v>26.80750629</v>
      </c>
      <c r="B1320" s="16" t="n">
        <v>58.79889057</v>
      </c>
      <c r="C1320" s="16" t="n">
        <v>24.0262171825412</v>
      </c>
      <c r="D1320" s="6" t="s">
        <v>57</v>
      </c>
      <c r="E1320" s="6" t="s">
        <v>57</v>
      </c>
      <c r="F1320" s="6" t="s">
        <v>60</v>
      </c>
      <c r="G1320" s="6" t="s">
        <v>61</v>
      </c>
      <c r="H1320" s="6" t="s">
        <v>63</v>
      </c>
      <c r="I1320" s="6" t="str">
        <f aca="false">IF(A1320&lt;Outliers!$E$6,"Low",IF(A1320&gt;Outliers!$F$6,"High",""))</f>
        <v/>
      </c>
      <c r="J1320" s="6" t="str">
        <f aca="false">IF(B1320&lt;Outliers!$E$7,"Low",IF(B1320&gt;Outliers!$F$7,"High",""))</f>
        <v/>
      </c>
      <c r="K1320" s="6" t="str">
        <f aca="false">IF(C1320&lt;Outliers!$E$8,"Low",IF(C1320&gt;Outliers!$F$8,"High",""))</f>
        <v/>
      </c>
      <c r="L1320" s="6" t="str">
        <f aca="false">A1320&amp;";"&amp;B1320&amp;";"&amp;C1320</f>
        <v>26.80750629;58.79889057;24.0262171825412</v>
      </c>
      <c r="M1320" s="6" t="n">
        <f aca="false">IF(COUNTIF($L$2:$L$2201,L1320)&gt;1,1,0)</f>
        <v>0</v>
      </c>
      <c r="N1320" s="6" t="str">
        <f aca="false">IF(AND(C1320&lt;Assumptions!$B$9,B1320&lt;Assumptions!$B$10),"Irrigate Now",IF(AND(C1320&gt;=Assumptions!$B$11,B1320&gt;=Assumptions!$B$12),"No Irrigation Needed","Monitor"))</f>
        <v>Monitor</v>
      </c>
      <c r="O1320" s="6" t="n">
        <f aca="false">IF(N1320=G1320,1,0)</f>
        <v>1</v>
      </c>
    </row>
    <row r="1321" customFormat="false" ht="15" hidden="false" customHeight="false" outlineLevel="0" collapsed="false">
      <c r="A1321" s="16" t="n">
        <v>25.11189154</v>
      </c>
      <c r="B1321" s="16" t="n">
        <v>44.20656987</v>
      </c>
      <c r="C1321" s="16" t="n">
        <v>16.8089360508017</v>
      </c>
      <c r="D1321" s="6" t="s">
        <v>57</v>
      </c>
      <c r="E1321" s="6" t="s">
        <v>23</v>
      </c>
      <c r="F1321" s="6" t="s">
        <v>24</v>
      </c>
      <c r="G1321" s="6" t="s">
        <v>64</v>
      </c>
      <c r="H1321" s="6" t="s">
        <v>65</v>
      </c>
      <c r="I1321" s="6" t="str">
        <f aca="false">IF(A1321&lt;Outliers!$E$6,"Low",IF(A1321&gt;Outliers!$F$6,"High",""))</f>
        <v/>
      </c>
      <c r="J1321" s="6" t="str">
        <f aca="false">IF(B1321&lt;Outliers!$E$7,"Low",IF(B1321&gt;Outliers!$F$7,"High",""))</f>
        <v/>
      </c>
      <c r="K1321" s="6" t="str">
        <f aca="false">IF(C1321&lt;Outliers!$E$8,"Low",IF(C1321&gt;Outliers!$F$8,"High",""))</f>
        <v/>
      </c>
      <c r="L1321" s="6" t="str">
        <f aca="false">A1321&amp;";"&amp;B1321&amp;";"&amp;C1321</f>
        <v>25.11189154;44.20656987;16.8089360508017</v>
      </c>
      <c r="M1321" s="6" t="n">
        <f aca="false">IF(COUNTIF($L$2:$L$2201,L1321)&gt;1,1,0)</f>
        <v>0</v>
      </c>
      <c r="N1321" s="6" t="str">
        <f aca="false">IF(AND(C1321&lt;Assumptions!$B$9,B1321&lt;Assumptions!$B$10),"Irrigate Now",IF(AND(C1321&gt;=Assumptions!$B$11,B1321&gt;=Assumptions!$B$12),"No Irrigation Needed","Monitor"))</f>
        <v>Irrigate Now</v>
      </c>
      <c r="O1321" s="6" t="n">
        <f aca="false">IF(N1321=G1321,1,0)</f>
        <v>1</v>
      </c>
    </row>
    <row r="1322" customFormat="false" ht="15" hidden="false" customHeight="false" outlineLevel="0" collapsed="false">
      <c r="A1322" s="16" t="n">
        <v>26.2148837</v>
      </c>
      <c r="B1322" s="16" t="n">
        <v>59.65590798</v>
      </c>
      <c r="C1322" s="16" t="n">
        <v>12.3228330330848</v>
      </c>
      <c r="D1322" s="6" t="s">
        <v>57</v>
      </c>
      <c r="E1322" s="6" t="s">
        <v>57</v>
      </c>
      <c r="F1322" s="6" t="s">
        <v>24</v>
      </c>
      <c r="G1322" s="6" t="s">
        <v>64</v>
      </c>
      <c r="H1322" s="6" t="s">
        <v>65</v>
      </c>
      <c r="I1322" s="6" t="str">
        <f aca="false">IF(A1322&lt;Outliers!$E$6,"Low",IF(A1322&gt;Outliers!$F$6,"High",""))</f>
        <v/>
      </c>
      <c r="J1322" s="6" t="str">
        <f aca="false">IF(B1322&lt;Outliers!$E$7,"Low",IF(B1322&gt;Outliers!$F$7,"High",""))</f>
        <v/>
      </c>
      <c r="K1322" s="6" t="str">
        <f aca="false">IF(C1322&lt;Outliers!$E$8,"Low",IF(C1322&gt;Outliers!$F$8,"High",""))</f>
        <v/>
      </c>
      <c r="L1322" s="6" t="str">
        <f aca="false">A1322&amp;";"&amp;B1322&amp;";"&amp;C1322</f>
        <v>26.2148837;59.65590798;12.3228330330848</v>
      </c>
      <c r="M1322" s="6" t="n">
        <f aca="false">IF(COUNTIF($L$2:$L$2201,L1322)&gt;1,1,0)</f>
        <v>0</v>
      </c>
      <c r="N1322" s="6" t="str">
        <f aca="false">IF(AND(C1322&lt;Assumptions!$B$9,B1322&lt;Assumptions!$B$10),"Irrigate Now",IF(AND(C1322&gt;=Assumptions!$B$11,B1322&gt;=Assumptions!$B$12),"No Irrigation Needed","Monitor"))</f>
        <v>Irrigate Now</v>
      </c>
      <c r="O1322" s="6" t="n">
        <f aca="false">IF(N1322=G1322,1,0)</f>
        <v>1</v>
      </c>
    </row>
    <row r="1323" customFormat="false" ht="15" hidden="false" customHeight="false" outlineLevel="0" collapsed="false">
      <c r="A1323" s="16" t="n">
        <v>24.9103226</v>
      </c>
      <c r="B1323" s="16" t="n">
        <v>49.48575692</v>
      </c>
      <c r="C1323" s="16" t="n">
        <v>22.4253864099393</v>
      </c>
      <c r="D1323" s="6" t="s">
        <v>57</v>
      </c>
      <c r="E1323" s="6" t="s">
        <v>23</v>
      </c>
      <c r="F1323" s="6" t="s">
        <v>60</v>
      </c>
      <c r="G1323" s="6" t="s">
        <v>61</v>
      </c>
      <c r="H1323" s="6" t="s">
        <v>63</v>
      </c>
      <c r="I1323" s="6" t="str">
        <f aca="false">IF(A1323&lt;Outliers!$E$6,"Low",IF(A1323&gt;Outliers!$F$6,"High",""))</f>
        <v/>
      </c>
      <c r="J1323" s="6" t="str">
        <f aca="false">IF(B1323&lt;Outliers!$E$7,"Low",IF(B1323&gt;Outliers!$F$7,"High",""))</f>
        <v/>
      </c>
      <c r="K1323" s="6" t="str">
        <f aca="false">IF(C1323&lt;Outliers!$E$8,"Low",IF(C1323&gt;Outliers!$F$8,"High",""))</f>
        <v/>
      </c>
      <c r="L1323" s="6" t="str">
        <f aca="false">A1323&amp;";"&amp;B1323&amp;";"&amp;C1323</f>
        <v>24.9103226;49.48575692;22.4253864099393</v>
      </c>
      <c r="M1323" s="6" t="n">
        <f aca="false">IF(COUNTIF($L$2:$L$2201,L1323)&gt;1,1,0)</f>
        <v>0</v>
      </c>
      <c r="N1323" s="6" t="str">
        <f aca="false">IF(AND(C1323&lt;Assumptions!$B$9,B1323&lt;Assumptions!$B$10),"Irrigate Now",IF(AND(C1323&gt;=Assumptions!$B$11,B1323&gt;=Assumptions!$B$12),"No Irrigation Needed","Monitor"))</f>
        <v>Monitor</v>
      </c>
      <c r="O1323" s="6" t="n">
        <f aca="false">IF(N1323=G1323,1,0)</f>
        <v>1</v>
      </c>
    </row>
    <row r="1324" customFormat="false" ht="15" hidden="false" customHeight="false" outlineLevel="0" collapsed="false">
      <c r="A1324" s="16" t="n">
        <v>25.79448878</v>
      </c>
      <c r="B1324" s="16" t="n">
        <v>56.45229202</v>
      </c>
      <c r="C1324" s="16" t="n">
        <v>23.6107707020745</v>
      </c>
      <c r="D1324" s="6" t="s">
        <v>57</v>
      </c>
      <c r="E1324" s="6" t="s">
        <v>57</v>
      </c>
      <c r="F1324" s="6" t="s">
        <v>60</v>
      </c>
      <c r="G1324" s="6" t="s">
        <v>61</v>
      </c>
      <c r="H1324" s="6" t="s">
        <v>63</v>
      </c>
      <c r="I1324" s="6" t="str">
        <f aca="false">IF(A1324&lt;Outliers!$E$6,"Low",IF(A1324&gt;Outliers!$F$6,"High",""))</f>
        <v/>
      </c>
      <c r="J1324" s="6" t="str">
        <f aca="false">IF(B1324&lt;Outliers!$E$7,"Low",IF(B1324&gt;Outliers!$F$7,"High",""))</f>
        <v/>
      </c>
      <c r="K1324" s="6" t="str">
        <f aca="false">IF(C1324&lt;Outliers!$E$8,"Low",IF(C1324&gt;Outliers!$F$8,"High",""))</f>
        <v/>
      </c>
      <c r="L1324" s="6" t="str">
        <f aca="false">A1324&amp;";"&amp;B1324&amp;";"&amp;C1324</f>
        <v>25.79448878;56.45229202;23.6107707020745</v>
      </c>
      <c r="M1324" s="6" t="n">
        <f aca="false">IF(COUNTIF($L$2:$L$2201,L1324)&gt;1,1,0)</f>
        <v>0</v>
      </c>
      <c r="N1324" s="6" t="str">
        <f aca="false">IF(AND(C1324&lt;Assumptions!$B$9,B1324&lt;Assumptions!$B$10),"Irrigate Now",IF(AND(C1324&gt;=Assumptions!$B$11,B1324&gt;=Assumptions!$B$12),"No Irrigation Needed","Monitor"))</f>
        <v>Monitor</v>
      </c>
      <c r="O1324" s="6" t="n">
        <f aca="false">IF(N1324=G1324,1,0)</f>
        <v>1</v>
      </c>
    </row>
    <row r="1325" customFormat="false" ht="15" hidden="false" customHeight="false" outlineLevel="0" collapsed="false">
      <c r="A1325" s="16" t="n">
        <v>25.26931156</v>
      </c>
      <c r="B1325" s="16" t="n">
        <v>40.12650421</v>
      </c>
      <c r="C1325" s="16" t="n">
        <v>23.4712834494536</v>
      </c>
      <c r="D1325" s="6" t="s">
        <v>57</v>
      </c>
      <c r="E1325" s="6" t="s">
        <v>23</v>
      </c>
      <c r="F1325" s="6" t="s">
        <v>60</v>
      </c>
      <c r="G1325" s="6" t="s">
        <v>61</v>
      </c>
      <c r="H1325" s="6" t="s">
        <v>63</v>
      </c>
      <c r="I1325" s="6" t="str">
        <f aca="false">IF(A1325&lt;Outliers!$E$6,"Low",IF(A1325&gt;Outliers!$F$6,"High",""))</f>
        <v/>
      </c>
      <c r="J1325" s="6" t="str">
        <f aca="false">IF(B1325&lt;Outliers!$E$7,"Low",IF(B1325&gt;Outliers!$F$7,"High",""))</f>
        <v/>
      </c>
      <c r="K1325" s="6" t="str">
        <f aca="false">IF(C1325&lt;Outliers!$E$8,"Low",IF(C1325&gt;Outliers!$F$8,"High",""))</f>
        <v/>
      </c>
      <c r="L1325" s="6" t="str">
        <f aca="false">A1325&amp;";"&amp;B1325&amp;";"&amp;C1325</f>
        <v>25.26931156;40.12650421;23.4712834494536</v>
      </c>
      <c r="M1325" s="6" t="n">
        <f aca="false">IF(COUNTIF($L$2:$L$2201,L1325)&gt;1,1,0)</f>
        <v>0</v>
      </c>
      <c r="N1325" s="6" t="str">
        <f aca="false">IF(AND(C1325&lt;Assumptions!$B$9,B1325&lt;Assumptions!$B$10),"Irrigate Now",IF(AND(C1325&gt;=Assumptions!$B$11,B1325&gt;=Assumptions!$B$12),"No Irrigation Needed","Monitor"))</f>
        <v>Monitor</v>
      </c>
      <c r="O1325" s="6" t="n">
        <f aca="false">IF(N1325=G1325,1,0)</f>
        <v>1</v>
      </c>
    </row>
    <row r="1326" customFormat="false" ht="15" hidden="false" customHeight="false" outlineLevel="0" collapsed="false">
      <c r="A1326" s="16" t="n">
        <v>25.76402693</v>
      </c>
      <c r="B1326" s="16" t="n">
        <v>46.05122728</v>
      </c>
      <c r="C1326" s="16" t="n">
        <v>17.7225221566186</v>
      </c>
      <c r="D1326" s="6" t="s">
        <v>57</v>
      </c>
      <c r="E1326" s="6" t="s">
        <v>23</v>
      </c>
      <c r="F1326" s="6" t="s">
        <v>24</v>
      </c>
      <c r="G1326" s="6" t="s">
        <v>64</v>
      </c>
      <c r="H1326" s="6" t="s">
        <v>65</v>
      </c>
      <c r="I1326" s="6" t="str">
        <f aca="false">IF(A1326&lt;Outliers!$E$6,"Low",IF(A1326&gt;Outliers!$F$6,"High",""))</f>
        <v/>
      </c>
      <c r="J1326" s="6" t="str">
        <f aca="false">IF(B1326&lt;Outliers!$E$7,"Low",IF(B1326&gt;Outliers!$F$7,"High",""))</f>
        <v/>
      </c>
      <c r="K1326" s="6" t="str">
        <f aca="false">IF(C1326&lt;Outliers!$E$8,"Low",IF(C1326&gt;Outliers!$F$8,"High",""))</f>
        <v/>
      </c>
      <c r="L1326" s="6" t="str">
        <f aca="false">A1326&amp;";"&amp;B1326&amp;";"&amp;C1326</f>
        <v>25.76402693;46.05122728;17.7225221566186</v>
      </c>
      <c r="M1326" s="6" t="n">
        <f aca="false">IF(COUNTIF($L$2:$L$2201,L1326)&gt;1,1,0)</f>
        <v>0</v>
      </c>
      <c r="N1326" s="6" t="str">
        <f aca="false">IF(AND(C1326&lt;Assumptions!$B$9,B1326&lt;Assumptions!$B$10),"Irrigate Now",IF(AND(C1326&gt;=Assumptions!$B$11,B1326&gt;=Assumptions!$B$12),"No Irrigation Needed","Monitor"))</f>
        <v>Irrigate Now</v>
      </c>
      <c r="O1326" s="6" t="n">
        <f aca="false">IF(N1326=G1326,1,0)</f>
        <v>1</v>
      </c>
    </row>
    <row r="1327" customFormat="false" ht="15" hidden="false" customHeight="false" outlineLevel="0" collapsed="false">
      <c r="A1327" s="16" t="n">
        <v>25.85483596</v>
      </c>
      <c r="B1327" s="16" t="n">
        <v>46.85176955</v>
      </c>
      <c r="C1327" s="16" t="n">
        <v>16.7882029450312</v>
      </c>
      <c r="D1327" s="6" t="s">
        <v>57</v>
      </c>
      <c r="E1327" s="6" t="s">
        <v>23</v>
      </c>
      <c r="F1327" s="6" t="s">
        <v>24</v>
      </c>
      <c r="G1327" s="6" t="s">
        <v>64</v>
      </c>
      <c r="H1327" s="6" t="s">
        <v>65</v>
      </c>
      <c r="I1327" s="6" t="str">
        <f aca="false">IF(A1327&lt;Outliers!$E$6,"Low",IF(A1327&gt;Outliers!$F$6,"High",""))</f>
        <v/>
      </c>
      <c r="J1327" s="6" t="str">
        <f aca="false">IF(B1327&lt;Outliers!$E$7,"Low",IF(B1327&gt;Outliers!$F$7,"High",""))</f>
        <v/>
      </c>
      <c r="K1327" s="6" t="str">
        <f aca="false">IF(C1327&lt;Outliers!$E$8,"Low",IF(C1327&gt;Outliers!$F$8,"High",""))</f>
        <v/>
      </c>
      <c r="L1327" s="6" t="str">
        <f aca="false">A1327&amp;";"&amp;B1327&amp;";"&amp;C1327</f>
        <v>25.85483596;46.85176955;16.7882029450312</v>
      </c>
      <c r="M1327" s="6" t="n">
        <f aca="false">IF(COUNTIF($L$2:$L$2201,L1327)&gt;1,1,0)</f>
        <v>0</v>
      </c>
      <c r="N1327" s="6" t="str">
        <f aca="false">IF(AND(C1327&lt;Assumptions!$B$9,B1327&lt;Assumptions!$B$10),"Irrigate Now",IF(AND(C1327&gt;=Assumptions!$B$11,B1327&gt;=Assumptions!$B$12),"No Irrigation Needed","Monitor"))</f>
        <v>Irrigate Now</v>
      </c>
      <c r="O1327" s="6" t="n">
        <f aca="false">IF(N1327=G1327,1,0)</f>
        <v>1</v>
      </c>
    </row>
    <row r="1328" customFormat="false" ht="15" hidden="false" customHeight="false" outlineLevel="0" collapsed="false">
      <c r="A1328" s="16" t="n">
        <v>24.33528185</v>
      </c>
      <c r="B1328" s="16" t="n">
        <v>48.32113628</v>
      </c>
      <c r="C1328" s="16" t="n">
        <v>17.4371420145436</v>
      </c>
      <c r="D1328" s="6" t="s">
        <v>57</v>
      </c>
      <c r="E1328" s="6" t="s">
        <v>23</v>
      </c>
      <c r="F1328" s="6" t="s">
        <v>24</v>
      </c>
      <c r="G1328" s="6" t="s">
        <v>64</v>
      </c>
      <c r="H1328" s="6" t="s">
        <v>65</v>
      </c>
      <c r="I1328" s="6" t="str">
        <f aca="false">IF(A1328&lt;Outliers!$E$6,"Low",IF(A1328&gt;Outliers!$F$6,"High",""))</f>
        <v/>
      </c>
      <c r="J1328" s="6" t="str">
        <f aca="false">IF(B1328&lt;Outliers!$E$7,"Low",IF(B1328&gt;Outliers!$F$7,"High",""))</f>
        <v/>
      </c>
      <c r="K1328" s="6" t="str">
        <f aca="false">IF(C1328&lt;Outliers!$E$8,"Low",IF(C1328&gt;Outliers!$F$8,"High",""))</f>
        <v/>
      </c>
      <c r="L1328" s="6" t="str">
        <f aca="false">A1328&amp;";"&amp;B1328&amp;";"&amp;C1328</f>
        <v>24.33528185;48.32113628;17.4371420145436</v>
      </c>
      <c r="M1328" s="6" t="n">
        <f aca="false">IF(COUNTIF($L$2:$L$2201,L1328)&gt;1,1,0)</f>
        <v>0</v>
      </c>
      <c r="N1328" s="6" t="str">
        <f aca="false">IF(AND(C1328&lt;Assumptions!$B$9,B1328&lt;Assumptions!$B$10),"Irrigate Now",IF(AND(C1328&gt;=Assumptions!$B$11,B1328&gt;=Assumptions!$B$12),"No Irrigation Needed","Monitor"))</f>
        <v>Irrigate Now</v>
      </c>
      <c r="O1328" s="6" t="n">
        <f aca="false">IF(N1328=G1328,1,0)</f>
        <v>1</v>
      </c>
    </row>
    <row r="1329" customFormat="false" ht="15" hidden="false" customHeight="false" outlineLevel="0" collapsed="false">
      <c r="A1329" s="16" t="n">
        <v>25.37601283</v>
      </c>
      <c r="B1329" s="16" t="n">
        <v>57.23028471</v>
      </c>
      <c r="C1329" s="16" t="n">
        <v>18.0843133408138</v>
      </c>
      <c r="D1329" s="6" t="s">
        <v>57</v>
      </c>
      <c r="E1329" s="6" t="s">
        <v>57</v>
      </c>
      <c r="F1329" s="6" t="s">
        <v>24</v>
      </c>
      <c r="G1329" s="6" t="s">
        <v>61</v>
      </c>
      <c r="H1329" s="6" t="s">
        <v>63</v>
      </c>
      <c r="I1329" s="6" t="str">
        <f aca="false">IF(A1329&lt;Outliers!$E$6,"Low",IF(A1329&gt;Outliers!$F$6,"High",""))</f>
        <v/>
      </c>
      <c r="J1329" s="6" t="str">
        <f aca="false">IF(B1329&lt;Outliers!$E$7,"Low",IF(B1329&gt;Outliers!$F$7,"High",""))</f>
        <v/>
      </c>
      <c r="K1329" s="6" t="str">
        <f aca="false">IF(C1329&lt;Outliers!$E$8,"Low",IF(C1329&gt;Outliers!$F$8,"High",""))</f>
        <v/>
      </c>
      <c r="L1329" s="6" t="str">
        <f aca="false">A1329&amp;";"&amp;B1329&amp;";"&amp;C1329</f>
        <v>25.37601283;57.23028471;18.0843133408138</v>
      </c>
      <c r="M1329" s="6" t="n">
        <f aca="false">IF(COUNTIF($L$2:$L$2201,L1329)&gt;1,1,0)</f>
        <v>0</v>
      </c>
      <c r="N1329" s="6" t="str">
        <f aca="false">IF(AND(C1329&lt;Assumptions!$B$9,B1329&lt;Assumptions!$B$10),"Irrigate Now",IF(AND(C1329&gt;=Assumptions!$B$11,B1329&gt;=Assumptions!$B$12),"No Irrigation Needed","Monitor"))</f>
        <v>Monitor</v>
      </c>
      <c r="O1329" s="6" t="n">
        <f aca="false">IF(N1329=G1329,1,0)</f>
        <v>1</v>
      </c>
    </row>
    <row r="1330" customFormat="false" ht="15" hidden="false" customHeight="false" outlineLevel="0" collapsed="false">
      <c r="A1330" s="16" t="n">
        <v>24.86094646</v>
      </c>
      <c r="B1330" s="16" t="n">
        <v>55.29563514</v>
      </c>
      <c r="C1330" s="16" t="n">
        <v>26.3789823810601</v>
      </c>
      <c r="D1330" s="6" t="s">
        <v>57</v>
      </c>
      <c r="E1330" s="6" t="s">
        <v>57</v>
      </c>
      <c r="F1330" s="6" t="s">
        <v>23</v>
      </c>
      <c r="G1330" s="6" t="s">
        <v>61</v>
      </c>
      <c r="H1330" s="6" t="s">
        <v>63</v>
      </c>
      <c r="I1330" s="6" t="str">
        <f aca="false">IF(A1330&lt;Outliers!$E$6,"Low",IF(A1330&gt;Outliers!$F$6,"High",""))</f>
        <v/>
      </c>
      <c r="J1330" s="6" t="str">
        <f aca="false">IF(B1330&lt;Outliers!$E$7,"Low",IF(B1330&gt;Outliers!$F$7,"High",""))</f>
        <v/>
      </c>
      <c r="K1330" s="6" t="str">
        <f aca="false">IF(C1330&lt;Outliers!$E$8,"Low",IF(C1330&gt;Outliers!$F$8,"High",""))</f>
        <v/>
      </c>
      <c r="L1330" s="6" t="str">
        <f aca="false">A1330&amp;";"&amp;B1330&amp;";"&amp;C1330</f>
        <v>24.86094646;55.29563514;26.3789823810601</v>
      </c>
      <c r="M1330" s="6" t="n">
        <f aca="false">IF(COUNTIF($L$2:$L$2201,L1330)&gt;1,1,0)</f>
        <v>0</v>
      </c>
      <c r="N1330" s="6" t="str">
        <f aca="false">IF(AND(C1330&lt;Assumptions!$B$9,B1330&lt;Assumptions!$B$10),"Irrigate Now",IF(AND(C1330&gt;=Assumptions!$B$11,B1330&gt;=Assumptions!$B$12),"No Irrigation Needed","Monitor"))</f>
        <v>Monitor</v>
      </c>
      <c r="O1330" s="6" t="n">
        <f aca="false">IF(N1330=G1330,1,0)</f>
        <v>1</v>
      </c>
    </row>
    <row r="1331" customFormat="false" ht="15" hidden="false" customHeight="false" outlineLevel="0" collapsed="false">
      <c r="A1331" s="16" t="n">
        <v>24.71885473</v>
      </c>
      <c r="B1331" s="16" t="n">
        <v>48.45978627</v>
      </c>
      <c r="C1331" s="16" t="n">
        <v>20.0265811065689</v>
      </c>
      <c r="D1331" s="6" t="s">
        <v>57</v>
      </c>
      <c r="E1331" s="6" t="s">
        <v>23</v>
      </c>
      <c r="F1331" s="6" t="s">
        <v>60</v>
      </c>
      <c r="G1331" s="6" t="s">
        <v>61</v>
      </c>
      <c r="H1331" s="6" t="s">
        <v>63</v>
      </c>
      <c r="I1331" s="6" t="str">
        <f aca="false">IF(A1331&lt;Outliers!$E$6,"Low",IF(A1331&gt;Outliers!$F$6,"High",""))</f>
        <v/>
      </c>
      <c r="J1331" s="6" t="str">
        <f aca="false">IF(B1331&lt;Outliers!$E$7,"Low",IF(B1331&gt;Outliers!$F$7,"High",""))</f>
        <v/>
      </c>
      <c r="K1331" s="6" t="str">
        <f aca="false">IF(C1331&lt;Outliers!$E$8,"Low",IF(C1331&gt;Outliers!$F$8,"High",""))</f>
        <v/>
      </c>
      <c r="L1331" s="6" t="str">
        <f aca="false">A1331&amp;";"&amp;B1331&amp;";"&amp;C1331</f>
        <v>24.71885473;48.45978627;20.0265811065689</v>
      </c>
      <c r="M1331" s="6" t="n">
        <f aca="false">IF(COUNTIF($L$2:$L$2201,L1331)&gt;1,1,0)</f>
        <v>0</v>
      </c>
      <c r="N1331" s="6" t="str">
        <f aca="false">IF(AND(C1331&lt;Assumptions!$B$9,B1331&lt;Assumptions!$B$10),"Irrigate Now",IF(AND(C1331&gt;=Assumptions!$B$11,B1331&gt;=Assumptions!$B$12),"No Irrigation Needed","Monitor"))</f>
        <v>Monitor</v>
      </c>
      <c r="O1331" s="6" t="n">
        <f aca="false">IF(N1331=G1331,1,0)</f>
        <v>1</v>
      </c>
    </row>
    <row r="1332" customFormat="false" ht="15" hidden="false" customHeight="false" outlineLevel="0" collapsed="false">
      <c r="A1332" s="16" t="n">
        <v>24.21495706</v>
      </c>
      <c r="B1332" s="16" t="n">
        <v>48.01138482</v>
      </c>
      <c r="C1332" s="16" t="n">
        <v>10.6840282944124</v>
      </c>
      <c r="D1332" s="6" t="s">
        <v>57</v>
      </c>
      <c r="E1332" s="6" t="s">
        <v>23</v>
      </c>
      <c r="F1332" s="6" t="s">
        <v>24</v>
      </c>
      <c r="G1332" s="6" t="s">
        <v>64</v>
      </c>
      <c r="H1332" s="6" t="s">
        <v>65</v>
      </c>
      <c r="I1332" s="6" t="str">
        <f aca="false">IF(A1332&lt;Outliers!$E$6,"Low",IF(A1332&gt;Outliers!$F$6,"High",""))</f>
        <v/>
      </c>
      <c r="J1332" s="6" t="str">
        <f aca="false">IF(B1332&lt;Outliers!$E$7,"Low",IF(B1332&gt;Outliers!$F$7,"High",""))</f>
        <v/>
      </c>
      <c r="K1332" s="6" t="str">
        <f aca="false">IF(C1332&lt;Outliers!$E$8,"Low",IF(C1332&gt;Outliers!$F$8,"High",""))</f>
        <v/>
      </c>
      <c r="L1332" s="6" t="str">
        <f aca="false">A1332&amp;";"&amp;B1332&amp;";"&amp;C1332</f>
        <v>24.21495706;48.01138482;10.6840282944124</v>
      </c>
      <c r="M1332" s="6" t="n">
        <f aca="false">IF(COUNTIF($L$2:$L$2201,L1332)&gt;1,1,0)</f>
        <v>0</v>
      </c>
      <c r="N1332" s="6" t="str">
        <f aca="false">IF(AND(C1332&lt;Assumptions!$B$9,B1332&lt;Assumptions!$B$10),"Irrigate Now",IF(AND(C1332&gt;=Assumptions!$B$11,B1332&gt;=Assumptions!$B$12),"No Irrigation Needed","Monitor"))</f>
        <v>Irrigate Now</v>
      </c>
      <c r="O1332" s="6" t="n">
        <f aca="false">IF(N1332=G1332,1,0)</f>
        <v>1</v>
      </c>
    </row>
    <row r="1333" customFormat="false" ht="15" hidden="false" customHeight="false" outlineLevel="0" collapsed="false">
      <c r="A1333" s="16" t="n">
        <v>25.81692236</v>
      </c>
      <c r="B1333" s="16" t="n">
        <v>54.82963379</v>
      </c>
      <c r="C1333" s="16" t="n">
        <v>19.7775613691079</v>
      </c>
      <c r="D1333" s="6" t="s">
        <v>57</v>
      </c>
      <c r="E1333" s="6" t="s">
        <v>57</v>
      </c>
      <c r="F1333" s="6" t="s">
        <v>60</v>
      </c>
      <c r="G1333" s="6" t="s">
        <v>61</v>
      </c>
      <c r="H1333" s="6" t="s">
        <v>63</v>
      </c>
      <c r="I1333" s="6" t="str">
        <f aca="false">IF(A1333&lt;Outliers!$E$6,"Low",IF(A1333&gt;Outliers!$F$6,"High",""))</f>
        <v/>
      </c>
      <c r="J1333" s="6" t="str">
        <f aca="false">IF(B1333&lt;Outliers!$E$7,"Low",IF(B1333&gt;Outliers!$F$7,"High",""))</f>
        <v/>
      </c>
      <c r="K1333" s="6" t="str">
        <f aca="false">IF(C1333&lt;Outliers!$E$8,"Low",IF(C1333&gt;Outliers!$F$8,"High",""))</f>
        <v/>
      </c>
      <c r="L1333" s="6" t="str">
        <f aca="false">A1333&amp;";"&amp;B1333&amp;";"&amp;C1333</f>
        <v>25.81692236;54.82963379;19.7775613691079</v>
      </c>
      <c r="M1333" s="6" t="n">
        <f aca="false">IF(COUNTIF($L$2:$L$2201,L1333)&gt;1,1,0)</f>
        <v>0</v>
      </c>
      <c r="N1333" s="6" t="str">
        <f aca="false">IF(AND(C1333&lt;Assumptions!$B$9,B1333&lt;Assumptions!$B$10),"Irrigate Now",IF(AND(C1333&gt;=Assumptions!$B$11,B1333&gt;=Assumptions!$B$12),"No Irrigation Needed","Monitor"))</f>
        <v>Monitor</v>
      </c>
      <c r="O1333" s="6" t="n">
        <f aca="false">IF(N1333=G1333,1,0)</f>
        <v>1</v>
      </c>
    </row>
    <row r="1334" customFormat="false" ht="15" hidden="false" customHeight="false" outlineLevel="0" collapsed="false">
      <c r="A1334" s="16" t="n">
        <v>24.47018505</v>
      </c>
      <c r="B1334" s="16" t="n">
        <v>57.26773002</v>
      </c>
      <c r="C1334" s="16" t="n">
        <v>19.5876953564312</v>
      </c>
      <c r="D1334" s="6" t="s">
        <v>57</v>
      </c>
      <c r="E1334" s="6" t="s">
        <v>57</v>
      </c>
      <c r="F1334" s="6" t="s">
        <v>60</v>
      </c>
      <c r="G1334" s="6" t="s">
        <v>61</v>
      </c>
      <c r="H1334" s="6" t="s">
        <v>63</v>
      </c>
      <c r="I1334" s="6" t="str">
        <f aca="false">IF(A1334&lt;Outliers!$E$6,"Low",IF(A1334&gt;Outliers!$F$6,"High",""))</f>
        <v/>
      </c>
      <c r="J1334" s="6" t="str">
        <f aca="false">IF(B1334&lt;Outliers!$E$7,"Low",IF(B1334&gt;Outliers!$F$7,"High",""))</f>
        <v/>
      </c>
      <c r="K1334" s="6" t="str">
        <f aca="false">IF(C1334&lt;Outliers!$E$8,"Low",IF(C1334&gt;Outliers!$F$8,"High",""))</f>
        <v/>
      </c>
      <c r="L1334" s="6" t="str">
        <f aca="false">A1334&amp;";"&amp;B1334&amp;";"&amp;C1334</f>
        <v>24.47018505;57.26773002;19.5876953564312</v>
      </c>
      <c r="M1334" s="6" t="n">
        <f aca="false">IF(COUNTIF($L$2:$L$2201,L1334)&gt;1,1,0)</f>
        <v>0</v>
      </c>
      <c r="N1334" s="6" t="str">
        <f aca="false">IF(AND(C1334&lt;Assumptions!$B$9,B1334&lt;Assumptions!$B$10),"Irrigate Now",IF(AND(C1334&gt;=Assumptions!$B$11,B1334&gt;=Assumptions!$B$12),"No Irrigation Needed","Monitor"))</f>
        <v>Monitor</v>
      </c>
      <c r="O1334" s="6" t="n">
        <f aca="false">IF(N1334=G1334,1,0)</f>
        <v>1</v>
      </c>
    </row>
    <row r="1335" customFormat="false" ht="15" hidden="false" customHeight="false" outlineLevel="0" collapsed="false">
      <c r="A1335" s="16" t="n">
        <v>24.13078816</v>
      </c>
      <c r="B1335" s="16" t="n">
        <v>51.19470197</v>
      </c>
      <c r="C1335" s="16" t="n">
        <v>25.4283183349796</v>
      </c>
      <c r="D1335" s="6" t="s">
        <v>57</v>
      </c>
      <c r="E1335" s="6" t="s">
        <v>57</v>
      </c>
      <c r="F1335" s="6" t="s">
        <v>60</v>
      </c>
      <c r="G1335" s="6" t="s">
        <v>61</v>
      </c>
      <c r="H1335" s="6" t="s">
        <v>63</v>
      </c>
      <c r="I1335" s="6" t="str">
        <f aca="false">IF(A1335&lt;Outliers!$E$6,"Low",IF(A1335&gt;Outliers!$F$6,"High",""))</f>
        <v/>
      </c>
      <c r="J1335" s="6" t="str">
        <f aca="false">IF(B1335&lt;Outliers!$E$7,"Low",IF(B1335&gt;Outliers!$F$7,"High",""))</f>
        <v/>
      </c>
      <c r="K1335" s="6" t="str">
        <f aca="false">IF(C1335&lt;Outliers!$E$8,"Low",IF(C1335&gt;Outliers!$F$8,"High",""))</f>
        <v/>
      </c>
      <c r="L1335" s="6" t="str">
        <f aca="false">A1335&amp;";"&amp;B1335&amp;";"&amp;C1335</f>
        <v>24.13078816;51.19470197;25.4283183349796</v>
      </c>
      <c r="M1335" s="6" t="n">
        <f aca="false">IF(COUNTIF($L$2:$L$2201,L1335)&gt;1,1,0)</f>
        <v>0</v>
      </c>
      <c r="N1335" s="6" t="str">
        <f aca="false">IF(AND(C1335&lt;Assumptions!$B$9,B1335&lt;Assumptions!$B$10),"Irrigate Now",IF(AND(C1335&gt;=Assumptions!$B$11,B1335&gt;=Assumptions!$B$12),"No Irrigation Needed","Monitor"))</f>
        <v>Monitor</v>
      </c>
      <c r="O1335" s="6" t="n">
        <f aca="false">IF(N1335=G1335,1,0)</f>
        <v>1</v>
      </c>
    </row>
    <row r="1336" customFormat="false" ht="15" hidden="false" customHeight="false" outlineLevel="0" collapsed="false">
      <c r="A1336" s="16" t="n">
        <v>26.1793464</v>
      </c>
      <c r="B1336" s="16" t="n">
        <v>49.43050977</v>
      </c>
      <c r="C1336" s="16" t="n">
        <v>17.2700742195586</v>
      </c>
      <c r="D1336" s="6" t="s">
        <v>57</v>
      </c>
      <c r="E1336" s="6" t="s">
        <v>23</v>
      </c>
      <c r="F1336" s="6" t="s">
        <v>24</v>
      </c>
      <c r="G1336" s="6" t="s">
        <v>64</v>
      </c>
      <c r="H1336" s="6" t="s">
        <v>65</v>
      </c>
      <c r="I1336" s="6" t="str">
        <f aca="false">IF(A1336&lt;Outliers!$E$6,"Low",IF(A1336&gt;Outliers!$F$6,"High",""))</f>
        <v/>
      </c>
      <c r="J1336" s="6" t="str">
        <f aca="false">IF(B1336&lt;Outliers!$E$7,"Low",IF(B1336&gt;Outliers!$F$7,"High",""))</f>
        <v/>
      </c>
      <c r="K1336" s="6" t="str">
        <f aca="false">IF(C1336&lt;Outliers!$E$8,"Low",IF(C1336&gt;Outliers!$F$8,"High",""))</f>
        <v/>
      </c>
      <c r="L1336" s="6" t="str">
        <f aca="false">A1336&amp;";"&amp;B1336&amp;";"&amp;C1336</f>
        <v>26.1793464;49.43050977;17.2700742195586</v>
      </c>
      <c r="M1336" s="6" t="n">
        <f aca="false">IF(COUNTIF($L$2:$L$2201,L1336)&gt;1,1,0)</f>
        <v>0</v>
      </c>
      <c r="N1336" s="6" t="str">
        <f aca="false">IF(AND(C1336&lt;Assumptions!$B$9,B1336&lt;Assumptions!$B$10),"Irrigate Now",IF(AND(C1336&gt;=Assumptions!$B$11,B1336&gt;=Assumptions!$B$12),"No Irrigation Needed","Monitor"))</f>
        <v>Irrigate Now</v>
      </c>
      <c r="O1336" s="6" t="n">
        <f aca="false">IF(N1336=G1336,1,0)</f>
        <v>1</v>
      </c>
    </row>
    <row r="1337" customFormat="false" ht="15" hidden="false" customHeight="false" outlineLevel="0" collapsed="false">
      <c r="A1337" s="16" t="n">
        <v>26.17668721</v>
      </c>
      <c r="B1337" s="16" t="n">
        <v>53.33484977</v>
      </c>
      <c r="C1337" s="16" t="n">
        <v>27.5536545439937</v>
      </c>
      <c r="D1337" s="6" t="s">
        <v>57</v>
      </c>
      <c r="E1337" s="6" t="s">
        <v>57</v>
      </c>
      <c r="F1337" s="6" t="s">
        <v>23</v>
      </c>
      <c r="G1337" s="6" t="s">
        <v>61</v>
      </c>
      <c r="H1337" s="6" t="s">
        <v>63</v>
      </c>
      <c r="I1337" s="6" t="str">
        <f aca="false">IF(A1337&lt;Outliers!$E$6,"Low",IF(A1337&gt;Outliers!$F$6,"High",""))</f>
        <v/>
      </c>
      <c r="J1337" s="6" t="str">
        <f aca="false">IF(B1337&lt;Outliers!$E$7,"Low",IF(B1337&gt;Outliers!$F$7,"High",""))</f>
        <v/>
      </c>
      <c r="K1337" s="6" t="str">
        <f aca="false">IF(C1337&lt;Outliers!$E$8,"Low",IF(C1337&gt;Outliers!$F$8,"High",""))</f>
        <v/>
      </c>
      <c r="L1337" s="6" t="str">
        <f aca="false">A1337&amp;";"&amp;B1337&amp;";"&amp;C1337</f>
        <v>26.17668721;53.33484977;27.5536545439937</v>
      </c>
      <c r="M1337" s="6" t="n">
        <f aca="false">IF(COUNTIF($L$2:$L$2201,L1337)&gt;1,1,0)</f>
        <v>0</v>
      </c>
      <c r="N1337" s="6" t="str">
        <f aca="false">IF(AND(C1337&lt;Assumptions!$B$9,B1337&lt;Assumptions!$B$10),"Irrigate Now",IF(AND(C1337&gt;=Assumptions!$B$11,B1337&gt;=Assumptions!$B$12),"No Irrigation Needed","Monitor"))</f>
        <v>Monitor</v>
      </c>
      <c r="O1337" s="6" t="n">
        <f aca="false">IF(N1337=G1337,1,0)</f>
        <v>1</v>
      </c>
    </row>
    <row r="1338" customFormat="false" ht="15" hidden="false" customHeight="false" outlineLevel="0" collapsed="false">
      <c r="A1338" s="16" t="n">
        <v>26.03867719</v>
      </c>
      <c r="B1338" s="16" t="n">
        <v>44.3993381</v>
      </c>
      <c r="C1338" s="16" t="n">
        <v>13.6029487019166</v>
      </c>
      <c r="D1338" s="6" t="s">
        <v>57</v>
      </c>
      <c r="E1338" s="6" t="s">
        <v>23</v>
      </c>
      <c r="F1338" s="6" t="s">
        <v>24</v>
      </c>
      <c r="G1338" s="6" t="s">
        <v>64</v>
      </c>
      <c r="H1338" s="6" t="s">
        <v>65</v>
      </c>
      <c r="I1338" s="6" t="str">
        <f aca="false">IF(A1338&lt;Outliers!$E$6,"Low",IF(A1338&gt;Outliers!$F$6,"High",""))</f>
        <v/>
      </c>
      <c r="J1338" s="6" t="str">
        <f aca="false">IF(B1338&lt;Outliers!$E$7,"Low",IF(B1338&gt;Outliers!$F$7,"High",""))</f>
        <v/>
      </c>
      <c r="K1338" s="6" t="str">
        <f aca="false">IF(C1338&lt;Outliers!$E$8,"Low",IF(C1338&gt;Outliers!$F$8,"High",""))</f>
        <v/>
      </c>
      <c r="L1338" s="6" t="str">
        <f aca="false">A1338&amp;";"&amp;B1338&amp;";"&amp;C1338</f>
        <v>26.03867719;44.3993381;13.6029487019166</v>
      </c>
      <c r="M1338" s="6" t="n">
        <f aca="false">IF(COUNTIF($L$2:$L$2201,L1338)&gt;1,1,0)</f>
        <v>0</v>
      </c>
      <c r="N1338" s="6" t="str">
        <f aca="false">IF(AND(C1338&lt;Assumptions!$B$9,B1338&lt;Assumptions!$B$10),"Irrigate Now",IF(AND(C1338&gt;=Assumptions!$B$11,B1338&gt;=Assumptions!$B$12),"No Irrigation Needed","Monitor"))</f>
        <v>Irrigate Now</v>
      </c>
      <c r="O1338" s="6" t="n">
        <f aca="false">IF(N1338=G1338,1,0)</f>
        <v>1</v>
      </c>
    </row>
    <row r="1339" customFormat="false" ht="15" hidden="false" customHeight="false" outlineLevel="0" collapsed="false">
      <c r="A1339" s="16" t="n">
        <v>26.53259325</v>
      </c>
      <c r="B1339" s="16" t="n">
        <v>54.30660782</v>
      </c>
      <c r="C1339" s="16" t="n">
        <v>21.6700567424866</v>
      </c>
      <c r="D1339" s="6" t="s">
        <v>57</v>
      </c>
      <c r="E1339" s="6" t="s">
        <v>57</v>
      </c>
      <c r="F1339" s="6" t="s">
        <v>60</v>
      </c>
      <c r="G1339" s="6" t="s">
        <v>61</v>
      </c>
      <c r="H1339" s="6" t="s">
        <v>63</v>
      </c>
      <c r="I1339" s="6" t="str">
        <f aca="false">IF(A1339&lt;Outliers!$E$6,"Low",IF(A1339&gt;Outliers!$F$6,"High",""))</f>
        <v/>
      </c>
      <c r="J1339" s="6" t="str">
        <f aca="false">IF(B1339&lt;Outliers!$E$7,"Low",IF(B1339&gt;Outliers!$F$7,"High",""))</f>
        <v/>
      </c>
      <c r="K1339" s="6" t="str">
        <f aca="false">IF(C1339&lt;Outliers!$E$8,"Low",IF(C1339&gt;Outliers!$F$8,"High",""))</f>
        <v/>
      </c>
      <c r="L1339" s="6" t="str">
        <f aca="false">A1339&amp;";"&amp;B1339&amp;";"&amp;C1339</f>
        <v>26.53259325;54.30660782;21.6700567424866</v>
      </c>
      <c r="M1339" s="6" t="n">
        <f aca="false">IF(COUNTIF($L$2:$L$2201,L1339)&gt;1,1,0)</f>
        <v>0</v>
      </c>
      <c r="N1339" s="6" t="str">
        <f aca="false">IF(AND(C1339&lt;Assumptions!$B$9,B1339&lt;Assumptions!$B$10),"Irrigate Now",IF(AND(C1339&gt;=Assumptions!$B$11,B1339&gt;=Assumptions!$B$12),"No Irrigation Needed","Monitor"))</f>
        <v>Monitor</v>
      </c>
      <c r="O1339" s="6" t="n">
        <f aca="false">IF(N1339=G1339,1,0)</f>
        <v>1</v>
      </c>
    </row>
    <row r="1340" customFormat="false" ht="15" hidden="false" customHeight="false" outlineLevel="0" collapsed="false">
      <c r="A1340" s="16" t="n">
        <v>26.81938687</v>
      </c>
      <c r="B1340" s="16" t="n">
        <v>46.06193778</v>
      </c>
      <c r="C1340" s="16" t="n">
        <v>21.8190160825586</v>
      </c>
      <c r="D1340" s="6" t="s">
        <v>57</v>
      </c>
      <c r="E1340" s="6" t="s">
        <v>23</v>
      </c>
      <c r="F1340" s="6" t="s">
        <v>60</v>
      </c>
      <c r="G1340" s="6" t="s">
        <v>61</v>
      </c>
      <c r="H1340" s="6" t="s">
        <v>63</v>
      </c>
      <c r="I1340" s="6" t="str">
        <f aca="false">IF(A1340&lt;Outliers!$E$6,"Low",IF(A1340&gt;Outliers!$F$6,"High",""))</f>
        <v/>
      </c>
      <c r="J1340" s="6" t="str">
        <f aca="false">IF(B1340&lt;Outliers!$E$7,"Low",IF(B1340&gt;Outliers!$F$7,"High",""))</f>
        <v/>
      </c>
      <c r="K1340" s="6" t="str">
        <f aca="false">IF(C1340&lt;Outliers!$E$8,"Low",IF(C1340&gt;Outliers!$F$8,"High",""))</f>
        <v/>
      </c>
      <c r="L1340" s="6" t="str">
        <f aca="false">A1340&amp;";"&amp;B1340&amp;";"&amp;C1340</f>
        <v>26.81938687;46.06193778;21.8190160825586</v>
      </c>
      <c r="M1340" s="6" t="n">
        <f aca="false">IF(COUNTIF($L$2:$L$2201,L1340)&gt;1,1,0)</f>
        <v>0</v>
      </c>
      <c r="N1340" s="6" t="str">
        <f aca="false">IF(AND(C1340&lt;Assumptions!$B$9,B1340&lt;Assumptions!$B$10),"Irrigate Now",IF(AND(C1340&gt;=Assumptions!$B$11,B1340&gt;=Assumptions!$B$12),"No Irrigation Needed","Monitor"))</f>
        <v>Monitor</v>
      </c>
      <c r="O1340" s="6" t="n">
        <f aca="false">IF(N1340=G1340,1,0)</f>
        <v>1</v>
      </c>
    </row>
    <row r="1341" customFormat="false" ht="15" hidden="false" customHeight="false" outlineLevel="0" collapsed="false">
      <c r="A1341" s="16" t="n">
        <v>25.50405534</v>
      </c>
      <c r="B1341" s="16" t="n">
        <v>48.47833278</v>
      </c>
      <c r="C1341" s="16" t="n">
        <v>19.8271114742974</v>
      </c>
      <c r="D1341" s="6" t="s">
        <v>57</v>
      </c>
      <c r="E1341" s="6" t="s">
        <v>23</v>
      </c>
      <c r="F1341" s="6" t="s">
        <v>60</v>
      </c>
      <c r="G1341" s="6" t="s">
        <v>61</v>
      </c>
      <c r="H1341" s="6" t="s">
        <v>63</v>
      </c>
      <c r="I1341" s="6" t="str">
        <f aca="false">IF(A1341&lt;Outliers!$E$6,"Low",IF(A1341&gt;Outliers!$F$6,"High",""))</f>
        <v/>
      </c>
      <c r="J1341" s="6" t="str">
        <f aca="false">IF(B1341&lt;Outliers!$E$7,"Low",IF(B1341&gt;Outliers!$F$7,"High",""))</f>
        <v/>
      </c>
      <c r="K1341" s="6" t="str">
        <f aca="false">IF(C1341&lt;Outliers!$E$8,"Low",IF(C1341&gt;Outliers!$F$8,"High",""))</f>
        <v/>
      </c>
      <c r="L1341" s="6" t="str">
        <f aca="false">A1341&amp;";"&amp;B1341&amp;";"&amp;C1341</f>
        <v>25.50405534;48.47833278;19.8271114742974</v>
      </c>
      <c r="M1341" s="6" t="n">
        <f aca="false">IF(COUNTIF($L$2:$L$2201,L1341)&gt;1,1,0)</f>
        <v>0</v>
      </c>
      <c r="N1341" s="6" t="str">
        <f aca="false">IF(AND(C1341&lt;Assumptions!$B$9,B1341&lt;Assumptions!$B$10),"Irrigate Now",IF(AND(C1341&gt;=Assumptions!$B$11,B1341&gt;=Assumptions!$B$12),"No Irrigation Needed","Monitor"))</f>
        <v>Monitor</v>
      </c>
      <c r="O1341" s="6" t="n">
        <f aca="false">IF(N1341=G1341,1,0)</f>
        <v>1</v>
      </c>
    </row>
    <row r="1342" customFormat="false" ht="15" hidden="false" customHeight="false" outlineLevel="0" collapsed="false">
      <c r="A1342" s="16" t="n">
        <v>26.20234499</v>
      </c>
      <c r="B1342" s="16" t="n">
        <v>56.47941847</v>
      </c>
      <c r="C1342" s="16" t="n">
        <v>22.0300127249508</v>
      </c>
      <c r="D1342" s="6" t="s">
        <v>57</v>
      </c>
      <c r="E1342" s="6" t="s">
        <v>57</v>
      </c>
      <c r="F1342" s="6" t="s">
        <v>60</v>
      </c>
      <c r="G1342" s="6" t="s">
        <v>61</v>
      </c>
      <c r="H1342" s="6" t="s">
        <v>63</v>
      </c>
      <c r="I1342" s="6" t="str">
        <f aca="false">IF(A1342&lt;Outliers!$E$6,"Low",IF(A1342&gt;Outliers!$F$6,"High",""))</f>
        <v/>
      </c>
      <c r="J1342" s="6" t="str">
        <f aca="false">IF(B1342&lt;Outliers!$E$7,"Low",IF(B1342&gt;Outliers!$F$7,"High",""))</f>
        <v/>
      </c>
      <c r="K1342" s="6" t="str">
        <f aca="false">IF(C1342&lt;Outliers!$E$8,"Low",IF(C1342&gt;Outliers!$F$8,"High",""))</f>
        <v/>
      </c>
      <c r="L1342" s="6" t="str">
        <f aca="false">A1342&amp;";"&amp;B1342&amp;";"&amp;C1342</f>
        <v>26.20234499;56.47941847;22.0300127249508</v>
      </c>
      <c r="M1342" s="6" t="n">
        <f aca="false">IF(COUNTIF($L$2:$L$2201,L1342)&gt;1,1,0)</f>
        <v>0</v>
      </c>
      <c r="N1342" s="6" t="str">
        <f aca="false">IF(AND(C1342&lt;Assumptions!$B$9,B1342&lt;Assumptions!$B$10),"Irrigate Now",IF(AND(C1342&gt;=Assumptions!$B$11,B1342&gt;=Assumptions!$B$12),"No Irrigation Needed","Monitor"))</f>
        <v>Monitor</v>
      </c>
      <c r="O1342" s="6" t="n">
        <f aca="false">IF(N1342=G1342,1,0)</f>
        <v>1</v>
      </c>
    </row>
    <row r="1343" customFormat="false" ht="15" hidden="false" customHeight="false" outlineLevel="0" collapsed="false">
      <c r="A1343" s="16" t="n">
        <v>25.13735887</v>
      </c>
      <c r="B1343" s="16" t="n">
        <v>43.52897517</v>
      </c>
      <c r="C1343" s="16" t="n">
        <v>19.7359229196055</v>
      </c>
      <c r="D1343" s="6" t="s">
        <v>57</v>
      </c>
      <c r="E1343" s="6" t="s">
        <v>23</v>
      </c>
      <c r="F1343" s="6" t="s">
        <v>60</v>
      </c>
      <c r="G1343" s="6" t="s">
        <v>61</v>
      </c>
      <c r="H1343" s="6" t="s">
        <v>63</v>
      </c>
      <c r="I1343" s="6" t="str">
        <f aca="false">IF(A1343&lt;Outliers!$E$6,"Low",IF(A1343&gt;Outliers!$F$6,"High",""))</f>
        <v/>
      </c>
      <c r="J1343" s="6" t="str">
        <f aca="false">IF(B1343&lt;Outliers!$E$7,"Low",IF(B1343&gt;Outliers!$F$7,"High",""))</f>
        <v/>
      </c>
      <c r="K1343" s="6" t="str">
        <f aca="false">IF(C1343&lt;Outliers!$E$8,"Low",IF(C1343&gt;Outliers!$F$8,"High",""))</f>
        <v/>
      </c>
      <c r="L1343" s="6" t="str">
        <f aca="false">A1343&amp;";"&amp;B1343&amp;";"&amp;C1343</f>
        <v>25.13735887;43.52897517;19.7359229196055</v>
      </c>
      <c r="M1343" s="6" t="n">
        <f aca="false">IF(COUNTIF($L$2:$L$2201,L1343)&gt;1,1,0)</f>
        <v>0</v>
      </c>
      <c r="N1343" s="6" t="str">
        <f aca="false">IF(AND(C1343&lt;Assumptions!$B$9,B1343&lt;Assumptions!$B$10),"Irrigate Now",IF(AND(C1343&gt;=Assumptions!$B$11,B1343&gt;=Assumptions!$B$12),"No Irrigation Needed","Monitor"))</f>
        <v>Monitor</v>
      </c>
      <c r="O1343" s="6" t="n">
        <f aca="false">IF(N1343=G1343,1,0)</f>
        <v>1</v>
      </c>
    </row>
    <row r="1344" customFormat="false" ht="15" hidden="false" customHeight="false" outlineLevel="0" collapsed="false">
      <c r="A1344" s="16" t="n">
        <v>25.92030221</v>
      </c>
      <c r="B1344" s="16" t="n">
        <v>42.10681516</v>
      </c>
      <c r="C1344" s="16" t="n">
        <v>21.2943556994534</v>
      </c>
      <c r="D1344" s="6" t="s">
        <v>57</v>
      </c>
      <c r="E1344" s="6" t="s">
        <v>23</v>
      </c>
      <c r="F1344" s="6" t="s">
        <v>60</v>
      </c>
      <c r="G1344" s="6" t="s">
        <v>61</v>
      </c>
      <c r="H1344" s="6" t="s">
        <v>63</v>
      </c>
      <c r="I1344" s="6" t="str">
        <f aca="false">IF(A1344&lt;Outliers!$E$6,"Low",IF(A1344&gt;Outliers!$F$6,"High",""))</f>
        <v/>
      </c>
      <c r="J1344" s="6" t="str">
        <f aca="false">IF(B1344&lt;Outliers!$E$7,"Low",IF(B1344&gt;Outliers!$F$7,"High",""))</f>
        <v/>
      </c>
      <c r="K1344" s="6" t="str">
        <f aca="false">IF(C1344&lt;Outliers!$E$8,"Low",IF(C1344&gt;Outliers!$F$8,"High",""))</f>
        <v/>
      </c>
      <c r="L1344" s="6" t="str">
        <f aca="false">A1344&amp;";"&amp;B1344&amp;";"&amp;C1344</f>
        <v>25.92030221;42.10681516;21.2943556994534</v>
      </c>
      <c r="M1344" s="6" t="n">
        <f aca="false">IF(COUNTIF($L$2:$L$2201,L1344)&gt;1,1,0)</f>
        <v>0</v>
      </c>
      <c r="N1344" s="6" t="str">
        <f aca="false">IF(AND(C1344&lt;Assumptions!$B$9,B1344&lt;Assumptions!$B$10),"Irrigate Now",IF(AND(C1344&gt;=Assumptions!$B$11,B1344&gt;=Assumptions!$B$12),"No Irrigation Needed","Monitor"))</f>
        <v>Monitor</v>
      </c>
      <c r="O1344" s="6" t="n">
        <f aca="false">IF(N1344=G1344,1,0)</f>
        <v>1</v>
      </c>
    </row>
    <row r="1345" customFormat="false" ht="15" hidden="false" customHeight="false" outlineLevel="0" collapsed="false">
      <c r="A1345" s="16" t="n">
        <v>26.6634609</v>
      </c>
      <c r="B1345" s="16" t="n">
        <v>57.40847165</v>
      </c>
      <c r="C1345" s="16" t="n">
        <v>10.1904711884006</v>
      </c>
      <c r="D1345" s="6" t="s">
        <v>57</v>
      </c>
      <c r="E1345" s="6" t="s">
        <v>57</v>
      </c>
      <c r="F1345" s="6" t="s">
        <v>24</v>
      </c>
      <c r="G1345" s="6" t="s">
        <v>64</v>
      </c>
      <c r="H1345" s="6" t="s">
        <v>65</v>
      </c>
      <c r="I1345" s="6" t="str">
        <f aca="false">IF(A1345&lt;Outliers!$E$6,"Low",IF(A1345&gt;Outliers!$F$6,"High",""))</f>
        <v/>
      </c>
      <c r="J1345" s="6" t="str">
        <f aca="false">IF(B1345&lt;Outliers!$E$7,"Low",IF(B1345&gt;Outliers!$F$7,"High",""))</f>
        <v/>
      </c>
      <c r="K1345" s="6" t="str">
        <f aca="false">IF(C1345&lt;Outliers!$E$8,"Low",IF(C1345&gt;Outliers!$F$8,"High",""))</f>
        <v/>
      </c>
      <c r="L1345" s="6" t="str">
        <f aca="false">A1345&amp;";"&amp;B1345&amp;";"&amp;C1345</f>
        <v>26.6634609;57.40847165;10.1904711884006</v>
      </c>
      <c r="M1345" s="6" t="n">
        <f aca="false">IF(COUNTIF($L$2:$L$2201,L1345)&gt;1,1,0)</f>
        <v>0</v>
      </c>
      <c r="N1345" s="6" t="str">
        <f aca="false">IF(AND(C1345&lt;Assumptions!$B$9,B1345&lt;Assumptions!$B$10),"Irrigate Now",IF(AND(C1345&gt;=Assumptions!$B$11,B1345&gt;=Assumptions!$B$12),"No Irrigation Needed","Monitor"))</f>
        <v>Irrigate Now</v>
      </c>
      <c r="O1345" s="6" t="n">
        <f aca="false">IF(N1345=G1345,1,0)</f>
        <v>1</v>
      </c>
    </row>
    <row r="1346" customFormat="false" ht="15" hidden="false" customHeight="false" outlineLevel="0" collapsed="false">
      <c r="A1346" s="16" t="n">
        <v>24.06731461</v>
      </c>
      <c r="B1346" s="16" t="n">
        <v>51.75212401</v>
      </c>
      <c r="C1346" s="16" t="n">
        <v>12.0863404697022</v>
      </c>
      <c r="D1346" s="6" t="s">
        <v>57</v>
      </c>
      <c r="E1346" s="6" t="s">
        <v>57</v>
      </c>
      <c r="F1346" s="6" t="s">
        <v>24</v>
      </c>
      <c r="G1346" s="6" t="s">
        <v>64</v>
      </c>
      <c r="H1346" s="6" t="s">
        <v>65</v>
      </c>
      <c r="I1346" s="6" t="str">
        <f aca="false">IF(A1346&lt;Outliers!$E$6,"Low",IF(A1346&gt;Outliers!$F$6,"High",""))</f>
        <v/>
      </c>
      <c r="J1346" s="6" t="str">
        <f aca="false">IF(B1346&lt;Outliers!$E$7,"Low",IF(B1346&gt;Outliers!$F$7,"High",""))</f>
        <v/>
      </c>
      <c r="K1346" s="6" t="str">
        <f aca="false">IF(C1346&lt;Outliers!$E$8,"Low",IF(C1346&gt;Outliers!$F$8,"High",""))</f>
        <v/>
      </c>
      <c r="L1346" s="6" t="str">
        <f aca="false">A1346&amp;";"&amp;B1346&amp;";"&amp;C1346</f>
        <v>24.06731461;51.75212401;12.0863404697022</v>
      </c>
      <c r="M1346" s="6" t="n">
        <f aca="false">IF(COUNTIF($L$2:$L$2201,L1346)&gt;1,1,0)</f>
        <v>0</v>
      </c>
      <c r="N1346" s="6" t="str">
        <f aca="false">IF(AND(C1346&lt;Assumptions!$B$9,B1346&lt;Assumptions!$B$10),"Irrigate Now",IF(AND(C1346&gt;=Assumptions!$B$11,B1346&gt;=Assumptions!$B$12),"No Irrigation Needed","Monitor"))</f>
        <v>Irrigate Now</v>
      </c>
      <c r="O1346" s="6" t="n">
        <f aca="false">IF(N1346=G1346,1,0)</f>
        <v>1</v>
      </c>
    </row>
    <row r="1347" customFormat="false" ht="15" hidden="false" customHeight="false" outlineLevel="0" collapsed="false">
      <c r="A1347" s="16" t="n">
        <v>24.6774157</v>
      </c>
      <c r="B1347" s="16" t="n">
        <v>57.05709413</v>
      </c>
      <c r="C1347" s="16" t="n">
        <v>15.7482560579656</v>
      </c>
      <c r="D1347" s="6" t="s">
        <v>57</v>
      </c>
      <c r="E1347" s="6" t="s">
        <v>57</v>
      </c>
      <c r="F1347" s="6" t="s">
        <v>24</v>
      </c>
      <c r="G1347" s="6" t="s">
        <v>64</v>
      </c>
      <c r="H1347" s="6" t="s">
        <v>65</v>
      </c>
      <c r="I1347" s="6" t="str">
        <f aca="false">IF(A1347&lt;Outliers!$E$6,"Low",IF(A1347&gt;Outliers!$F$6,"High",""))</f>
        <v/>
      </c>
      <c r="J1347" s="6" t="str">
        <f aca="false">IF(B1347&lt;Outliers!$E$7,"Low",IF(B1347&gt;Outliers!$F$7,"High",""))</f>
        <v/>
      </c>
      <c r="K1347" s="6" t="str">
        <f aca="false">IF(C1347&lt;Outliers!$E$8,"Low",IF(C1347&gt;Outliers!$F$8,"High",""))</f>
        <v/>
      </c>
      <c r="L1347" s="6" t="str">
        <f aca="false">A1347&amp;";"&amp;B1347&amp;";"&amp;C1347</f>
        <v>24.6774157;57.05709413;15.7482560579656</v>
      </c>
      <c r="M1347" s="6" t="n">
        <f aca="false">IF(COUNTIF($L$2:$L$2201,L1347)&gt;1,1,0)</f>
        <v>0</v>
      </c>
      <c r="N1347" s="6" t="str">
        <f aca="false">IF(AND(C1347&lt;Assumptions!$B$9,B1347&lt;Assumptions!$B$10),"Irrigate Now",IF(AND(C1347&gt;=Assumptions!$B$11,B1347&gt;=Assumptions!$B$12),"No Irrigation Needed","Monitor"))</f>
        <v>Irrigate Now</v>
      </c>
      <c r="O1347" s="6" t="n">
        <f aca="false">IF(N1347=G1347,1,0)</f>
        <v>1</v>
      </c>
    </row>
    <row r="1348" customFormat="false" ht="15" hidden="false" customHeight="false" outlineLevel="0" collapsed="false">
      <c r="A1348" s="16" t="n">
        <v>26.11440416</v>
      </c>
      <c r="B1348" s="16" t="n">
        <v>58.48160844</v>
      </c>
      <c r="C1348" s="16" t="n">
        <v>23.7209001936867</v>
      </c>
      <c r="D1348" s="6" t="s">
        <v>57</v>
      </c>
      <c r="E1348" s="6" t="s">
        <v>57</v>
      </c>
      <c r="F1348" s="6" t="s">
        <v>60</v>
      </c>
      <c r="G1348" s="6" t="s">
        <v>61</v>
      </c>
      <c r="H1348" s="6" t="s">
        <v>63</v>
      </c>
      <c r="I1348" s="6" t="str">
        <f aca="false">IF(A1348&lt;Outliers!$E$6,"Low",IF(A1348&gt;Outliers!$F$6,"High",""))</f>
        <v/>
      </c>
      <c r="J1348" s="6" t="str">
        <f aca="false">IF(B1348&lt;Outliers!$E$7,"Low",IF(B1348&gt;Outliers!$F$7,"High",""))</f>
        <v/>
      </c>
      <c r="K1348" s="6" t="str">
        <f aca="false">IF(C1348&lt;Outliers!$E$8,"Low",IF(C1348&gt;Outliers!$F$8,"High",""))</f>
        <v/>
      </c>
      <c r="L1348" s="6" t="str">
        <f aca="false">A1348&amp;";"&amp;B1348&amp;";"&amp;C1348</f>
        <v>26.11440416;58.48160844;23.7209001936867</v>
      </c>
      <c r="M1348" s="6" t="n">
        <f aca="false">IF(COUNTIF($L$2:$L$2201,L1348)&gt;1,1,0)</f>
        <v>0</v>
      </c>
      <c r="N1348" s="6" t="str">
        <f aca="false">IF(AND(C1348&lt;Assumptions!$B$9,B1348&lt;Assumptions!$B$10),"Irrigate Now",IF(AND(C1348&gt;=Assumptions!$B$11,B1348&gt;=Assumptions!$B$12),"No Irrigation Needed","Monitor"))</f>
        <v>Monitor</v>
      </c>
      <c r="O1348" s="6" t="n">
        <f aca="false">IF(N1348=G1348,1,0)</f>
        <v>1</v>
      </c>
    </row>
    <row r="1349" customFormat="false" ht="15" hidden="false" customHeight="false" outlineLevel="0" collapsed="false">
      <c r="A1349" s="16" t="n">
        <v>26.81530456</v>
      </c>
      <c r="B1349" s="16" t="n">
        <v>55.74073582</v>
      </c>
      <c r="C1349" s="16" t="n">
        <v>17.7495933564333</v>
      </c>
      <c r="D1349" s="6" t="s">
        <v>57</v>
      </c>
      <c r="E1349" s="6" t="s">
        <v>57</v>
      </c>
      <c r="F1349" s="6" t="s">
        <v>24</v>
      </c>
      <c r="G1349" s="6" t="s">
        <v>64</v>
      </c>
      <c r="H1349" s="6" t="s">
        <v>65</v>
      </c>
      <c r="I1349" s="6" t="str">
        <f aca="false">IF(A1349&lt;Outliers!$E$6,"Low",IF(A1349&gt;Outliers!$F$6,"High",""))</f>
        <v/>
      </c>
      <c r="J1349" s="6" t="str">
        <f aca="false">IF(B1349&lt;Outliers!$E$7,"Low",IF(B1349&gt;Outliers!$F$7,"High",""))</f>
        <v/>
      </c>
      <c r="K1349" s="6" t="str">
        <f aca="false">IF(C1349&lt;Outliers!$E$8,"Low",IF(C1349&gt;Outliers!$F$8,"High",""))</f>
        <v/>
      </c>
      <c r="L1349" s="6" t="str">
        <f aca="false">A1349&amp;";"&amp;B1349&amp;";"&amp;C1349</f>
        <v>26.81530456;55.74073582;17.7495933564333</v>
      </c>
      <c r="M1349" s="6" t="n">
        <f aca="false">IF(COUNTIF($L$2:$L$2201,L1349)&gt;1,1,0)</f>
        <v>0</v>
      </c>
      <c r="N1349" s="6" t="str">
        <f aca="false">IF(AND(C1349&lt;Assumptions!$B$9,B1349&lt;Assumptions!$B$10),"Irrigate Now",IF(AND(C1349&gt;=Assumptions!$B$11,B1349&gt;=Assumptions!$B$12),"No Irrigation Needed","Monitor"))</f>
        <v>Irrigate Now</v>
      </c>
      <c r="O1349" s="6" t="n">
        <f aca="false">IF(N1349=G1349,1,0)</f>
        <v>1</v>
      </c>
    </row>
    <row r="1350" customFormat="false" ht="15" hidden="false" customHeight="false" outlineLevel="0" collapsed="false">
      <c r="A1350" s="16" t="n">
        <v>25.15623099</v>
      </c>
      <c r="B1350" s="16" t="n">
        <v>55.49541453</v>
      </c>
      <c r="C1350" s="16" t="n">
        <v>27.3877448409049</v>
      </c>
      <c r="D1350" s="6" t="s">
        <v>57</v>
      </c>
      <c r="E1350" s="6" t="s">
        <v>57</v>
      </c>
      <c r="F1350" s="6" t="s">
        <v>23</v>
      </c>
      <c r="G1350" s="6" t="s">
        <v>61</v>
      </c>
      <c r="H1350" s="6" t="s">
        <v>63</v>
      </c>
      <c r="I1350" s="6" t="str">
        <f aca="false">IF(A1350&lt;Outliers!$E$6,"Low",IF(A1350&gt;Outliers!$F$6,"High",""))</f>
        <v/>
      </c>
      <c r="J1350" s="6" t="str">
        <f aca="false">IF(B1350&lt;Outliers!$E$7,"Low",IF(B1350&gt;Outliers!$F$7,"High",""))</f>
        <v/>
      </c>
      <c r="K1350" s="6" t="str">
        <f aca="false">IF(C1350&lt;Outliers!$E$8,"Low",IF(C1350&gt;Outliers!$F$8,"High",""))</f>
        <v/>
      </c>
      <c r="L1350" s="6" t="str">
        <f aca="false">A1350&amp;";"&amp;B1350&amp;";"&amp;C1350</f>
        <v>25.15623099;55.49541453;27.3877448409049</v>
      </c>
      <c r="M1350" s="6" t="n">
        <f aca="false">IF(COUNTIF($L$2:$L$2201,L1350)&gt;1,1,0)</f>
        <v>0</v>
      </c>
      <c r="N1350" s="6" t="str">
        <f aca="false">IF(AND(C1350&lt;Assumptions!$B$9,B1350&lt;Assumptions!$B$10),"Irrigate Now",IF(AND(C1350&gt;=Assumptions!$B$11,B1350&gt;=Assumptions!$B$12),"No Irrigation Needed","Monitor"))</f>
        <v>Monitor</v>
      </c>
      <c r="O1350" s="6" t="n">
        <f aca="false">IF(N1350=G1350,1,0)</f>
        <v>1</v>
      </c>
    </row>
    <row r="1351" customFormat="false" ht="15" hidden="false" customHeight="false" outlineLevel="0" collapsed="false">
      <c r="A1351" s="16" t="n">
        <v>25.2801372</v>
      </c>
      <c r="B1351" s="16" t="n">
        <v>49.29456609</v>
      </c>
      <c r="C1351" s="16" t="n">
        <v>20.0723480462421</v>
      </c>
      <c r="D1351" s="6" t="s">
        <v>57</v>
      </c>
      <c r="E1351" s="6" t="s">
        <v>23</v>
      </c>
      <c r="F1351" s="6" t="s">
        <v>60</v>
      </c>
      <c r="G1351" s="6" t="s">
        <v>61</v>
      </c>
      <c r="H1351" s="6" t="s">
        <v>63</v>
      </c>
      <c r="I1351" s="6" t="str">
        <f aca="false">IF(A1351&lt;Outliers!$E$6,"Low",IF(A1351&gt;Outliers!$F$6,"High",""))</f>
        <v/>
      </c>
      <c r="J1351" s="6" t="str">
        <f aca="false">IF(B1351&lt;Outliers!$E$7,"Low",IF(B1351&gt;Outliers!$F$7,"High",""))</f>
        <v/>
      </c>
      <c r="K1351" s="6" t="str">
        <f aca="false">IF(C1351&lt;Outliers!$E$8,"Low",IF(C1351&gt;Outliers!$F$8,"High",""))</f>
        <v/>
      </c>
      <c r="L1351" s="6" t="str">
        <f aca="false">A1351&amp;";"&amp;B1351&amp;";"&amp;C1351</f>
        <v>25.2801372;49.29456609;20.0723480462421</v>
      </c>
      <c r="M1351" s="6" t="n">
        <f aca="false">IF(COUNTIF($L$2:$L$2201,L1351)&gt;1,1,0)</f>
        <v>0</v>
      </c>
      <c r="N1351" s="6" t="str">
        <f aca="false">IF(AND(C1351&lt;Assumptions!$B$9,B1351&lt;Assumptions!$B$10),"Irrigate Now",IF(AND(C1351&gt;=Assumptions!$B$11,B1351&gt;=Assumptions!$B$12),"No Irrigation Needed","Monitor"))</f>
        <v>Monitor</v>
      </c>
      <c r="O1351" s="6" t="n">
        <f aca="false">IF(N1351=G1351,1,0)</f>
        <v>1</v>
      </c>
    </row>
    <row r="1352" customFormat="false" ht="15" hidden="false" customHeight="false" outlineLevel="0" collapsed="false">
      <c r="A1352" s="16" t="n">
        <v>26.22005978</v>
      </c>
      <c r="B1352" s="16" t="n">
        <v>49.08553937</v>
      </c>
      <c r="C1352" s="16" t="n">
        <v>22.2128750541302</v>
      </c>
      <c r="D1352" s="6" t="s">
        <v>57</v>
      </c>
      <c r="E1352" s="6" t="s">
        <v>23</v>
      </c>
      <c r="F1352" s="6" t="s">
        <v>60</v>
      </c>
      <c r="G1352" s="6" t="s">
        <v>61</v>
      </c>
      <c r="H1352" s="6" t="s">
        <v>63</v>
      </c>
      <c r="I1352" s="6" t="str">
        <f aca="false">IF(A1352&lt;Outliers!$E$6,"Low",IF(A1352&gt;Outliers!$F$6,"High",""))</f>
        <v/>
      </c>
      <c r="J1352" s="6" t="str">
        <f aca="false">IF(B1352&lt;Outliers!$E$7,"Low",IF(B1352&gt;Outliers!$F$7,"High",""))</f>
        <v/>
      </c>
      <c r="K1352" s="6" t="str">
        <f aca="false">IF(C1352&lt;Outliers!$E$8,"Low",IF(C1352&gt;Outliers!$F$8,"High",""))</f>
        <v/>
      </c>
      <c r="L1352" s="6" t="str">
        <f aca="false">A1352&amp;";"&amp;B1352&amp;";"&amp;C1352</f>
        <v>26.22005978;49.08553937;22.2128750541302</v>
      </c>
      <c r="M1352" s="6" t="n">
        <f aca="false">IF(COUNTIF($L$2:$L$2201,L1352)&gt;1,1,0)</f>
        <v>0</v>
      </c>
      <c r="N1352" s="6" t="str">
        <f aca="false">IF(AND(C1352&lt;Assumptions!$B$9,B1352&lt;Assumptions!$B$10),"Irrigate Now",IF(AND(C1352&gt;=Assumptions!$B$11,B1352&gt;=Assumptions!$B$12),"No Irrigation Needed","Monitor"))</f>
        <v>Monitor</v>
      </c>
      <c r="O1352" s="6" t="n">
        <f aca="false">IF(N1352=G1352,1,0)</f>
        <v>1</v>
      </c>
    </row>
    <row r="1353" customFormat="false" ht="15" hidden="false" customHeight="false" outlineLevel="0" collapsed="false">
      <c r="A1353" s="16" t="n">
        <v>24.92093261</v>
      </c>
      <c r="B1353" s="16" t="n">
        <v>50.55710813</v>
      </c>
      <c r="C1353" s="16" t="n">
        <v>13.337424516681</v>
      </c>
      <c r="D1353" s="6" t="s">
        <v>57</v>
      </c>
      <c r="E1353" s="6" t="s">
        <v>57</v>
      </c>
      <c r="F1353" s="6" t="s">
        <v>24</v>
      </c>
      <c r="G1353" s="6" t="s">
        <v>64</v>
      </c>
      <c r="H1353" s="6" t="s">
        <v>65</v>
      </c>
      <c r="I1353" s="6" t="str">
        <f aca="false">IF(A1353&lt;Outliers!$E$6,"Low",IF(A1353&gt;Outliers!$F$6,"High",""))</f>
        <v/>
      </c>
      <c r="J1353" s="6" t="str">
        <f aca="false">IF(B1353&lt;Outliers!$E$7,"Low",IF(B1353&gt;Outliers!$F$7,"High",""))</f>
        <v/>
      </c>
      <c r="K1353" s="6" t="str">
        <f aca="false">IF(C1353&lt;Outliers!$E$8,"Low",IF(C1353&gt;Outliers!$F$8,"High",""))</f>
        <v/>
      </c>
      <c r="L1353" s="6" t="str">
        <f aca="false">A1353&amp;";"&amp;B1353&amp;";"&amp;C1353</f>
        <v>24.92093261;50.55710813;13.337424516681</v>
      </c>
      <c r="M1353" s="6" t="n">
        <f aca="false">IF(COUNTIF($L$2:$L$2201,L1353)&gt;1,1,0)</f>
        <v>0</v>
      </c>
      <c r="N1353" s="6" t="str">
        <f aca="false">IF(AND(C1353&lt;Assumptions!$B$9,B1353&lt;Assumptions!$B$10),"Irrigate Now",IF(AND(C1353&gt;=Assumptions!$B$11,B1353&gt;=Assumptions!$B$12),"No Irrigation Needed","Monitor"))</f>
        <v>Irrigate Now</v>
      </c>
      <c r="O1353" s="6" t="n">
        <f aca="false">IF(N1353=G1353,1,0)</f>
        <v>1</v>
      </c>
    </row>
    <row r="1354" customFormat="false" ht="15" hidden="false" customHeight="false" outlineLevel="0" collapsed="false">
      <c r="A1354" s="16" t="n">
        <v>26.21667586</v>
      </c>
      <c r="B1354" s="16" t="n">
        <v>54.65423596</v>
      </c>
      <c r="C1354" s="16" t="n">
        <v>10.0485112429713</v>
      </c>
      <c r="D1354" s="6" t="s">
        <v>57</v>
      </c>
      <c r="E1354" s="6" t="s">
        <v>57</v>
      </c>
      <c r="F1354" s="6" t="s">
        <v>24</v>
      </c>
      <c r="G1354" s="6" t="s">
        <v>64</v>
      </c>
      <c r="H1354" s="6" t="s">
        <v>65</v>
      </c>
      <c r="I1354" s="6" t="str">
        <f aca="false">IF(A1354&lt;Outliers!$E$6,"Low",IF(A1354&gt;Outliers!$F$6,"High",""))</f>
        <v/>
      </c>
      <c r="J1354" s="6" t="str">
        <f aca="false">IF(B1354&lt;Outliers!$E$7,"Low",IF(B1354&gt;Outliers!$F$7,"High",""))</f>
        <v/>
      </c>
      <c r="K1354" s="6" t="str">
        <f aca="false">IF(C1354&lt;Outliers!$E$8,"Low",IF(C1354&gt;Outliers!$F$8,"High",""))</f>
        <v/>
      </c>
      <c r="L1354" s="6" t="str">
        <f aca="false">A1354&amp;";"&amp;B1354&amp;";"&amp;C1354</f>
        <v>26.21667586;54.65423596;10.0485112429713</v>
      </c>
      <c r="M1354" s="6" t="n">
        <f aca="false">IF(COUNTIF($L$2:$L$2201,L1354)&gt;1,1,0)</f>
        <v>0</v>
      </c>
      <c r="N1354" s="6" t="str">
        <f aca="false">IF(AND(C1354&lt;Assumptions!$B$9,B1354&lt;Assumptions!$B$10),"Irrigate Now",IF(AND(C1354&gt;=Assumptions!$B$11,B1354&gt;=Assumptions!$B$12),"No Irrigation Needed","Monitor"))</f>
        <v>Irrigate Now</v>
      </c>
      <c r="O1354" s="6" t="n">
        <f aca="false">IF(N1354=G1354,1,0)</f>
        <v>1</v>
      </c>
    </row>
    <row r="1355" customFormat="false" ht="15" hidden="false" customHeight="false" outlineLevel="0" collapsed="false">
      <c r="A1355" s="16" t="n">
        <v>26.81383586</v>
      </c>
      <c r="B1355" s="16" t="n">
        <v>51.70497792</v>
      </c>
      <c r="C1355" s="16" t="n">
        <v>13.8007102132435</v>
      </c>
      <c r="D1355" s="6" t="s">
        <v>57</v>
      </c>
      <c r="E1355" s="6" t="s">
        <v>57</v>
      </c>
      <c r="F1355" s="6" t="s">
        <v>24</v>
      </c>
      <c r="G1355" s="6" t="s">
        <v>64</v>
      </c>
      <c r="H1355" s="6" t="s">
        <v>65</v>
      </c>
      <c r="I1355" s="6" t="str">
        <f aca="false">IF(A1355&lt;Outliers!$E$6,"Low",IF(A1355&gt;Outliers!$F$6,"High",""))</f>
        <v/>
      </c>
      <c r="J1355" s="6" t="str">
        <f aca="false">IF(B1355&lt;Outliers!$E$7,"Low",IF(B1355&gt;Outliers!$F$7,"High",""))</f>
        <v/>
      </c>
      <c r="K1355" s="6" t="str">
        <f aca="false">IF(C1355&lt;Outliers!$E$8,"Low",IF(C1355&gt;Outliers!$F$8,"High",""))</f>
        <v/>
      </c>
      <c r="L1355" s="6" t="str">
        <f aca="false">A1355&amp;";"&amp;B1355&amp;";"&amp;C1355</f>
        <v>26.81383586;51.70497792;13.8007102132435</v>
      </c>
      <c r="M1355" s="6" t="n">
        <f aca="false">IF(COUNTIF($L$2:$L$2201,L1355)&gt;1,1,0)</f>
        <v>0</v>
      </c>
      <c r="N1355" s="6" t="str">
        <f aca="false">IF(AND(C1355&lt;Assumptions!$B$9,B1355&lt;Assumptions!$B$10),"Irrigate Now",IF(AND(C1355&gt;=Assumptions!$B$11,B1355&gt;=Assumptions!$B$12),"No Irrigation Needed","Monitor"))</f>
        <v>Irrigate Now</v>
      </c>
      <c r="O1355" s="6" t="n">
        <f aca="false">IF(N1355=G1355,1,0)</f>
        <v>1</v>
      </c>
    </row>
    <row r="1356" customFormat="false" ht="15" hidden="false" customHeight="false" outlineLevel="0" collapsed="false">
      <c r="A1356" s="16" t="n">
        <v>24.31334971</v>
      </c>
      <c r="B1356" s="16" t="n">
        <v>48.11248366</v>
      </c>
      <c r="C1356" s="16" t="n">
        <v>12.2938739261207</v>
      </c>
      <c r="D1356" s="6" t="s">
        <v>57</v>
      </c>
      <c r="E1356" s="6" t="s">
        <v>23</v>
      </c>
      <c r="F1356" s="6" t="s">
        <v>24</v>
      </c>
      <c r="G1356" s="6" t="s">
        <v>64</v>
      </c>
      <c r="H1356" s="6" t="s">
        <v>65</v>
      </c>
      <c r="I1356" s="6" t="str">
        <f aca="false">IF(A1356&lt;Outliers!$E$6,"Low",IF(A1356&gt;Outliers!$F$6,"High",""))</f>
        <v/>
      </c>
      <c r="J1356" s="6" t="str">
        <f aca="false">IF(B1356&lt;Outliers!$E$7,"Low",IF(B1356&gt;Outliers!$F$7,"High",""))</f>
        <v/>
      </c>
      <c r="K1356" s="6" t="str">
        <f aca="false">IF(C1356&lt;Outliers!$E$8,"Low",IF(C1356&gt;Outliers!$F$8,"High",""))</f>
        <v/>
      </c>
      <c r="L1356" s="6" t="str">
        <f aca="false">A1356&amp;";"&amp;B1356&amp;";"&amp;C1356</f>
        <v>24.31334971;48.11248366;12.2938739261207</v>
      </c>
      <c r="M1356" s="6" t="n">
        <f aca="false">IF(COUNTIF($L$2:$L$2201,L1356)&gt;1,1,0)</f>
        <v>0</v>
      </c>
      <c r="N1356" s="6" t="str">
        <f aca="false">IF(AND(C1356&lt;Assumptions!$B$9,B1356&lt;Assumptions!$B$10),"Irrigate Now",IF(AND(C1356&gt;=Assumptions!$B$11,B1356&gt;=Assumptions!$B$12),"No Irrigation Needed","Monitor"))</f>
        <v>Irrigate Now</v>
      </c>
      <c r="O1356" s="6" t="n">
        <f aca="false">IF(N1356=G1356,1,0)</f>
        <v>1</v>
      </c>
    </row>
    <row r="1357" customFormat="false" ht="15" hidden="false" customHeight="false" outlineLevel="0" collapsed="false">
      <c r="A1357" s="16" t="n">
        <v>24.29105004</v>
      </c>
      <c r="B1357" s="16" t="n">
        <v>51.26046418</v>
      </c>
      <c r="C1357" s="16" t="n">
        <v>26.3144347732395</v>
      </c>
      <c r="D1357" s="6" t="s">
        <v>57</v>
      </c>
      <c r="E1357" s="6" t="s">
        <v>57</v>
      </c>
      <c r="F1357" s="6" t="s">
        <v>23</v>
      </c>
      <c r="G1357" s="6" t="s">
        <v>61</v>
      </c>
      <c r="H1357" s="6" t="s">
        <v>63</v>
      </c>
      <c r="I1357" s="6" t="str">
        <f aca="false">IF(A1357&lt;Outliers!$E$6,"Low",IF(A1357&gt;Outliers!$F$6,"High",""))</f>
        <v/>
      </c>
      <c r="J1357" s="6" t="str">
        <f aca="false">IF(B1357&lt;Outliers!$E$7,"Low",IF(B1357&gt;Outliers!$F$7,"High",""))</f>
        <v/>
      </c>
      <c r="K1357" s="6" t="str">
        <f aca="false">IF(C1357&lt;Outliers!$E$8,"Low",IF(C1357&gt;Outliers!$F$8,"High",""))</f>
        <v/>
      </c>
      <c r="L1357" s="6" t="str">
        <f aca="false">A1357&amp;";"&amp;B1357&amp;";"&amp;C1357</f>
        <v>24.29105004;51.26046418;26.3144347732395</v>
      </c>
      <c r="M1357" s="6" t="n">
        <f aca="false">IF(COUNTIF($L$2:$L$2201,L1357)&gt;1,1,0)</f>
        <v>0</v>
      </c>
      <c r="N1357" s="6" t="str">
        <f aca="false">IF(AND(C1357&lt;Assumptions!$B$9,B1357&lt;Assumptions!$B$10),"Irrigate Now",IF(AND(C1357&gt;=Assumptions!$B$11,B1357&gt;=Assumptions!$B$12),"No Irrigation Needed","Monitor"))</f>
        <v>Monitor</v>
      </c>
      <c r="O1357" s="6" t="n">
        <f aca="false">IF(N1357=G1357,1,0)</f>
        <v>1</v>
      </c>
    </row>
    <row r="1358" customFormat="false" ht="15" hidden="false" customHeight="false" outlineLevel="0" collapsed="false">
      <c r="A1358" s="16" t="n">
        <v>24.42998931</v>
      </c>
      <c r="B1358" s="16" t="n">
        <v>48.58241822</v>
      </c>
      <c r="C1358" s="16" t="n">
        <v>12.8344796818967</v>
      </c>
      <c r="D1358" s="6" t="s">
        <v>57</v>
      </c>
      <c r="E1358" s="6" t="s">
        <v>23</v>
      </c>
      <c r="F1358" s="6" t="s">
        <v>24</v>
      </c>
      <c r="G1358" s="6" t="s">
        <v>64</v>
      </c>
      <c r="H1358" s="6" t="s">
        <v>65</v>
      </c>
      <c r="I1358" s="6" t="str">
        <f aca="false">IF(A1358&lt;Outliers!$E$6,"Low",IF(A1358&gt;Outliers!$F$6,"High",""))</f>
        <v/>
      </c>
      <c r="J1358" s="6" t="str">
        <f aca="false">IF(B1358&lt;Outliers!$E$7,"Low",IF(B1358&gt;Outliers!$F$7,"High",""))</f>
        <v/>
      </c>
      <c r="K1358" s="6" t="str">
        <f aca="false">IF(C1358&lt;Outliers!$E$8,"Low",IF(C1358&gt;Outliers!$F$8,"High",""))</f>
        <v/>
      </c>
      <c r="L1358" s="6" t="str">
        <f aca="false">A1358&amp;";"&amp;B1358&amp;";"&amp;C1358</f>
        <v>24.42998931;48.58241822;12.8344796818967</v>
      </c>
      <c r="M1358" s="6" t="n">
        <f aca="false">IF(COUNTIF($L$2:$L$2201,L1358)&gt;1,1,0)</f>
        <v>0</v>
      </c>
      <c r="N1358" s="6" t="str">
        <f aca="false">IF(AND(C1358&lt;Assumptions!$B$9,B1358&lt;Assumptions!$B$10),"Irrigate Now",IF(AND(C1358&gt;=Assumptions!$B$11,B1358&gt;=Assumptions!$B$12),"No Irrigation Needed","Monitor"))</f>
        <v>Irrigate Now</v>
      </c>
      <c r="O1358" s="6" t="n">
        <f aca="false">IF(N1358=G1358,1,0)</f>
        <v>1</v>
      </c>
    </row>
    <row r="1359" customFormat="false" ht="15" hidden="false" customHeight="false" outlineLevel="0" collapsed="false">
      <c r="A1359" s="16" t="n">
        <v>25.66576039</v>
      </c>
      <c r="B1359" s="16" t="n">
        <v>54.22722466</v>
      </c>
      <c r="C1359" s="16" t="n">
        <v>27.3034495938262</v>
      </c>
      <c r="D1359" s="6" t="s">
        <v>57</v>
      </c>
      <c r="E1359" s="6" t="s">
        <v>57</v>
      </c>
      <c r="F1359" s="6" t="s">
        <v>23</v>
      </c>
      <c r="G1359" s="6" t="s">
        <v>61</v>
      </c>
      <c r="H1359" s="6" t="s">
        <v>63</v>
      </c>
      <c r="I1359" s="6" t="str">
        <f aca="false">IF(A1359&lt;Outliers!$E$6,"Low",IF(A1359&gt;Outliers!$F$6,"High",""))</f>
        <v/>
      </c>
      <c r="J1359" s="6" t="str">
        <f aca="false">IF(B1359&lt;Outliers!$E$7,"Low",IF(B1359&gt;Outliers!$F$7,"High",""))</f>
        <v/>
      </c>
      <c r="K1359" s="6" t="str">
        <f aca="false">IF(C1359&lt;Outliers!$E$8,"Low",IF(C1359&gt;Outliers!$F$8,"High",""))</f>
        <v/>
      </c>
      <c r="L1359" s="6" t="str">
        <f aca="false">A1359&amp;";"&amp;B1359&amp;";"&amp;C1359</f>
        <v>25.66576039;54.22722466;27.3034495938262</v>
      </c>
      <c r="M1359" s="6" t="n">
        <f aca="false">IF(COUNTIF($L$2:$L$2201,L1359)&gt;1,1,0)</f>
        <v>0</v>
      </c>
      <c r="N1359" s="6" t="str">
        <f aca="false">IF(AND(C1359&lt;Assumptions!$B$9,B1359&lt;Assumptions!$B$10),"Irrigate Now",IF(AND(C1359&gt;=Assumptions!$B$11,B1359&gt;=Assumptions!$B$12),"No Irrigation Needed","Monitor"))</f>
        <v>Monitor</v>
      </c>
      <c r="O1359" s="6" t="n">
        <f aca="false">IF(N1359=G1359,1,0)</f>
        <v>1</v>
      </c>
    </row>
    <row r="1360" customFormat="false" ht="15" hidden="false" customHeight="false" outlineLevel="0" collapsed="false">
      <c r="A1360" s="16" t="n">
        <v>25.07803672</v>
      </c>
      <c r="B1360" s="16" t="n">
        <v>56.39962921</v>
      </c>
      <c r="C1360" s="16" t="n">
        <v>12.3986401174081</v>
      </c>
      <c r="D1360" s="6" t="s">
        <v>57</v>
      </c>
      <c r="E1360" s="6" t="s">
        <v>57</v>
      </c>
      <c r="F1360" s="6" t="s">
        <v>24</v>
      </c>
      <c r="G1360" s="6" t="s">
        <v>64</v>
      </c>
      <c r="H1360" s="6" t="s">
        <v>65</v>
      </c>
      <c r="I1360" s="6" t="str">
        <f aca="false">IF(A1360&lt;Outliers!$E$6,"Low",IF(A1360&gt;Outliers!$F$6,"High",""))</f>
        <v/>
      </c>
      <c r="J1360" s="6" t="str">
        <f aca="false">IF(B1360&lt;Outliers!$E$7,"Low",IF(B1360&gt;Outliers!$F$7,"High",""))</f>
        <v/>
      </c>
      <c r="K1360" s="6" t="str">
        <f aca="false">IF(C1360&lt;Outliers!$E$8,"Low",IF(C1360&gt;Outliers!$F$8,"High",""))</f>
        <v/>
      </c>
      <c r="L1360" s="6" t="str">
        <f aca="false">A1360&amp;";"&amp;B1360&amp;";"&amp;C1360</f>
        <v>25.07803672;56.39962921;12.3986401174081</v>
      </c>
      <c r="M1360" s="6" t="n">
        <f aca="false">IF(COUNTIF($L$2:$L$2201,L1360)&gt;1,1,0)</f>
        <v>0</v>
      </c>
      <c r="N1360" s="6" t="str">
        <f aca="false">IF(AND(C1360&lt;Assumptions!$B$9,B1360&lt;Assumptions!$B$10),"Irrigate Now",IF(AND(C1360&gt;=Assumptions!$B$11,B1360&gt;=Assumptions!$B$12),"No Irrigation Needed","Monitor"))</f>
        <v>Irrigate Now</v>
      </c>
      <c r="O1360" s="6" t="n">
        <f aca="false">IF(N1360=G1360,1,0)</f>
        <v>1</v>
      </c>
    </row>
    <row r="1361" customFormat="false" ht="15" hidden="false" customHeight="false" outlineLevel="0" collapsed="false">
      <c r="A1361" s="16" t="n">
        <v>24.88910524</v>
      </c>
      <c r="B1361" s="16" t="n">
        <v>51.70699144</v>
      </c>
      <c r="C1361" s="16" t="n">
        <v>21.2943224344358</v>
      </c>
      <c r="D1361" s="6" t="s">
        <v>57</v>
      </c>
      <c r="E1361" s="6" t="s">
        <v>57</v>
      </c>
      <c r="F1361" s="6" t="s">
        <v>60</v>
      </c>
      <c r="G1361" s="6" t="s">
        <v>61</v>
      </c>
      <c r="H1361" s="6" t="s">
        <v>63</v>
      </c>
      <c r="I1361" s="6" t="str">
        <f aca="false">IF(A1361&lt;Outliers!$E$6,"Low",IF(A1361&gt;Outliers!$F$6,"High",""))</f>
        <v/>
      </c>
      <c r="J1361" s="6" t="str">
        <f aca="false">IF(B1361&lt;Outliers!$E$7,"Low",IF(B1361&gt;Outliers!$F$7,"High",""))</f>
        <v/>
      </c>
      <c r="K1361" s="6" t="str">
        <f aca="false">IF(C1361&lt;Outliers!$E$8,"Low",IF(C1361&gt;Outliers!$F$8,"High",""))</f>
        <v/>
      </c>
      <c r="L1361" s="6" t="str">
        <f aca="false">A1361&amp;";"&amp;B1361&amp;";"&amp;C1361</f>
        <v>24.88910524;51.70699144;21.2943224344358</v>
      </c>
      <c r="M1361" s="6" t="n">
        <f aca="false">IF(COUNTIF($L$2:$L$2201,L1361)&gt;1,1,0)</f>
        <v>0</v>
      </c>
      <c r="N1361" s="6" t="str">
        <f aca="false">IF(AND(C1361&lt;Assumptions!$B$9,B1361&lt;Assumptions!$B$10),"Irrigate Now",IF(AND(C1361&gt;=Assumptions!$B$11,B1361&gt;=Assumptions!$B$12),"No Irrigation Needed","Monitor"))</f>
        <v>Monitor</v>
      </c>
      <c r="O1361" s="6" t="n">
        <f aca="false">IF(N1361=G1361,1,0)</f>
        <v>1</v>
      </c>
    </row>
    <row r="1362" customFormat="false" ht="15" hidden="false" customHeight="false" outlineLevel="0" collapsed="false">
      <c r="A1362" s="16" t="n">
        <v>25.42900869</v>
      </c>
      <c r="B1362" s="16" t="n">
        <v>56.34144589</v>
      </c>
      <c r="C1362" s="16" t="n">
        <v>11.4096342740151</v>
      </c>
      <c r="D1362" s="6" t="s">
        <v>57</v>
      </c>
      <c r="E1362" s="6" t="s">
        <v>57</v>
      </c>
      <c r="F1362" s="6" t="s">
        <v>24</v>
      </c>
      <c r="G1362" s="6" t="s">
        <v>64</v>
      </c>
      <c r="H1362" s="6" t="s">
        <v>65</v>
      </c>
      <c r="I1362" s="6" t="str">
        <f aca="false">IF(A1362&lt;Outliers!$E$6,"Low",IF(A1362&gt;Outliers!$F$6,"High",""))</f>
        <v/>
      </c>
      <c r="J1362" s="6" t="str">
        <f aca="false">IF(B1362&lt;Outliers!$E$7,"Low",IF(B1362&gt;Outliers!$F$7,"High",""))</f>
        <v/>
      </c>
      <c r="K1362" s="6" t="str">
        <f aca="false">IF(C1362&lt;Outliers!$E$8,"Low",IF(C1362&gt;Outliers!$F$8,"High",""))</f>
        <v/>
      </c>
      <c r="L1362" s="6" t="str">
        <f aca="false">A1362&amp;";"&amp;B1362&amp;";"&amp;C1362</f>
        <v>25.42900869;56.34144589;11.4096342740151</v>
      </c>
      <c r="M1362" s="6" t="n">
        <f aca="false">IF(COUNTIF($L$2:$L$2201,L1362)&gt;1,1,0)</f>
        <v>0</v>
      </c>
      <c r="N1362" s="6" t="str">
        <f aca="false">IF(AND(C1362&lt;Assumptions!$B$9,B1362&lt;Assumptions!$B$10),"Irrigate Now",IF(AND(C1362&gt;=Assumptions!$B$11,B1362&gt;=Assumptions!$B$12),"No Irrigation Needed","Monitor"))</f>
        <v>Irrigate Now</v>
      </c>
      <c r="O1362" s="6" t="n">
        <f aca="false">IF(N1362=G1362,1,0)</f>
        <v>1</v>
      </c>
    </row>
    <row r="1363" customFormat="false" ht="15" hidden="false" customHeight="false" outlineLevel="0" collapsed="false">
      <c r="A1363" s="16" t="n">
        <v>24.37118217</v>
      </c>
      <c r="B1363" s="16" t="n">
        <v>44.63907691</v>
      </c>
      <c r="C1363" s="16" t="n">
        <v>29.1779521792052</v>
      </c>
      <c r="D1363" s="6" t="s">
        <v>57</v>
      </c>
      <c r="E1363" s="6" t="s">
        <v>23</v>
      </c>
      <c r="F1363" s="6" t="s">
        <v>23</v>
      </c>
      <c r="G1363" s="6" t="s">
        <v>61</v>
      </c>
      <c r="H1363" s="6" t="s">
        <v>63</v>
      </c>
      <c r="I1363" s="6" t="str">
        <f aca="false">IF(A1363&lt;Outliers!$E$6,"Low",IF(A1363&gt;Outliers!$F$6,"High",""))</f>
        <v/>
      </c>
      <c r="J1363" s="6" t="str">
        <f aca="false">IF(B1363&lt;Outliers!$E$7,"Low",IF(B1363&gt;Outliers!$F$7,"High",""))</f>
        <v/>
      </c>
      <c r="K1363" s="6" t="str">
        <f aca="false">IF(C1363&lt;Outliers!$E$8,"Low",IF(C1363&gt;Outliers!$F$8,"High",""))</f>
        <v/>
      </c>
      <c r="L1363" s="6" t="str">
        <f aca="false">A1363&amp;";"&amp;B1363&amp;";"&amp;C1363</f>
        <v>24.37118217;44.63907691;29.1779521792052</v>
      </c>
      <c r="M1363" s="6" t="n">
        <f aca="false">IF(COUNTIF($L$2:$L$2201,L1363)&gt;1,1,0)</f>
        <v>0</v>
      </c>
      <c r="N1363" s="6" t="str">
        <f aca="false">IF(AND(C1363&lt;Assumptions!$B$9,B1363&lt;Assumptions!$B$10),"Irrigate Now",IF(AND(C1363&gt;=Assumptions!$B$11,B1363&gt;=Assumptions!$B$12),"No Irrigation Needed","Monitor"))</f>
        <v>Monitor</v>
      </c>
      <c r="O1363" s="6" t="n">
        <f aca="false">IF(N1363=G1363,1,0)</f>
        <v>1</v>
      </c>
    </row>
    <row r="1364" customFormat="false" ht="15" hidden="false" customHeight="false" outlineLevel="0" collapsed="false">
      <c r="A1364" s="16" t="n">
        <v>26.4930645</v>
      </c>
      <c r="B1364" s="16" t="n">
        <v>46.06382209</v>
      </c>
      <c r="C1364" s="16" t="n">
        <v>18.8651560541833</v>
      </c>
      <c r="D1364" s="6" t="s">
        <v>57</v>
      </c>
      <c r="E1364" s="6" t="s">
        <v>23</v>
      </c>
      <c r="F1364" s="6" t="s">
        <v>24</v>
      </c>
      <c r="G1364" s="6" t="s">
        <v>61</v>
      </c>
      <c r="H1364" s="6" t="s">
        <v>63</v>
      </c>
      <c r="I1364" s="6" t="str">
        <f aca="false">IF(A1364&lt;Outliers!$E$6,"Low",IF(A1364&gt;Outliers!$F$6,"High",""))</f>
        <v/>
      </c>
      <c r="J1364" s="6" t="str">
        <f aca="false">IF(B1364&lt;Outliers!$E$7,"Low",IF(B1364&gt;Outliers!$F$7,"High",""))</f>
        <v/>
      </c>
      <c r="K1364" s="6" t="str">
        <f aca="false">IF(C1364&lt;Outliers!$E$8,"Low",IF(C1364&gt;Outliers!$F$8,"High",""))</f>
        <v/>
      </c>
      <c r="L1364" s="6" t="str">
        <f aca="false">A1364&amp;";"&amp;B1364&amp;";"&amp;C1364</f>
        <v>26.4930645;46.06382209;18.8651560541833</v>
      </c>
      <c r="M1364" s="6" t="n">
        <f aca="false">IF(COUNTIF($L$2:$L$2201,L1364)&gt;1,1,0)</f>
        <v>0</v>
      </c>
      <c r="N1364" s="6" t="str">
        <f aca="false">IF(AND(C1364&lt;Assumptions!$B$9,B1364&lt;Assumptions!$B$10),"Irrigate Now",IF(AND(C1364&gt;=Assumptions!$B$11,B1364&gt;=Assumptions!$B$12),"No Irrigation Needed","Monitor"))</f>
        <v>Monitor</v>
      </c>
      <c r="O1364" s="6" t="n">
        <f aca="false">IF(N1364=G1364,1,0)</f>
        <v>1</v>
      </c>
    </row>
    <row r="1365" customFormat="false" ht="15" hidden="false" customHeight="false" outlineLevel="0" collapsed="false">
      <c r="A1365" s="16" t="n">
        <v>25.83202912</v>
      </c>
      <c r="B1365" s="16" t="n">
        <v>45.24690619</v>
      </c>
      <c r="C1365" s="16" t="n">
        <v>23.9785034767699</v>
      </c>
      <c r="D1365" s="6" t="s">
        <v>57</v>
      </c>
      <c r="E1365" s="6" t="s">
        <v>23</v>
      </c>
      <c r="F1365" s="6" t="s">
        <v>60</v>
      </c>
      <c r="G1365" s="6" t="s">
        <v>61</v>
      </c>
      <c r="H1365" s="6" t="s">
        <v>63</v>
      </c>
      <c r="I1365" s="6" t="str">
        <f aca="false">IF(A1365&lt;Outliers!$E$6,"Low",IF(A1365&gt;Outliers!$F$6,"High",""))</f>
        <v/>
      </c>
      <c r="J1365" s="6" t="str">
        <f aca="false">IF(B1365&lt;Outliers!$E$7,"Low",IF(B1365&gt;Outliers!$F$7,"High",""))</f>
        <v/>
      </c>
      <c r="K1365" s="6" t="str">
        <f aca="false">IF(C1365&lt;Outliers!$E$8,"Low",IF(C1365&gt;Outliers!$F$8,"High",""))</f>
        <v/>
      </c>
      <c r="L1365" s="6" t="str">
        <f aca="false">A1365&amp;";"&amp;B1365&amp;";"&amp;C1365</f>
        <v>25.83202912;45.24690619;23.9785034767699</v>
      </c>
      <c r="M1365" s="6" t="n">
        <f aca="false">IF(COUNTIF($L$2:$L$2201,L1365)&gt;1,1,0)</f>
        <v>0</v>
      </c>
      <c r="N1365" s="6" t="str">
        <f aca="false">IF(AND(C1365&lt;Assumptions!$B$9,B1365&lt;Assumptions!$B$10),"Irrigate Now",IF(AND(C1365&gt;=Assumptions!$B$11,B1365&gt;=Assumptions!$B$12),"No Irrigation Needed","Monitor"))</f>
        <v>Monitor</v>
      </c>
      <c r="O1365" s="6" t="n">
        <f aca="false">IF(N1365=G1365,1,0)</f>
        <v>1</v>
      </c>
    </row>
    <row r="1366" customFormat="false" ht="15" hidden="false" customHeight="false" outlineLevel="0" collapsed="false">
      <c r="A1366" s="16" t="n">
        <v>24.41592661</v>
      </c>
      <c r="B1366" s="16" t="n">
        <v>40.32161859</v>
      </c>
      <c r="C1366" s="16" t="n">
        <v>20.6029025711169</v>
      </c>
      <c r="D1366" s="6" t="s">
        <v>57</v>
      </c>
      <c r="E1366" s="6" t="s">
        <v>23</v>
      </c>
      <c r="F1366" s="6" t="s">
        <v>60</v>
      </c>
      <c r="G1366" s="6" t="s">
        <v>61</v>
      </c>
      <c r="H1366" s="6" t="s">
        <v>63</v>
      </c>
      <c r="I1366" s="6" t="str">
        <f aca="false">IF(A1366&lt;Outliers!$E$6,"Low",IF(A1366&gt;Outliers!$F$6,"High",""))</f>
        <v/>
      </c>
      <c r="J1366" s="6" t="str">
        <f aca="false">IF(B1366&lt;Outliers!$E$7,"Low",IF(B1366&gt;Outliers!$F$7,"High",""))</f>
        <v/>
      </c>
      <c r="K1366" s="6" t="str">
        <f aca="false">IF(C1366&lt;Outliers!$E$8,"Low",IF(C1366&gt;Outliers!$F$8,"High",""))</f>
        <v/>
      </c>
      <c r="L1366" s="6" t="str">
        <f aca="false">A1366&amp;";"&amp;B1366&amp;";"&amp;C1366</f>
        <v>24.41592661;40.32161859;20.6029025711169</v>
      </c>
      <c r="M1366" s="6" t="n">
        <f aca="false">IF(COUNTIF($L$2:$L$2201,L1366)&gt;1,1,0)</f>
        <v>0</v>
      </c>
      <c r="N1366" s="6" t="str">
        <f aca="false">IF(AND(C1366&lt;Assumptions!$B$9,B1366&lt;Assumptions!$B$10),"Irrigate Now",IF(AND(C1366&gt;=Assumptions!$B$11,B1366&gt;=Assumptions!$B$12),"No Irrigation Needed","Monitor"))</f>
        <v>Monitor</v>
      </c>
      <c r="O1366" s="6" t="n">
        <f aca="false">IF(N1366=G1366,1,0)</f>
        <v>1</v>
      </c>
    </row>
    <row r="1367" customFormat="false" ht="15" hidden="false" customHeight="false" outlineLevel="0" collapsed="false">
      <c r="A1367" s="16" t="n">
        <v>24.37190239</v>
      </c>
      <c r="B1367" s="16" t="n">
        <v>44.20899581</v>
      </c>
      <c r="C1367" s="16" t="n">
        <v>22.4725229962192</v>
      </c>
      <c r="D1367" s="6" t="s">
        <v>57</v>
      </c>
      <c r="E1367" s="6" t="s">
        <v>23</v>
      </c>
      <c r="F1367" s="6" t="s">
        <v>60</v>
      </c>
      <c r="G1367" s="6" t="s">
        <v>61</v>
      </c>
      <c r="H1367" s="6" t="s">
        <v>63</v>
      </c>
      <c r="I1367" s="6" t="str">
        <f aca="false">IF(A1367&lt;Outliers!$E$6,"Low",IF(A1367&gt;Outliers!$F$6,"High",""))</f>
        <v/>
      </c>
      <c r="J1367" s="6" t="str">
        <f aca="false">IF(B1367&lt;Outliers!$E$7,"Low",IF(B1367&gt;Outliers!$F$7,"High",""))</f>
        <v/>
      </c>
      <c r="K1367" s="6" t="str">
        <f aca="false">IF(C1367&lt;Outliers!$E$8,"Low",IF(C1367&gt;Outliers!$F$8,"High",""))</f>
        <v/>
      </c>
      <c r="L1367" s="6" t="str">
        <f aca="false">A1367&amp;";"&amp;B1367&amp;";"&amp;C1367</f>
        <v>24.37190239;44.20899581;22.4725229962192</v>
      </c>
      <c r="M1367" s="6" t="n">
        <f aca="false">IF(COUNTIF($L$2:$L$2201,L1367)&gt;1,1,0)</f>
        <v>0</v>
      </c>
      <c r="N1367" s="6" t="str">
        <f aca="false">IF(AND(C1367&lt;Assumptions!$B$9,B1367&lt;Assumptions!$B$10),"Irrigate Now",IF(AND(C1367&gt;=Assumptions!$B$11,B1367&gt;=Assumptions!$B$12),"No Irrigation Needed","Monitor"))</f>
        <v>Monitor</v>
      </c>
      <c r="O1367" s="6" t="n">
        <f aca="false">IF(N1367=G1367,1,0)</f>
        <v>1</v>
      </c>
    </row>
    <row r="1368" customFormat="false" ht="15" hidden="false" customHeight="false" outlineLevel="0" collapsed="false">
      <c r="A1368" s="16" t="n">
        <v>24.24782473</v>
      </c>
      <c r="B1368" s="16" t="n">
        <v>54.7657624</v>
      </c>
      <c r="C1368" s="16" t="n">
        <v>20.0507463105669</v>
      </c>
      <c r="D1368" s="6" t="s">
        <v>57</v>
      </c>
      <c r="E1368" s="6" t="s">
        <v>57</v>
      </c>
      <c r="F1368" s="6" t="s">
        <v>60</v>
      </c>
      <c r="G1368" s="6" t="s">
        <v>61</v>
      </c>
      <c r="H1368" s="6" t="s">
        <v>63</v>
      </c>
      <c r="I1368" s="6" t="str">
        <f aca="false">IF(A1368&lt;Outliers!$E$6,"Low",IF(A1368&gt;Outliers!$F$6,"High",""))</f>
        <v/>
      </c>
      <c r="J1368" s="6" t="str">
        <f aca="false">IF(B1368&lt;Outliers!$E$7,"Low",IF(B1368&gt;Outliers!$F$7,"High",""))</f>
        <v/>
      </c>
      <c r="K1368" s="6" t="str">
        <f aca="false">IF(C1368&lt;Outliers!$E$8,"Low",IF(C1368&gt;Outliers!$F$8,"High",""))</f>
        <v/>
      </c>
      <c r="L1368" s="6" t="str">
        <f aca="false">A1368&amp;";"&amp;B1368&amp;";"&amp;C1368</f>
        <v>24.24782473;54.7657624;20.0507463105669</v>
      </c>
      <c r="M1368" s="6" t="n">
        <f aca="false">IF(COUNTIF($L$2:$L$2201,L1368)&gt;1,1,0)</f>
        <v>0</v>
      </c>
      <c r="N1368" s="6" t="str">
        <f aca="false">IF(AND(C1368&lt;Assumptions!$B$9,B1368&lt;Assumptions!$B$10),"Irrigate Now",IF(AND(C1368&gt;=Assumptions!$B$11,B1368&gt;=Assumptions!$B$12),"No Irrigation Needed","Monitor"))</f>
        <v>Monitor</v>
      </c>
      <c r="O1368" s="6" t="n">
        <f aca="false">IF(N1368=G1368,1,0)</f>
        <v>1</v>
      </c>
    </row>
    <row r="1369" customFormat="false" ht="15" hidden="false" customHeight="false" outlineLevel="0" collapsed="false">
      <c r="A1369" s="16" t="n">
        <v>24.64458469</v>
      </c>
      <c r="B1369" s="16" t="n">
        <v>48.31219031</v>
      </c>
      <c r="C1369" s="16" t="n">
        <v>13.5306277362641</v>
      </c>
      <c r="D1369" s="6" t="s">
        <v>57</v>
      </c>
      <c r="E1369" s="6" t="s">
        <v>23</v>
      </c>
      <c r="F1369" s="6" t="s">
        <v>24</v>
      </c>
      <c r="G1369" s="6" t="s">
        <v>64</v>
      </c>
      <c r="H1369" s="6" t="s">
        <v>65</v>
      </c>
      <c r="I1369" s="6" t="str">
        <f aca="false">IF(A1369&lt;Outliers!$E$6,"Low",IF(A1369&gt;Outliers!$F$6,"High",""))</f>
        <v/>
      </c>
      <c r="J1369" s="6" t="str">
        <f aca="false">IF(B1369&lt;Outliers!$E$7,"Low",IF(B1369&gt;Outliers!$F$7,"High",""))</f>
        <v/>
      </c>
      <c r="K1369" s="6" t="str">
        <f aca="false">IF(C1369&lt;Outliers!$E$8,"Low",IF(C1369&gt;Outliers!$F$8,"High",""))</f>
        <v/>
      </c>
      <c r="L1369" s="6" t="str">
        <f aca="false">A1369&amp;";"&amp;B1369&amp;";"&amp;C1369</f>
        <v>24.64458469;48.31219031;13.5306277362641</v>
      </c>
      <c r="M1369" s="6" t="n">
        <f aca="false">IF(COUNTIF($L$2:$L$2201,L1369)&gt;1,1,0)</f>
        <v>0</v>
      </c>
      <c r="N1369" s="6" t="str">
        <f aca="false">IF(AND(C1369&lt;Assumptions!$B$9,B1369&lt;Assumptions!$B$10),"Irrigate Now",IF(AND(C1369&gt;=Assumptions!$B$11,B1369&gt;=Assumptions!$B$12),"No Irrigation Needed","Monitor"))</f>
        <v>Irrigate Now</v>
      </c>
      <c r="O1369" s="6" t="n">
        <f aca="false">IF(N1369=G1369,1,0)</f>
        <v>1</v>
      </c>
    </row>
    <row r="1370" customFormat="false" ht="15" hidden="false" customHeight="false" outlineLevel="0" collapsed="false">
      <c r="A1370" s="16" t="n">
        <v>24.89681131</v>
      </c>
      <c r="B1370" s="16" t="n">
        <v>53.14626213</v>
      </c>
      <c r="C1370" s="16" t="n">
        <v>22.6439011480416</v>
      </c>
      <c r="D1370" s="6" t="s">
        <v>57</v>
      </c>
      <c r="E1370" s="6" t="s">
        <v>57</v>
      </c>
      <c r="F1370" s="6" t="s">
        <v>60</v>
      </c>
      <c r="G1370" s="6" t="s">
        <v>61</v>
      </c>
      <c r="H1370" s="6" t="s">
        <v>63</v>
      </c>
      <c r="I1370" s="6" t="str">
        <f aca="false">IF(A1370&lt;Outliers!$E$6,"Low",IF(A1370&gt;Outliers!$F$6,"High",""))</f>
        <v/>
      </c>
      <c r="J1370" s="6" t="str">
        <f aca="false">IF(B1370&lt;Outliers!$E$7,"Low",IF(B1370&gt;Outliers!$F$7,"High",""))</f>
        <v/>
      </c>
      <c r="K1370" s="6" t="str">
        <f aca="false">IF(C1370&lt;Outliers!$E$8,"Low",IF(C1370&gt;Outliers!$F$8,"High",""))</f>
        <v/>
      </c>
      <c r="L1370" s="6" t="str">
        <f aca="false">A1370&amp;";"&amp;B1370&amp;";"&amp;C1370</f>
        <v>24.89681131;53.14626213;22.6439011480416</v>
      </c>
      <c r="M1370" s="6" t="n">
        <f aca="false">IF(COUNTIF($L$2:$L$2201,L1370)&gt;1,1,0)</f>
        <v>0</v>
      </c>
      <c r="N1370" s="6" t="str">
        <f aca="false">IF(AND(C1370&lt;Assumptions!$B$9,B1370&lt;Assumptions!$B$10),"Irrigate Now",IF(AND(C1370&gt;=Assumptions!$B$11,B1370&gt;=Assumptions!$B$12),"No Irrigation Needed","Monitor"))</f>
        <v>Monitor</v>
      </c>
      <c r="O1370" s="6" t="n">
        <f aca="false">IF(N1370=G1370,1,0)</f>
        <v>1</v>
      </c>
    </row>
    <row r="1371" customFormat="false" ht="15" hidden="false" customHeight="false" outlineLevel="0" collapsed="false">
      <c r="A1371" s="16" t="n">
        <v>25.41864024</v>
      </c>
      <c r="B1371" s="16" t="n">
        <v>49.52320689</v>
      </c>
      <c r="C1371" s="16" t="n">
        <v>27.8251217763861</v>
      </c>
      <c r="D1371" s="6" t="s">
        <v>57</v>
      </c>
      <c r="E1371" s="6" t="s">
        <v>23</v>
      </c>
      <c r="F1371" s="6" t="s">
        <v>23</v>
      </c>
      <c r="G1371" s="6" t="s">
        <v>61</v>
      </c>
      <c r="H1371" s="6" t="s">
        <v>63</v>
      </c>
      <c r="I1371" s="6" t="str">
        <f aca="false">IF(A1371&lt;Outliers!$E$6,"Low",IF(A1371&gt;Outliers!$F$6,"High",""))</f>
        <v/>
      </c>
      <c r="J1371" s="6" t="str">
        <f aca="false">IF(B1371&lt;Outliers!$E$7,"Low",IF(B1371&gt;Outliers!$F$7,"High",""))</f>
        <v/>
      </c>
      <c r="K1371" s="6" t="str">
        <f aca="false">IF(C1371&lt;Outliers!$E$8,"Low",IF(C1371&gt;Outliers!$F$8,"High",""))</f>
        <v/>
      </c>
      <c r="L1371" s="6" t="str">
        <f aca="false">A1371&amp;";"&amp;B1371&amp;";"&amp;C1371</f>
        <v>25.41864024;49.52320689;27.8251217763861</v>
      </c>
      <c r="M1371" s="6" t="n">
        <f aca="false">IF(COUNTIF($L$2:$L$2201,L1371)&gt;1,1,0)</f>
        <v>0</v>
      </c>
      <c r="N1371" s="6" t="str">
        <f aca="false">IF(AND(C1371&lt;Assumptions!$B$9,B1371&lt;Assumptions!$B$10),"Irrigate Now",IF(AND(C1371&gt;=Assumptions!$B$11,B1371&gt;=Assumptions!$B$12),"No Irrigation Needed","Monitor"))</f>
        <v>Monitor</v>
      </c>
      <c r="O1371" s="6" t="n">
        <f aca="false">IF(N1371=G1371,1,0)</f>
        <v>1</v>
      </c>
    </row>
    <row r="1372" customFormat="false" ht="15" hidden="false" customHeight="false" outlineLevel="0" collapsed="false">
      <c r="A1372" s="16" t="n">
        <v>26.26028739</v>
      </c>
      <c r="B1372" s="16" t="n">
        <v>58.97878791</v>
      </c>
      <c r="C1372" s="16" t="n">
        <v>21.3763720365542</v>
      </c>
      <c r="D1372" s="6" t="s">
        <v>57</v>
      </c>
      <c r="E1372" s="6" t="s">
        <v>57</v>
      </c>
      <c r="F1372" s="6" t="s">
        <v>60</v>
      </c>
      <c r="G1372" s="6" t="s">
        <v>61</v>
      </c>
      <c r="H1372" s="6" t="s">
        <v>63</v>
      </c>
      <c r="I1372" s="6" t="str">
        <f aca="false">IF(A1372&lt;Outliers!$E$6,"Low",IF(A1372&gt;Outliers!$F$6,"High",""))</f>
        <v/>
      </c>
      <c r="J1372" s="6" t="str">
        <f aca="false">IF(B1372&lt;Outliers!$E$7,"Low",IF(B1372&gt;Outliers!$F$7,"High",""))</f>
        <v/>
      </c>
      <c r="K1372" s="6" t="str">
        <f aca="false">IF(C1372&lt;Outliers!$E$8,"Low",IF(C1372&gt;Outliers!$F$8,"High",""))</f>
        <v/>
      </c>
      <c r="L1372" s="6" t="str">
        <f aca="false">A1372&amp;";"&amp;B1372&amp;";"&amp;C1372</f>
        <v>26.26028739;58.97878791;21.3763720365542</v>
      </c>
      <c r="M1372" s="6" t="n">
        <f aca="false">IF(COUNTIF($L$2:$L$2201,L1372)&gt;1,1,0)</f>
        <v>0</v>
      </c>
      <c r="N1372" s="6" t="str">
        <f aca="false">IF(AND(C1372&lt;Assumptions!$B$9,B1372&lt;Assumptions!$B$10),"Irrigate Now",IF(AND(C1372&gt;=Assumptions!$B$11,B1372&gt;=Assumptions!$B$12),"No Irrigation Needed","Monitor"))</f>
        <v>Monitor</v>
      </c>
      <c r="O1372" s="6" t="n">
        <f aca="false">IF(N1372=G1372,1,0)</f>
        <v>1</v>
      </c>
    </row>
    <row r="1373" customFormat="false" ht="15" hidden="false" customHeight="false" outlineLevel="0" collapsed="false">
      <c r="A1373" s="16" t="n">
        <v>24.90123934</v>
      </c>
      <c r="B1373" s="16" t="n">
        <v>46.59207341</v>
      </c>
      <c r="C1373" s="16" t="n">
        <v>24.934578042844</v>
      </c>
      <c r="D1373" s="6" t="s">
        <v>57</v>
      </c>
      <c r="E1373" s="6" t="s">
        <v>23</v>
      </c>
      <c r="F1373" s="6" t="s">
        <v>60</v>
      </c>
      <c r="G1373" s="6" t="s">
        <v>61</v>
      </c>
      <c r="H1373" s="6" t="s">
        <v>63</v>
      </c>
      <c r="I1373" s="6" t="str">
        <f aca="false">IF(A1373&lt;Outliers!$E$6,"Low",IF(A1373&gt;Outliers!$F$6,"High",""))</f>
        <v/>
      </c>
      <c r="J1373" s="6" t="str">
        <f aca="false">IF(B1373&lt;Outliers!$E$7,"Low",IF(B1373&gt;Outliers!$F$7,"High",""))</f>
        <v/>
      </c>
      <c r="K1373" s="6" t="str">
        <f aca="false">IF(C1373&lt;Outliers!$E$8,"Low",IF(C1373&gt;Outliers!$F$8,"High",""))</f>
        <v/>
      </c>
      <c r="L1373" s="6" t="str">
        <f aca="false">A1373&amp;";"&amp;B1373&amp;";"&amp;C1373</f>
        <v>24.90123934;46.59207341;24.934578042844</v>
      </c>
      <c r="M1373" s="6" t="n">
        <f aca="false">IF(COUNTIF($L$2:$L$2201,L1373)&gt;1,1,0)</f>
        <v>0</v>
      </c>
      <c r="N1373" s="6" t="str">
        <f aca="false">IF(AND(C1373&lt;Assumptions!$B$9,B1373&lt;Assumptions!$B$10),"Irrigate Now",IF(AND(C1373&gt;=Assumptions!$B$11,B1373&gt;=Assumptions!$B$12),"No Irrigation Needed","Monitor"))</f>
        <v>Monitor</v>
      </c>
      <c r="O1373" s="6" t="n">
        <f aca="false">IF(N1373=G1373,1,0)</f>
        <v>1</v>
      </c>
    </row>
    <row r="1374" customFormat="false" ht="15" hidden="false" customHeight="false" outlineLevel="0" collapsed="false">
      <c r="A1374" s="16" t="n">
        <v>24.84740848</v>
      </c>
      <c r="B1374" s="16" t="n">
        <v>59.67927244</v>
      </c>
      <c r="C1374" s="16" t="n">
        <v>15.7807815033009</v>
      </c>
      <c r="D1374" s="6" t="s">
        <v>57</v>
      </c>
      <c r="E1374" s="6" t="s">
        <v>57</v>
      </c>
      <c r="F1374" s="6" t="s">
        <v>24</v>
      </c>
      <c r="G1374" s="6" t="s">
        <v>64</v>
      </c>
      <c r="H1374" s="6" t="s">
        <v>65</v>
      </c>
      <c r="I1374" s="6" t="str">
        <f aca="false">IF(A1374&lt;Outliers!$E$6,"Low",IF(A1374&gt;Outliers!$F$6,"High",""))</f>
        <v/>
      </c>
      <c r="J1374" s="6" t="str">
        <f aca="false">IF(B1374&lt;Outliers!$E$7,"Low",IF(B1374&gt;Outliers!$F$7,"High",""))</f>
        <v/>
      </c>
      <c r="K1374" s="6" t="str">
        <f aca="false">IF(C1374&lt;Outliers!$E$8,"Low",IF(C1374&gt;Outliers!$F$8,"High",""))</f>
        <v/>
      </c>
      <c r="L1374" s="6" t="str">
        <f aca="false">A1374&amp;";"&amp;B1374&amp;";"&amp;C1374</f>
        <v>24.84740848;59.67927244;15.7807815033009</v>
      </c>
      <c r="M1374" s="6" t="n">
        <f aca="false">IF(COUNTIF($L$2:$L$2201,L1374)&gt;1,1,0)</f>
        <v>0</v>
      </c>
      <c r="N1374" s="6" t="str">
        <f aca="false">IF(AND(C1374&lt;Assumptions!$B$9,B1374&lt;Assumptions!$B$10),"Irrigate Now",IF(AND(C1374&gt;=Assumptions!$B$11,B1374&gt;=Assumptions!$B$12),"No Irrigation Needed","Monitor"))</f>
        <v>Irrigate Now</v>
      </c>
      <c r="O1374" s="6" t="n">
        <f aca="false">IF(N1374=G1374,1,0)</f>
        <v>1</v>
      </c>
    </row>
    <row r="1375" customFormat="false" ht="15" hidden="false" customHeight="false" outlineLevel="0" collapsed="false">
      <c r="A1375" s="16" t="n">
        <v>26.98212846</v>
      </c>
      <c r="B1375" s="16" t="n">
        <v>42.91292205</v>
      </c>
      <c r="C1375" s="16" t="n">
        <v>25.6021210265104</v>
      </c>
      <c r="D1375" s="6" t="s">
        <v>57</v>
      </c>
      <c r="E1375" s="6" t="s">
        <v>23</v>
      </c>
      <c r="F1375" s="6" t="s">
        <v>60</v>
      </c>
      <c r="G1375" s="6" t="s">
        <v>61</v>
      </c>
      <c r="H1375" s="6" t="s">
        <v>63</v>
      </c>
      <c r="I1375" s="6" t="str">
        <f aca="false">IF(A1375&lt;Outliers!$E$6,"Low",IF(A1375&gt;Outliers!$F$6,"High",""))</f>
        <v/>
      </c>
      <c r="J1375" s="6" t="str">
        <f aca="false">IF(B1375&lt;Outliers!$E$7,"Low",IF(B1375&gt;Outliers!$F$7,"High",""))</f>
        <v/>
      </c>
      <c r="K1375" s="6" t="str">
        <f aca="false">IF(C1375&lt;Outliers!$E$8,"Low",IF(C1375&gt;Outliers!$F$8,"High",""))</f>
        <v/>
      </c>
      <c r="L1375" s="6" t="str">
        <f aca="false">A1375&amp;";"&amp;B1375&amp;";"&amp;C1375</f>
        <v>26.98212846;42.91292205;25.6021210265104</v>
      </c>
      <c r="M1375" s="6" t="n">
        <f aca="false">IF(COUNTIF($L$2:$L$2201,L1375)&gt;1,1,0)</f>
        <v>0</v>
      </c>
      <c r="N1375" s="6" t="str">
        <f aca="false">IF(AND(C1375&lt;Assumptions!$B$9,B1375&lt;Assumptions!$B$10),"Irrigate Now",IF(AND(C1375&gt;=Assumptions!$B$11,B1375&gt;=Assumptions!$B$12),"No Irrigation Needed","Monitor"))</f>
        <v>Monitor</v>
      </c>
      <c r="O1375" s="6" t="n">
        <f aca="false">IF(N1375=G1375,1,0)</f>
        <v>1</v>
      </c>
    </row>
    <row r="1376" customFormat="false" ht="15" hidden="false" customHeight="false" outlineLevel="0" collapsed="false">
      <c r="A1376" s="16" t="n">
        <v>26.90435747</v>
      </c>
      <c r="B1376" s="16" t="n">
        <v>59.75980023</v>
      </c>
      <c r="C1376" s="16" t="n">
        <v>15.3022853260534</v>
      </c>
      <c r="D1376" s="6" t="s">
        <v>57</v>
      </c>
      <c r="E1376" s="6" t="s">
        <v>57</v>
      </c>
      <c r="F1376" s="6" t="s">
        <v>24</v>
      </c>
      <c r="G1376" s="6" t="s">
        <v>64</v>
      </c>
      <c r="H1376" s="6" t="s">
        <v>65</v>
      </c>
      <c r="I1376" s="6" t="str">
        <f aca="false">IF(A1376&lt;Outliers!$E$6,"Low",IF(A1376&gt;Outliers!$F$6,"High",""))</f>
        <v/>
      </c>
      <c r="J1376" s="6" t="str">
        <f aca="false">IF(B1376&lt;Outliers!$E$7,"Low",IF(B1376&gt;Outliers!$F$7,"High",""))</f>
        <v/>
      </c>
      <c r="K1376" s="6" t="str">
        <f aca="false">IF(C1376&lt;Outliers!$E$8,"Low",IF(C1376&gt;Outliers!$F$8,"High",""))</f>
        <v/>
      </c>
      <c r="L1376" s="6" t="str">
        <f aca="false">A1376&amp;";"&amp;B1376&amp;";"&amp;C1376</f>
        <v>26.90435747;59.75980023;15.3022853260534</v>
      </c>
      <c r="M1376" s="6" t="n">
        <f aca="false">IF(COUNTIF($L$2:$L$2201,L1376)&gt;1,1,0)</f>
        <v>0</v>
      </c>
      <c r="N1376" s="6" t="str">
        <f aca="false">IF(AND(C1376&lt;Assumptions!$B$9,B1376&lt;Assumptions!$B$10),"Irrigate Now",IF(AND(C1376&gt;=Assumptions!$B$11,B1376&gt;=Assumptions!$B$12),"No Irrigation Needed","Monitor"))</f>
        <v>Irrigate Now</v>
      </c>
      <c r="O1376" s="6" t="n">
        <f aca="false">IF(N1376=G1376,1,0)</f>
        <v>1</v>
      </c>
    </row>
    <row r="1377" customFormat="false" ht="15" hidden="false" customHeight="false" outlineLevel="0" collapsed="false">
      <c r="A1377" s="16" t="n">
        <v>25.86475496</v>
      </c>
      <c r="B1377" s="16" t="n">
        <v>41.16554802</v>
      </c>
      <c r="C1377" s="16" t="n">
        <v>21.4332858757762</v>
      </c>
      <c r="D1377" s="6" t="s">
        <v>57</v>
      </c>
      <c r="E1377" s="6" t="s">
        <v>23</v>
      </c>
      <c r="F1377" s="6" t="s">
        <v>60</v>
      </c>
      <c r="G1377" s="6" t="s">
        <v>61</v>
      </c>
      <c r="H1377" s="6" t="s">
        <v>63</v>
      </c>
      <c r="I1377" s="6" t="str">
        <f aca="false">IF(A1377&lt;Outliers!$E$6,"Low",IF(A1377&gt;Outliers!$F$6,"High",""))</f>
        <v/>
      </c>
      <c r="J1377" s="6" t="str">
        <f aca="false">IF(B1377&lt;Outliers!$E$7,"Low",IF(B1377&gt;Outliers!$F$7,"High",""))</f>
        <v/>
      </c>
      <c r="K1377" s="6" t="str">
        <f aca="false">IF(C1377&lt;Outliers!$E$8,"Low",IF(C1377&gt;Outliers!$F$8,"High",""))</f>
        <v/>
      </c>
      <c r="L1377" s="6" t="str">
        <f aca="false">A1377&amp;";"&amp;B1377&amp;";"&amp;C1377</f>
        <v>25.86475496;41.16554802;21.4332858757762</v>
      </c>
      <c r="M1377" s="6" t="n">
        <f aca="false">IF(COUNTIF($L$2:$L$2201,L1377)&gt;1,1,0)</f>
        <v>0</v>
      </c>
      <c r="N1377" s="6" t="str">
        <f aca="false">IF(AND(C1377&lt;Assumptions!$B$9,B1377&lt;Assumptions!$B$10),"Irrigate Now",IF(AND(C1377&gt;=Assumptions!$B$11,B1377&gt;=Assumptions!$B$12),"No Irrigation Needed","Monitor"))</f>
        <v>Monitor</v>
      </c>
      <c r="O1377" s="6" t="n">
        <f aca="false">IF(N1377=G1377,1,0)</f>
        <v>1</v>
      </c>
    </row>
    <row r="1378" customFormat="false" ht="15" hidden="false" customHeight="false" outlineLevel="0" collapsed="false">
      <c r="A1378" s="16" t="n">
        <v>26.70607759</v>
      </c>
      <c r="B1378" s="16" t="n">
        <v>51.51033554</v>
      </c>
      <c r="C1378" s="16" t="n">
        <v>19.246636812408</v>
      </c>
      <c r="D1378" s="6" t="s">
        <v>57</v>
      </c>
      <c r="E1378" s="6" t="s">
        <v>57</v>
      </c>
      <c r="F1378" s="6" t="s">
        <v>24</v>
      </c>
      <c r="G1378" s="6" t="s">
        <v>61</v>
      </c>
      <c r="H1378" s="6" t="s">
        <v>63</v>
      </c>
      <c r="I1378" s="6" t="str">
        <f aca="false">IF(A1378&lt;Outliers!$E$6,"Low",IF(A1378&gt;Outliers!$F$6,"High",""))</f>
        <v/>
      </c>
      <c r="J1378" s="6" t="str">
        <f aca="false">IF(B1378&lt;Outliers!$E$7,"Low",IF(B1378&gt;Outliers!$F$7,"High",""))</f>
        <v/>
      </c>
      <c r="K1378" s="6" t="str">
        <f aca="false">IF(C1378&lt;Outliers!$E$8,"Low",IF(C1378&gt;Outliers!$F$8,"High",""))</f>
        <v/>
      </c>
      <c r="L1378" s="6" t="str">
        <f aca="false">A1378&amp;";"&amp;B1378&amp;";"&amp;C1378</f>
        <v>26.70607759;51.51033554;19.246636812408</v>
      </c>
      <c r="M1378" s="6" t="n">
        <f aca="false">IF(COUNTIF($L$2:$L$2201,L1378)&gt;1,1,0)</f>
        <v>0</v>
      </c>
      <c r="N1378" s="6" t="str">
        <f aca="false">IF(AND(C1378&lt;Assumptions!$B$9,B1378&lt;Assumptions!$B$10),"Irrigate Now",IF(AND(C1378&gt;=Assumptions!$B$11,B1378&gt;=Assumptions!$B$12),"No Irrigation Needed","Monitor"))</f>
        <v>Monitor</v>
      </c>
      <c r="O1378" s="6" t="n">
        <f aca="false">IF(N1378=G1378,1,0)</f>
        <v>1</v>
      </c>
    </row>
    <row r="1379" customFormat="false" ht="15" hidden="false" customHeight="false" outlineLevel="0" collapsed="false">
      <c r="A1379" s="16" t="n">
        <v>26.44019475</v>
      </c>
      <c r="B1379" s="16" t="n">
        <v>47.81847573</v>
      </c>
      <c r="C1379" s="16" t="n">
        <v>11.4116610213884</v>
      </c>
      <c r="D1379" s="6" t="s">
        <v>57</v>
      </c>
      <c r="E1379" s="6" t="s">
        <v>23</v>
      </c>
      <c r="F1379" s="6" t="s">
        <v>24</v>
      </c>
      <c r="G1379" s="6" t="s">
        <v>64</v>
      </c>
      <c r="H1379" s="6" t="s">
        <v>65</v>
      </c>
      <c r="I1379" s="6" t="str">
        <f aca="false">IF(A1379&lt;Outliers!$E$6,"Low",IF(A1379&gt;Outliers!$F$6,"High",""))</f>
        <v/>
      </c>
      <c r="J1379" s="6" t="str">
        <f aca="false">IF(B1379&lt;Outliers!$E$7,"Low",IF(B1379&gt;Outliers!$F$7,"High",""))</f>
        <v/>
      </c>
      <c r="K1379" s="6" t="str">
        <f aca="false">IF(C1379&lt;Outliers!$E$8,"Low",IF(C1379&gt;Outliers!$F$8,"High",""))</f>
        <v/>
      </c>
      <c r="L1379" s="6" t="str">
        <f aca="false">A1379&amp;";"&amp;B1379&amp;";"&amp;C1379</f>
        <v>26.44019475;47.81847573;11.4116610213884</v>
      </c>
      <c r="M1379" s="6" t="n">
        <f aca="false">IF(COUNTIF($L$2:$L$2201,L1379)&gt;1,1,0)</f>
        <v>0</v>
      </c>
      <c r="N1379" s="6" t="str">
        <f aca="false">IF(AND(C1379&lt;Assumptions!$B$9,B1379&lt;Assumptions!$B$10),"Irrigate Now",IF(AND(C1379&gt;=Assumptions!$B$11,B1379&gt;=Assumptions!$B$12),"No Irrigation Needed","Monitor"))</f>
        <v>Irrigate Now</v>
      </c>
      <c r="O1379" s="6" t="n">
        <f aca="false">IF(N1379=G1379,1,0)</f>
        <v>1</v>
      </c>
    </row>
    <row r="1380" customFormat="false" ht="15" hidden="false" customHeight="false" outlineLevel="0" collapsed="false">
      <c r="A1380" s="16" t="n">
        <v>26.283443</v>
      </c>
      <c r="B1380" s="16" t="n">
        <v>50.78669728</v>
      </c>
      <c r="C1380" s="16" t="n">
        <v>21.7775805226168</v>
      </c>
      <c r="D1380" s="6" t="s">
        <v>57</v>
      </c>
      <c r="E1380" s="6" t="s">
        <v>57</v>
      </c>
      <c r="F1380" s="6" t="s">
        <v>60</v>
      </c>
      <c r="G1380" s="6" t="s">
        <v>61</v>
      </c>
      <c r="H1380" s="6" t="s">
        <v>63</v>
      </c>
      <c r="I1380" s="6" t="str">
        <f aca="false">IF(A1380&lt;Outliers!$E$6,"Low",IF(A1380&gt;Outliers!$F$6,"High",""))</f>
        <v/>
      </c>
      <c r="J1380" s="6" t="str">
        <f aca="false">IF(B1380&lt;Outliers!$E$7,"Low",IF(B1380&gt;Outliers!$F$7,"High",""))</f>
        <v/>
      </c>
      <c r="K1380" s="6" t="str">
        <f aca="false">IF(C1380&lt;Outliers!$E$8,"Low",IF(C1380&gt;Outliers!$F$8,"High",""))</f>
        <v/>
      </c>
      <c r="L1380" s="6" t="str">
        <f aca="false">A1380&amp;";"&amp;B1380&amp;";"&amp;C1380</f>
        <v>26.283443;50.78669728;21.7775805226168</v>
      </c>
      <c r="M1380" s="6" t="n">
        <f aca="false">IF(COUNTIF($L$2:$L$2201,L1380)&gt;1,1,0)</f>
        <v>0</v>
      </c>
      <c r="N1380" s="6" t="str">
        <f aca="false">IF(AND(C1380&lt;Assumptions!$B$9,B1380&lt;Assumptions!$B$10),"Irrigate Now",IF(AND(C1380&gt;=Assumptions!$B$11,B1380&gt;=Assumptions!$B$12),"No Irrigation Needed","Monitor"))</f>
        <v>Monitor</v>
      </c>
      <c r="O1380" s="6" t="n">
        <f aca="false">IF(N1380=G1380,1,0)</f>
        <v>1</v>
      </c>
    </row>
    <row r="1381" customFormat="false" ht="15" hidden="false" customHeight="false" outlineLevel="0" collapsed="false">
      <c r="A1381" s="16" t="n">
        <v>26.84366082</v>
      </c>
      <c r="B1381" s="16" t="n">
        <v>40.228644</v>
      </c>
      <c r="C1381" s="16" t="n">
        <v>17.6953105709923</v>
      </c>
      <c r="D1381" s="6" t="s">
        <v>57</v>
      </c>
      <c r="E1381" s="6" t="s">
        <v>23</v>
      </c>
      <c r="F1381" s="6" t="s">
        <v>24</v>
      </c>
      <c r="G1381" s="6" t="s">
        <v>64</v>
      </c>
      <c r="H1381" s="6" t="s">
        <v>65</v>
      </c>
      <c r="I1381" s="6" t="str">
        <f aca="false">IF(A1381&lt;Outliers!$E$6,"Low",IF(A1381&gt;Outliers!$F$6,"High",""))</f>
        <v/>
      </c>
      <c r="J1381" s="6" t="str">
        <f aca="false">IF(B1381&lt;Outliers!$E$7,"Low",IF(B1381&gt;Outliers!$F$7,"High",""))</f>
        <v/>
      </c>
      <c r="K1381" s="6" t="str">
        <f aca="false">IF(C1381&lt;Outliers!$E$8,"Low",IF(C1381&gt;Outliers!$F$8,"High",""))</f>
        <v/>
      </c>
      <c r="L1381" s="6" t="str">
        <f aca="false">A1381&amp;";"&amp;B1381&amp;";"&amp;C1381</f>
        <v>26.84366082;40.228644;17.6953105709923</v>
      </c>
      <c r="M1381" s="6" t="n">
        <f aca="false">IF(COUNTIF($L$2:$L$2201,L1381)&gt;1,1,0)</f>
        <v>0</v>
      </c>
      <c r="N1381" s="6" t="str">
        <f aca="false">IF(AND(C1381&lt;Assumptions!$B$9,B1381&lt;Assumptions!$B$10),"Irrigate Now",IF(AND(C1381&gt;=Assumptions!$B$11,B1381&gt;=Assumptions!$B$12),"No Irrigation Needed","Monitor"))</f>
        <v>Irrigate Now</v>
      </c>
      <c r="O1381" s="6" t="n">
        <f aca="false">IF(N1381=G1381,1,0)</f>
        <v>1</v>
      </c>
    </row>
    <row r="1382" customFormat="false" ht="15" hidden="false" customHeight="false" outlineLevel="0" collapsed="false">
      <c r="A1382" s="16" t="n">
        <v>26.03967219</v>
      </c>
      <c r="B1382" s="16" t="n">
        <v>43.87712348</v>
      </c>
      <c r="C1382" s="16" t="n">
        <v>22.7558562393888</v>
      </c>
      <c r="D1382" s="6" t="s">
        <v>57</v>
      </c>
      <c r="E1382" s="6" t="s">
        <v>23</v>
      </c>
      <c r="F1382" s="6" t="s">
        <v>60</v>
      </c>
      <c r="G1382" s="6" t="s">
        <v>61</v>
      </c>
      <c r="H1382" s="6" t="s">
        <v>63</v>
      </c>
      <c r="I1382" s="6" t="str">
        <f aca="false">IF(A1382&lt;Outliers!$E$6,"Low",IF(A1382&gt;Outliers!$F$6,"High",""))</f>
        <v/>
      </c>
      <c r="J1382" s="6" t="str">
        <f aca="false">IF(B1382&lt;Outliers!$E$7,"Low",IF(B1382&gt;Outliers!$F$7,"High",""))</f>
        <v/>
      </c>
      <c r="K1382" s="6" t="str">
        <f aca="false">IF(C1382&lt;Outliers!$E$8,"Low",IF(C1382&gt;Outliers!$F$8,"High",""))</f>
        <v/>
      </c>
      <c r="L1382" s="6" t="str">
        <f aca="false">A1382&amp;";"&amp;B1382&amp;";"&amp;C1382</f>
        <v>26.03967219;43.87712348;22.7558562393888</v>
      </c>
      <c r="M1382" s="6" t="n">
        <f aca="false">IF(COUNTIF($L$2:$L$2201,L1382)&gt;1,1,0)</f>
        <v>0</v>
      </c>
      <c r="N1382" s="6" t="str">
        <f aca="false">IF(AND(C1382&lt;Assumptions!$B$9,B1382&lt;Assumptions!$B$10),"Irrigate Now",IF(AND(C1382&gt;=Assumptions!$B$11,B1382&gt;=Assumptions!$B$12),"No Irrigation Needed","Monitor"))</f>
        <v>Monitor</v>
      </c>
      <c r="O1382" s="6" t="n">
        <f aca="false">IF(N1382=G1382,1,0)</f>
        <v>1</v>
      </c>
    </row>
    <row r="1383" customFormat="false" ht="15" hidden="false" customHeight="false" outlineLevel="0" collapsed="false">
      <c r="A1383" s="16" t="n">
        <v>24.92994759</v>
      </c>
      <c r="B1383" s="16" t="n">
        <v>48.75859458</v>
      </c>
      <c r="C1383" s="16" t="n">
        <v>12.1558943559832</v>
      </c>
      <c r="D1383" s="6" t="s">
        <v>57</v>
      </c>
      <c r="E1383" s="6" t="s">
        <v>23</v>
      </c>
      <c r="F1383" s="6" t="s">
        <v>24</v>
      </c>
      <c r="G1383" s="6" t="s">
        <v>64</v>
      </c>
      <c r="H1383" s="6" t="s">
        <v>65</v>
      </c>
      <c r="I1383" s="6" t="str">
        <f aca="false">IF(A1383&lt;Outliers!$E$6,"Low",IF(A1383&gt;Outliers!$F$6,"High",""))</f>
        <v/>
      </c>
      <c r="J1383" s="6" t="str">
        <f aca="false">IF(B1383&lt;Outliers!$E$7,"Low",IF(B1383&gt;Outliers!$F$7,"High",""))</f>
        <v/>
      </c>
      <c r="K1383" s="6" t="str">
        <f aca="false">IF(C1383&lt;Outliers!$E$8,"Low",IF(C1383&gt;Outliers!$F$8,"High",""))</f>
        <v/>
      </c>
      <c r="L1383" s="6" t="str">
        <f aca="false">A1383&amp;";"&amp;B1383&amp;";"&amp;C1383</f>
        <v>24.92994759;48.75859458;12.1558943559832</v>
      </c>
      <c r="M1383" s="6" t="n">
        <f aca="false">IF(COUNTIF($L$2:$L$2201,L1383)&gt;1,1,0)</f>
        <v>0</v>
      </c>
      <c r="N1383" s="6" t="str">
        <f aca="false">IF(AND(C1383&lt;Assumptions!$B$9,B1383&lt;Assumptions!$B$10),"Irrigate Now",IF(AND(C1383&gt;=Assumptions!$B$11,B1383&gt;=Assumptions!$B$12),"No Irrigation Needed","Monitor"))</f>
        <v>Irrigate Now</v>
      </c>
      <c r="O1383" s="6" t="n">
        <f aca="false">IF(N1383=G1383,1,0)</f>
        <v>1</v>
      </c>
    </row>
    <row r="1384" customFormat="false" ht="15" hidden="false" customHeight="false" outlineLevel="0" collapsed="false">
      <c r="A1384" s="16" t="n">
        <v>25.50736962</v>
      </c>
      <c r="B1384" s="16" t="n">
        <v>44.2068997</v>
      </c>
      <c r="C1384" s="16" t="n">
        <v>10.1984378053624</v>
      </c>
      <c r="D1384" s="6" t="s">
        <v>57</v>
      </c>
      <c r="E1384" s="6" t="s">
        <v>23</v>
      </c>
      <c r="F1384" s="6" t="s">
        <v>24</v>
      </c>
      <c r="G1384" s="6" t="s">
        <v>64</v>
      </c>
      <c r="H1384" s="6" t="s">
        <v>65</v>
      </c>
      <c r="I1384" s="6" t="str">
        <f aca="false">IF(A1384&lt;Outliers!$E$6,"Low",IF(A1384&gt;Outliers!$F$6,"High",""))</f>
        <v/>
      </c>
      <c r="J1384" s="6" t="str">
        <f aca="false">IF(B1384&lt;Outliers!$E$7,"Low",IF(B1384&gt;Outliers!$F$7,"High",""))</f>
        <v/>
      </c>
      <c r="K1384" s="6" t="str">
        <f aca="false">IF(C1384&lt;Outliers!$E$8,"Low",IF(C1384&gt;Outliers!$F$8,"High",""))</f>
        <v/>
      </c>
      <c r="L1384" s="6" t="str">
        <f aca="false">A1384&amp;";"&amp;B1384&amp;";"&amp;C1384</f>
        <v>25.50736962;44.2068997;10.1984378053624</v>
      </c>
      <c r="M1384" s="6" t="n">
        <f aca="false">IF(COUNTIF($L$2:$L$2201,L1384)&gt;1,1,0)</f>
        <v>0</v>
      </c>
      <c r="N1384" s="6" t="str">
        <f aca="false">IF(AND(C1384&lt;Assumptions!$B$9,B1384&lt;Assumptions!$B$10),"Irrigate Now",IF(AND(C1384&gt;=Assumptions!$B$11,B1384&gt;=Assumptions!$B$12),"No Irrigation Needed","Monitor"))</f>
        <v>Irrigate Now</v>
      </c>
      <c r="O1384" s="6" t="n">
        <f aca="false">IF(N1384=G1384,1,0)</f>
        <v>1</v>
      </c>
    </row>
    <row r="1385" customFormat="false" ht="15" hidden="false" customHeight="false" outlineLevel="0" collapsed="false">
      <c r="A1385" s="16" t="n">
        <v>25.4438391</v>
      </c>
      <c r="B1385" s="16" t="n">
        <v>57.51549686</v>
      </c>
      <c r="C1385" s="16" t="n">
        <v>24.1504335972952</v>
      </c>
      <c r="D1385" s="6" t="s">
        <v>57</v>
      </c>
      <c r="E1385" s="6" t="s">
        <v>57</v>
      </c>
      <c r="F1385" s="6" t="s">
        <v>60</v>
      </c>
      <c r="G1385" s="6" t="s">
        <v>61</v>
      </c>
      <c r="H1385" s="6" t="s">
        <v>63</v>
      </c>
      <c r="I1385" s="6" t="str">
        <f aca="false">IF(A1385&lt;Outliers!$E$6,"Low",IF(A1385&gt;Outliers!$F$6,"High",""))</f>
        <v/>
      </c>
      <c r="J1385" s="6" t="str">
        <f aca="false">IF(B1385&lt;Outliers!$E$7,"Low",IF(B1385&gt;Outliers!$F$7,"High",""))</f>
        <v/>
      </c>
      <c r="K1385" s="6" t="str">
        <f aca="false">IF(C1385&lt;Outliers!$E$8,"Low",IF(C1385&gt;Outliers!$F$8,"High",""))</f>
        <v/>
      </c>
      <c r="L1385" s="6" t="str">
        <f aca="false">A1385&amp;";"&amp;B1385&amp;";"&amp;C1385</f>
        <v>25.4438391;57.51549686;24.1504335972952</v>
      </c>
      <c r="M1385" s="6" t="n">
        <f aca="false">IF(COUNTIF($L$2:$L$2201,L1385)&gt;1,1,0)</f>
        <v>0</v>
      </c>
      <c r="N1385" s="6" t="str">
        <f aca="false">IF(AND(C1385&lt;Assumptions!$B$9,B1385&lt;Assumptions!$B$10),"Irrigate Now",IF(AND(C1385&gt;=Assumptions!$B$11,B1385&gt;=Assumptions!$B$12),"No Irrigation Needed","Monitor"))</f>
        <v>Monitor</v>
      </c>
      <c r="O1385" s="6" t="n">
        <f aca="false">IF(N1385=G1385,1,0)</f>
        <v>1</v>
      </c>
    </row>
    <row r="1386" customFormat="false" ht="15" hidden="false" customHeight="false" outlineLevel="0" collapsed="false">
      <c r="A1386" s="16" t="n">
        <v>26.12588914</v>
      </c>
      <c r="B1386" s="16" t="n">
        <v>40.71210074</v>
      </c>
      <c r="C1386" s="16" t="n">
        <v>10.5625189964228</v>
      </c>
      <c r="D1386" s="6" t="s">
        <v>57</v>
      </c>
      <c r="E1386" s="6" t="s">
        <v>23</v>
      </c>
      <c r="F1386" s="6" t="s">
        <v>24</v>
      </c>
      <c r="G1386" s="6" t="s">
        <v>64</v>
      </c>
      <c r="H1386" s="6" t="s">
        <v>65</v>
      </c>
      <c r="I1386" s="6" t="str">
        <f aca="false">IF(A1386&lt;Outliers!$E$6,"Low",IF(A1386&gt;Outliers!$F$6,"High",""))</f>
        <v/>
      </c>
      <c r="J1386" s="6" t="str">
        <f aca="false">IF(B1386&lt;Outliers!$E$7,"Low",IF(B1386&gt;Outliers!$F$7,"High",""))</f>
        <v/>
      </c>
      <c r="K1386" s="6" t="str">
        <f aca="false">IF(C1386&lt;Outliers!$E$8,"Low",IF(C1386&gt;Outliers!$F$8,"High",""))</f>
        <v/>
      </c>
      <c r="L1386" s="6" t="str">
        <f aca="false">A1386&amp;";"&amp;B1386&amp;";"&amp;C1386</f>
        <v>26.12588914;40.71210074;10.5625189964228</v>
      </c>
      <c r="M1386" s="6" t="n">
        <f aca="false">IF(COUNTIF($L$2:$L$2201,L1386)&gt;1,1,0)</f>
        <v>0</v>
      </c>
      <c r="N1386" s="6" t="str">
        <f aca="false">IF(AND(C1386&lt;Assumptions!$B$9,B1386&lt;Assumptions!$B$10),"Irrigate Now",IF(AND(C1386&gt;=Assumptions!$B$11,B1386&gt;=Assumptions!$B$12),"No Irrigation Needed","Monitor"))</f>
        <v>Irrigate Now</v>
      </c>
      <c r="O1386" s="6" t="n">
        <f aca="false">IF(N1386=G1386,1,0)</f>
        <v>1</v>
      </c>
    </row>
    <row r="1387" customFormat="false" ht="15" hidden="false" customHeight="false" outlineLevel="0" collapsed="false">
      <c r="A1387" s="16" t="n">
        <v>25.10474753</v>
      </c>
      <c r="B1387" s="16" t="n">
        <v>59.26519444</v>
      </c>
      <c r="C1387" s="16" t="n">
        <v>16.3523882613418</v>
      </c>
      <c r="D1387" s="6" t="s">
        <v>57</v>
      </c>
      <c r="E1387" s="6" t="s">
        <v>57</v>
      </c>
      <c r="F1387" s="6" t="s">
        <v>24</v>
      </c>
      <c r="G1387" s="6" t="s">
        <v>64</v>
      </c>
      <c r="H1387" s="6" t="s">
        <v>65</v>
      </c>
      <c r="I1387" s="6" t="str">
        <f aca="false">IF(A1387&lt;Outliers!$E$6,"Low",IF(A1387&gt;Outliers!$F$6,"High",""))</f>
        <v/>
      </c>
      <c r="J1387" s="6" t="str">
        <f aca="false">IF(B1387&lt;Outliers!$E$7,"Low",IF(B1387&gt;Outliers!$F$7,"High",""))</f>
        <v/>
      </c>
      <c r="K1387" s="6" t="str">
        <f aca="false">IF(C1387&lt;Outliers!$E$8,"Low",IF(C1387&gt;Outliers!$F$8,"High",""))</f>
        <v/>
      </c>
      <c r="L1387" s="6" t="str">
        <f aca="false">A1387&amp;";"&amp;B1387&amp;";"&amp;C1387</f>
        <v>25.10474753;59.26519444;16.3523882613418</v>
      </c>
      <c r="M1387" s="6" t="n">
        <f aca="false">IF(COUNTIF($L$2:$L$2201,L1387)&gt;1,1,0)</f>
        <v>0</v>
      </c>
      <c r="N1387" s="6" t="str">
        <f aca="false">IF(AND(C1387&lt;Assumptions!$B$9,B1387&lt;Assumptions!$B$10),"Irrigate Now",IF(AND(C1387&gt;=Assumptions!$B$11,B1387&gt;=Assumptions!$B$12),"No Irrigation Needed","Monitor"))</f>
        <v>Irrigate Now</v>
      </c>
      <c r="O1387" s="6" t="n">
        <f aca="false">IF(N1387=G1387,1,0)</f>
        <v>1</v>
      </c>
    </row>
    <row r="1388" customFormat="false" ht="15" hidden="false" customHeight="false" outlineLevel="0" collapsed="false">
      <c r="A1388" s="16" t="n">
        <v>26.27520631</v>
      </c>
      <c r="B1388" s="16" t="n">
        <v>54.38748495</v>
      </c>
      <c r="C1388" s="16" t="n">
        <v>21.6000526967655</v>
      </c>
      <c r="D1388" s="6" t="s">
        <v>57</v>
      </c>
      <c r="E1388" s="6" t="s">
        <v>57</v>
      </c>
      <c r="F1388" s="6" t="s">
        <v>60</v>
      </c>
      <c r="G1388" s="6" t="s">
        <v>61</v>
      </c>
      <c r="H1388" s="6" t="s">
        <v>63</v>
      </c>
      <c r="I1388" s="6" t="str">
        <f aca="false">IF(A1388&lt;Outliers!$E$6,"Low",IF(A1388&gt;Outliers!$F$6,"High",""))</f>
        <v/>
      </c>
      <c r="J1388" s="6" t="str">
        <f aca="false">IF(B1388&lt;Outliers!$E$7,"Low",IF(B1388&gt;Outliers!$F$7,"High",""))</f>
        <v/>
      </c>
      <c r="K1388" s="6" t="str">
        <f aca="false">IF(C1388&lt;Outliers!$E$8,"Low",IF(C1388&gt;Outliers!$F$8,"High",""))</f>
        <v/>
      </c>
      <c r="L1388" s="6" t="str">
        <f aca="false">A1388&amp;";"&amp;B1388&amp;";"&amp;C1388</f>
        <v>26.27520631;54.38748495;21.6000526967655</v>
      </c>
      <c r="M1388" s="6" t="n">
        <f aca="false">IF(COUNTIF($L$2:$L$2201,L1388)&gt;1,1,0)</f>
        <v>0</v>
      </c>
      <c r="N1388" s="6" t="str">
        <f aca="false">IF(AND(C1388&lt;Assumptions!$B$9,B1388&lt;Assumptions!$B$10),"Irrigate Now",IF(AND(C1388&gt;=Assumptions!$B$11,B1388&gt;=Assumptions!$B$12),"No Irrigation Needed","Monitor"))</f>
        <v>Monitor</v>
      </c>
      <c r="O1388" s="6" t="n">
        <f aca="false">IF(N1388=G1388,1,0)</f>
        <v>1</v>
      </c>
    </row>
    <row r="1389" customFormat="false" ht="15" hidden="false" customHeight="false" outlineLevel="0" collapsed="false">
      <c r="A1389" s="16" t="n">
        <v>26.27061608</v>
      </c>
      <c r="B1389" s="16" t="n">
        <v>46.76837499</v>
      </c>
      <c r="C1389" s="16" t="n">
        <v>15.6695229838639</v>
      </c>
      <c r="D1389" s="6" t="s">
        <v>57</v>
      </c>
      <c r="E1389" s="6" t="s">
        <v>23</v>
      </c>
      <c r="F1389" s="6" t="s">
        <v>24</v>
      </c>
      <c r="G1389" s="6" t="s">
        <v>64</v>
      </c>
      <c r="H1389" s="6" t="s">
        <v>65</v>
      </c>
      <c r="I1389" s="6" t="str">
        <f aca="false">IF(A1389&lt;Outliers!$E$6,"Low",IF(A1389&gt;Outliers!$F$6,"High",""))</f>
        <v/>
      </c>
      <c r="J1389" s="6" t="str">
        <f aca="false">IF(B1389&lt;Outliers!$E$7,"Low",IF(B1389&gt;Outliers!$F$7,"High",""))</f>
        <v/>
      </c>
      <c r="K1389" s="6" t="str">
        <f aca="false">IF(C1389&lt;Outliers!$E$8,"Low",IF(C1389&gt;Outliers!$F$8,"High",""))</f>
        <v/>
      </c>
      <c r="L1389" s="6" t="str">
        <f aca="false">A1389&amp;";"&amp;B1389&amp;";"&amp;C1389</f>
        <v>26.27061608;46.76837499;15.6695229838639</v>
      </c>
      <c r="M1389" s="6" t="n">
        <f aca="false">IF(COUNTIF($L$2:$L$2201,L1389)&gt;1,1,0)</f>
        <v>0</v>
      </c>
      <c r="N1389" s="6" t="str">
        <f aca="false">IF(AND(C1389&lt;Assumptions!$B$9,B1389&lt;Assumptions!$B$10),"Irrigate Now",IF(AND(C1389&gt;=Assumptions!$B$11,B1389&gt;=Assumptions!$B$12),"No Irrigation Needed","Monitor"))</f>
        <v>Irrigate Now</v>
      </c>
      <c r="O1389" s="6" t="n">
        <f aca="false">IF(N1389=G1389,1,0)</f>
        <v>1</v>
      </c>
    </row>
    <row r="1390" customFormat="false" ht="15" hidden="false" customHeight="false" outlineLevel="0" collapsed="false">
      <c r="A1390" s="16" t="n">
        <v>26.73690828</v>
      </c>
      <c r="B1390" s="16" t="n">
        <v>47.46447019</v>
      </c>
      <c r="C1390" s="16" t="n">
        <v>16.6457067440649</v>
      </c>
      <c r="D1390" s="6" t="s">
        <v>57</v>
      </c>
      <c r="E1390" s="6" t="s">
        <v>23</v>
      </c>
      <c r="F1390" s="6" t="s">
        <v>24</v>
      </c>
      <c r="G1390" s="6" t="s">
        <v>64</v>
      </c>
      <c r="H1390" s="6" t="s">
        <v>65</v>
      </c>
      <c r="I1390" s="6" t="str">
        <f aca="false">IF(A1390&lt;Outliers!$E$6,"Low",IF(A1390&gt;Outliers!$F$6,"High",""))</f>
        <v/>
      </c>
      <c r="J1390" s="6" t="str">
        <f aca="false">IF(B1390&lt;Outliers!$E$7,"Low",IF(B1390&gt;Outliers!$F$7,"High",""))</f>
        <v/>
      </c>
      <c r="K1390" s="6" t="str">
        <f aca="false">IF(C1390&lt;Outliers!$E$8,"Low",IF(C1390&gt;Outliers!$F$8,"High",""))</f>
        <v/>
      </c>
      <c r="L1390" s="6" t="str">
        <f aca="false">A1390&amp;";"&amp;B1390&amp;";"&amp;C1390</f>
        <v>26.73690828;47.46447019;16.6457067440649</v>
      </c>
      <c r="M1390" s="6" t="n">
        <f aca="false">IF(COUNTIF($L$2:$L$2201,L1390)&gt;1,1,0)</f>
        <v>0</v>
      </c>
      <c r="N1390" s="6" t="str">
        <f aca="false">IF(AND(C1390&lt;Assumptions!$B$9,B1390&lt;Assumptions!$B$10),"Irrigate Now",IF(AND(C1390&gt;=Assumptions!$B$11,B1390&gt;=Assumptions!$B$12),"No Irrigation Needed","Monitor"))</f>
        <v>Irrigate Now</v>
      </c>
      <c r="O1390" s="6" t="n">
        <f aca="false">IF(N1390=G1390,1,0)</f>
        <v>1</v>
      </c>
    </row>
    <row r="1391" customFormat="false" ht="15" hidden="false" customHeight="false" outlineLevel="0" collapsed="false">
      <c r="A1391" s="16" t="n">
        <v>25.04746944</v>
      </c>
      <c r="B1391" s="16" t="n">
        <v>56.72496677</v>
      </c>
      <c r="C1391" s="16" t="n">
        <v>18.2967302216745</v>
      </c>
      <c r="D1391" s="6" t="s">
        <v>57</v>
      </c>
      <c r="E1391" s="6" t="s">
        <v>57</v>
      </c>
      <c r="F1391" s="6" t="s">
        <v>24</v>
      </c>
      <c r="G1391" s="6" t="s">
        <v>61</v>
      </c>
      <c r="H1391" s="6" t="s">
        <v>63</v>
      </c>
      <c r="I1391" s="6" t="str">
        <f aca="false">IF(A1391&lt;Outliers!$E$6,"Low",IF(A1391&gt;Outliers!$F$6,"High",""))</f>
        <v/>
      </c>
      <c r="J1391" s="6" t="str">
        <f aca="false">IF(B1391&lt;Outliers!$E$7,"Low",IF(B1391&gt;Outliers!$F$7,"High",""))</f>
        <v/>
      </c>
      <c r="K1391" s="6" t="str">
        <f aca="false">IF(C1391&lt;Outliers!$E$8,"Low",IF(C1391&gt;Outliers!$F$8,"High",""))</f>
        <v/>
      </c>
      <c r="L1391" s="6" t="str">
        <f aca="false">A1391&amp;";"&amp;B1391&amp;";"&amp;C1391</f>
        <v>25.04746944;56.72496677;18.2967302216745</v>
      </c>
      <c r="M1391" s="6" t="n">
        <f aca="false">IF(COUNTIF($L$2:$L$2201,L1391)&gt;1,1,0)</f>
        <v>0</v>
      </c>
      <c r="N1391" s="6" t="str">
        <f aca="false">IF(AND(C1391&lt;Assumptions!$B$9,B1391&lt;Assumptions!$B$10),"Irrigate Now",IF(AND(C1391&gt;=Assumptions!$B$11,B1391&gt;=Assumptions!$B$12),"No Irrigation Needed","Monitor"))</f>
        <v>Monitor</v>
      </c>
      <c r="O1391" s="6" t="n">
        <f aca="false">IF(N1391=G1391,1,0)</f>
        <v>1</v>
      </c>
    </row>
    <row r="1392" customFormat="false" ht="15" hidden="false" customHeight="false" outlineLevel="0" collapsed="false">
      <c r="A1392" s="16" t="n">
        <v>24.69368934</v>
      </c>
      <c r="B1392" s="16" t="n">
        <v>48.99390828</v>
      </c>
      <c r="C1392" s="16" t="n">
        <v>22.3321356815046</v>
      </c>
      <c r="D1392" s="6" t="s">
        <v>57</v>
      </c>
      <c r="E1392" s="6" t="s">
        <v>23</v>
      </c>
      <c r="F1392" s="6" t="s">
        <v>60</v>
      </c>
      <c r="G1392" s="6" t="s">
        <v>61</v>
      </c>
      <c r="H1392" s="6" t="s">
        <v>63</v>
      </c>
      <c r="I1392" s="6" t="str">
        <f aca="false">IF(A1392&lt;Outliers!$E$6,"Low",IF(A1392&gt;Outliers!$F$6,"High",""))</f>
        <v/>
      </c>
      <c r="J1392" s="6" t="str">
        <f aca="false">IF(B1392&lt;Outliers!$E$7,"Low",IF(B1392&gt;Outliers!$F$7,"High",""))</f>
        <v/>
      </c>
      <c r="K1392" s="6" t="str">
        <f aca="false">IF(C1392&lt;Outliers!$E$8,"Low",IF(C1392&gt;Outliers!$F$8,"High",""))</f>
        <v/>
      </c>
      <c r="L1392" s="6" t="str">
        <f aca="false">A1392&amp;";"&amp;B1392&amp;";"&amp;C1392</f>
        <v>24.69368934;48.99390828;22.3321356815046</v>
      </c>
      <c r="M1392" s="6" t="n">
        <f aca="false">IF(COUNTIF($L$2:$L$2201,L1392)&gt;1,1,0)</f>
        <v>0</v>
      </c>
      <c r="N1392" s="6" t="str">
        <f aca="false">IF(AND(C1392&lt;Assumptions!$B$9,B1392&lt;Assumptions!$B$10),"Irrigate Now",IF(AND(C1392&gt;=Assumptions!$B$11,B1392&gt;=Assumptions!$B$12),"No Irrigation Needed","Monitor"))</f>
        <v>Monitor</v>
      </c>
      <c r="O1392" s="6" t="n">
        <f aca="false">IF(N1392=G1392,1,0)</f>
        <v>1</v>
      </c>
    </row>
    <row r="1393" customFormat="false" ht="15" hidden="false" customHeight="false" outlineLevel="0" collapsed="false">
      <c r="A1393" s="16" t="n">
        <v>24.54356968</v>
      </c>
      <c r="B1393" s="16" t="n">
        <v>42.00660251</v>
      </c>
      <c r="C1393" s="16" t="n">
        <v>17.9920561146135</v>
      </c>
      <c r="D1393" s="6" t="s">
        <v>57</v>
      </c>
      <c r="E1393" s="6" t="s">
        <v>23</v>
      </c>
      <c r="F1393" s="6" t="s">
        <v>24</v>
      </c>
      <c r="G1393" s="6" t="s">
        <v>64</v>
      </c>
      <c r="H1393" s="6" t="s">
        <v>65</v>
      </c>
      <c r="I1393" s="6" t="str">
        <f aca="false">IF(A1393&lt;Outliers!$E$6,"Low",IF(A1393&gt;Outliers!$F$6,"High",""))</f>
        <v/>
      </c>
      <c r="J1393" s="6" t="str">
        <f aca="false">IF(B1393&lt;Outliers!$E$7,"Low",IF(B1393&gt;Outliers!$F$7,"High",""))</f>
        <v/>
      </c>
      <c r="K1393" s="6" t="str">
        <f aca="false">IF(C1393&lt;Outliers!$E$8,"Low",IF(C1393&gt;Outliers!$F$8,"High",""))</f>
        <v/>
      </c>
      <c r="L1393" s="6" t="str">
        <f aca="false">A1393&amp;";"&amp;B1393&amp;";"&amp;C1393</f>
        <v>24.54356968;42.00660251;17.9920561146135</v>
      </c>
      <c r="M1393" s="6" t="n">
        <f aca="false">IF(COUNTIF($L$2:$L$2201,L1393)&gt;1,1,0)</f>
        <v>0</v>
      </c>
      <c r="N1393" s="6" t="str">
        <f aca="false">IF(AND(C1393&lt;Assumptions!$B$9,B1393&lt;Assumptions!$B$10),"Irrigate Now",IF(AND(C1393&gt;=Assumptions!$B$11,B1393&gt;=Assumptions!$B$12),"No Irrigation Needed","Monitor"))</f>
        <v>Irrigate Now</v>
      </c>
      <c r="O1393" s="6" t="n">
        <f aca="false">IF(N1393=G1393,1,0)</f>
        <v>1</v>
      </c>
    </row>
    <row r="1394" customFormat="false" ht="15" hidden="false" customHeight="false" outlineLevel="0" collapsed="false">
      <c r="A1394" s="16" t="n">
        <v>25.89762315</v>
      </c>
      <c r="B1394" s="16" t="n">
        <v>54.49960057</v>
      </c>
      <c r="C1394" s="16" t="n">
        <v>17.1087194697876</v>
      </c>
      <c r="D1394" s="6" t="s">
        <v>57</v>
      </c>
      <c r="E1394" s="6" t="s">
        <v>57</v>
      </c>
      <c r="F1394" s="6" t="s">
        <v>24</v>
      </c>
      <c r="G1394" s="6" t="s">
        <v>64</v>
      </c>
      <c r="H1394" s="6" t="s">
        <v>65</v>
      </c>
      <c r="I1394" s="6" t="str">
        <f aca="false">IF(A1394&lt;Outliers!$E$6,"Low",IF(A1394&gt;Outliers!$F$6,"High",""))</f>
        <v/>
      </c>
      <c r="J1394" s="6" t="str">
        <f aca="false">IF(B1394&lt;Outliers!$E$7,"Low",IF(B1394&gt;Outliers!$F$7,"High",""))</f>
        <v/>
      </c>
      <c r="K1394" s="6" t="str">
        <f aca="false">IF(C1394&lt;Outliers!$E$8,"Low",IF(C1394&gt;Outliers!$F$8,"High",""))</f>
        <v/>
      </c>
      <c r="L1394" s="6" t="str">
        <f aca="false">A1394&amp;";"&amp;B1394&amp;";"&amp;C1394</f>
        <v>25.89762315;54.49960057;17.1087194697876</v>
      </c>
      <c r="M1394" s="6" t="n">
        <f aca="false">IF(COUNTIF($L$2:$L$2201,L1394)&gt;1,1,0)</f>
        <v>0</v>
      </c>
      <c r="N1394" s="6" t="str">
        <f aca="false">IF(AND(C1394&lt;Assumptions!$B$9,B1394&lt;Assumptions!$B$10),"Irrigate Now",IF(AND(C1394&gt;=Assumptions!$B$11,B1394&gt;=Assumptions!$B$12),"No Irrigation Needed","Monitor"))</f>
        <v>Irrigate Now</v>
      </c>
      <c r="O1394" s="6" t="n">
        <f aca="false">IF(N1394=G1394,1,0)</f>
        <v>1</v>
      </c>
    </row>
    <row r="1395" customFormat="false" ht="15" hidden="false" customHeight="false" outlineLevel="0" collapsed="false">
      <c r="A1395" s="16" t="n">
        <v>26.6333118</v>
      </c>
      <c r="B1395" s="16" t="n">
        <v>56.31866159</v>
      </c>
      <c r="C1395" s="16" t="n">
        <v>10.8240132331684</v>
      </c>
      <c r="D1395" s="6" t="s">
        <v>57</v>
      </c>
      <c r="E1395" s="6" t="s">
        <v>57</v>
      </c>
      <c r="F1395" s="6" t="s">
        <v>24</v>
      </c>
      <c r="G1395" s="6" t="s">
        <v>64</v>
      </c>
      <c r="H1395" s="6" t="s">
        <v>65</v>
      </c>
      <c r="I1395" s="6" t="str">
        <f aca="false">IF(A1395&lt;Outliers!$E$6,"Low",IF(A1395&gt;Outliers!$F$6,"High",""))</f>
        <v/>
      </c>
      <c r="J1395" s="6" t="str">
        <f aca="false">IF(B1395&lt;Outliers!$E$7,"Low",IF(B1395&gt;Outliers!$F$7,"High",""))</f>
        <v/>
      </c>
      <c r="K1395" s="6" t="str">
        <f aca="false">IF(C1395&lt;Outliers!$E$8,"Low",IF(C1395&gt;Outliers!$F$8,"High",""))</f>
        <v/>
      </c>
      <c r="L1395" s="6" t="str">
        <f aca="false">A1395&amp;";"&amp;B1395&amp;";"&amp;C1395</f>
        <v>26.6333118;56.31866159;10.8240132331684</v>
      </c>
      <c r="M1395" s="6" t="n">
        <f aca="false">IF(COUNTIF($L$2:$L$2201,L1395)&gt;1,1,0)</f>
        <v>0</v>
      </c>
      <c r="N1395" s="6" t="str">
        <f aca="false">IF(AND(C1395&lt;Assumptions!$B$9,B1395&lt;Assumptions!$B$10),"Irrigate Now",IF(AND(C1395&gt;=Assumptions!$B$11,B1395&gt;=Assumptions!$B$12),"No Irrigation Needed","Monitor"))</f>
        <v>Irrigate Now</v>
      </c>
      <c r="O1395" s="6" t="n">
        <f aca="false">IF(N1395=G1395,1,0)</f>
        <v>1</v>
      </c>
    </row>
    <row r="1396" customFormat="false" ht="15" hidden="false" customHeight="false" outlineLevel="0" collapsed="false">
      <c r="A1396" s="16" t="n">
        <v>25.35794749</v>
      </c>
      <c r="B1396" s="16" t="n">
        <v>47.72078245</v>
      </c>
      <c r="C1396" s="16" t="n">
        <v>19.0612384609276</v>
      </c>
      <c r="D1396" s="6" t="s">
        <v>57</v>
      </c>
      <c r="E1396" s="6" t="s">
        <v>23</v>
      </c>
      <c r="F1396" s="6" t="s">
        <v>24</v>
      </c>
      <c r="G1396" s="6" t="s">
        <v>61</v>
      </c>
      <c r="H1396" s="6" t="s">
        <v>63</v>
      </c>
      <c r="I1396" s="6" t="str">
        <f aca="false">IF(A1396&lt;Outliers!$E$6,"Low",IF(A1396&gt;Outliers!$F$6,"High",""))</f>
        <v/>
      </c>
      <c r="J1396" s="6" t="str">
        <f aca="false">IF(B1396&lt;Outliers!$E$7,"Low",IF(B1396&gt;Outliers!$F$7,"High",""))</f>
        <v/>
      </c>
      <c r="K1396" s="6" t="str">
        <f aca="false">IF(C1396&lt;Outliers!$E$8,"Low",IF(C1396&gt;Outliers!$F$8,"High",""))</f>
        <v/>
      </c>
      <c r="L1396" s="6" t="str">
        <f aca="false">A1396&amp;";"&amp;B1396&amp;";"&amp;C1396</f>
        <v>25.35794749;47.72078245;19.0612384609276</v>
      </c>
      <c r="M1396" s="6" t="n">
        <f aca="false">IF(COUNTIF($L$2:$L$2201,L1396)&gt;1,1,0)</f>
        <v>0</v>
      </c>
      <c r="N1396" s="6" t="str">
        <f aca="false">IF(AND(C1396&lt;Assumptions!$B$9,B1396&lt;Assumptions!$B$10),"Irrigate Now",IF(AND(C1396&gt;=Assumptions!$B$11,B1396&gt;=Assumptions!$B$12),"No Irrigation Needed","Monitor"))</f>
        <v>Monitor</v>
      </c>
      <c r="O1396" s="6" t="n">
        <f aca="false">IF(N1396=G1396,1,0)</f>
        <v>1</v>
      </c>
    </row>
    <row r="1397" customFormat="false" ht="15" hidden="false" customHeight="false" outlineLevel="0" collapsed="false">
      <c r="A1397" s="16" t="n">
        <v>25.28784623</v>
      </c>
      <c r="B1397" s="16" t="n">
        <v>58.28697664</v>
      </c>
      <c r="C1397" s="16" t="n">
        <v>27.3762831313526</v>
      </c>
      <c r="D1397" s="6" t="s">
        <v>57</v>
      </c>
      <c r="E1397" s="6" t="s">
        <v>57</v>
      </c>
      <c r="F1397" s="6" t="s">
        <v>23</v>
      </c>
      <c r="G1397" s="6" t="s">
        <v>61</v>
      </c>
      <c r="H1397" s="6" t="s">
        <v>63</v>
      </c>
      <c r="I1397" s="6" t="str">
        <f aca="false">IF(A1397&lt;Outliers!$E$6,"Low",IF(A1397&gt;Outliers!$F$6,"High",""))</f>
        <v/>
      </c>
      <c r="J1397" s="6" t="str">
        <f aca="false">IF(B1397&lt;Outliers!$E$7,"Low",IF(B1397&gt;Outliers!$F$7,"High",""))</f>
        <v/>
      </c>
      <c r="K1397" s="6" t="str">
        <f aca="false">IF(C1397&lt;Outliers!$E$8,"Low",IF(C1397&gt;Outliers!$F$8,"High",""))</f>
        <v/>
      </c>
      <c r="L1397" s="6" t="str">
        <f aca="false">A1397&amp;";"&amp;B1397&amp;";"&amp;C1397</f>
        <v>25.28784623;58.28697664;27.3762831313526</v>
      </c>
      <c r="M1397" s="6" t="n">
        <f aca="false">IF(COUNTIF($L$2:$L$2201,L1397)&gt;1,1,0)</f>
        <v>0</v>
      </c>
      <c r="N1397" s="6" t="str">
        <f aca="false">IF(AND(C1397&lt;Assumptions!$B$9,B1397&lt;Assumptions!$B$10),"Irrigate Now",IF(AND(C1397&gt;=Assumptions!$B$11,B1397&gt;=Assumptions!$B$12),"No Irrigation Needed","Monitor"))</f>
        <v>Monitor</v>
      </c>
      <c r="O1397" s="6" t="n">
        <f aca="false">IF(N1397=G1397,1,0)</f>
        <v>1</v>
      </c>
    </row>
    <row r="1398" customFormat="false" ht="15" hidden="false" customHeight="false" outlineLevel="0" collapsed="false">
      <c r="A1398" s="16" t="n">
        <v>26.63838589</v>
      </c>
      <c r="B1398" s="16" t="n">
        <v>48.32428609</v>
      </c>
      <c r="C1398" s="16" t="n">
        <v>18.3977846729176</v>
      </c>
      <c r="D1398" s="6" t="s">
        <v>57</v>
      </c>
      <c r="E1398" s="6" t="s">
        <v>23</v>
      </c>
      <c r="F1398" s="6" t="s">
        <v>24</v>
      </c>
      <c r="G1398" s="6" t="s">
        <v>61</v>
      </c>
      <c r="H1398" s="6" t="s">
        <v>63</v>
      </c>
      <c r="I1398" s="6" t="str">
        <f aca="false">IF(A1398&lt;Outliers!$E$6,"Low",IF(A1398&gt;Outliers!$F$6,"High",""))</f>
        <v/>
      </c>
      <c r="J1398" s="6" t="str">
        <f aca="false">IF(B1398&lt;Outliers!$E$7,"Low",IF(B1398&gt;Outliers!$F$7,"High",""))</f>
        <v/>
      </c>
      <c r="K1398" s="6" t="str">
        <f aca="false">IF(C1398&lt;Outliers!$E$8,"Low",IF(C1398&gt;Outliers!$F$8,"High",""))</f>
        <v/>
      </c>
      <c r="L1398" s="6" t="str">
        <f aca="false">A1398&amp;";"&amp;B1398&amp;";"&amp;C1398</f>
        <v>26.63838589;48.32428609;18.3977846729176</v>
      </c>
      <c r="M1398" s="6" t="n">
        <f aca="false">IF(COUNTIF($L$2:$L$2201,L1398)&gt;1,1,0)</f>
        <v>0</v>
      </c>
      <c r="N1398" s="6" t="str">
        <f aca="false">IF(AND(C1398&lt;Assumptions!$B$9,B1398&lt;Assumptions!$B$10),"Irrigate Now",IF(AND(C1398&gt;=Assumptions!$B$11,B1398&gt;=Assumptions!$B$12),"No Irrigation Needed","Monitor"))</f>
        <v>Monitor</v>
      </c>
      <c r="O1398" s="6" t="n">
        <f aca="false">IF(N1398=G1398,1,0)</f>
        <v>1</v>
      </c>
    </row>
    <row r="1399" customFormat="false" ht="15" hidden="false" customHeight="false" outlineLevel="0" collapsed="false">
      <c r="A1399" s="16" t="n">
        <v>25.3310446</v>
      </c>
      <c r="B1399" s="16" t="n">
        <v>41.53218699</v>
      </c>
      <c r="C1399" s="16" t="n">
        <v>24.8178549583583</v>
      </c>
      <c r="D1399" s="6" t="s">
        <v>57</v>
      </c>
      <c r="E1399" s="6" t="s">
        <v>23</v>
      </c>
      <c r="F1399" s="6" t="s">
        <v>60</v>
      </c>
      <c r="G1399" s="6" t="s">
        <v>61</v>
      </c>
      <c r="H1399" s="6" t="s">
        <v>63</v>
      </c>
      <c r="I1399" s="6" t="str">
        <f aca="false">IF(A1399&lt;Outliers!$E$6,"Low",IF(A1399&gt;Outliers!$F$6,"High",""))</f>
        <v/>
      </c>
      <c r="J1399" s="6" t="str">
        <f aca="false">IF(B1399&lt;Outliers!$E$7,"Low",IF(B1399&gt;Outliers!$F$7,"High",""))</f>
        <v/>
      </c>
      <c r="K1399" s="6" t="str">
        <f aca="false">IF(C1399&lt;Outliers!$E$8,"Low",IF(C1399&gt;Outliers!$F$8,"High",""))</f>
        <v/>
      </c>
      <c r="L1399" s="6" t="str">
        <f aca="false">A1399&amp;";"&amp;B1399&amp;";"&amp;C1399</f>
        <v>25.3310446;41.53218699;24.8178549583583</v>
      </c>
      <c r="M1399" s="6" t="n">
        <f aca="false">IF(COUNTIF($L$2:$L$2201,L1399)&gt;1,1,0)</f>
        <v>0</v>
      </c>
      <c r="N1399" s="6" t="str">
        <f aca="false">IF(AND(C1399&lt;Assumptions!$B$9,B1399&lt;Assumptions!$B$10),"Irrigate Now",IF(AND(C1399&gt;=Assumptions!$B$11,B1399&gt;=Assumptions!$B$12),"No Irrigation Needed","Monitor"))</f>
        <v>Monitor</v>
      </c>
      <c r="O1399" s="6" t="n">
        <f aca="false">IF(N1399=G1399,1,0)</f>
        <v>1</v>
      </c>
    </row>
    <row r="1400" customFormat="false" ht="15" hidden="false" customHeight="false" outlineLevel="0" collapsed="false">
      <c r="A1400" s="16" t="n">
        <v>26.89750174</v>
      </c>
      <c r="B1400" s="16" t="n">
        <v>43.97193745</v>
      </c>
      <c r="C1400" s="16" t="n">
        <v>14.9600719180858</v>
      </c>
      <c r="D1400" s="6" t="s">
        <v>57</v>
      </c>
      <c r="E1400" s="6" t="s">
        <v>23</v>
      </c>
      <c r="F1400" s="6" t="s">
        <v>24</v>
      </c>
      <c r="G1400" s="6" t="s">
        <v>64</v>
      </c>
      <c r="H1400" s="6" t="s">
        <v>65</v>
      </c>
      <c r="I1400" s="6" t="str">
        <f aca="false">IF(A1400&lt;Outliers!$E$6,"Low",IF(A1400&gt;Outliers!$F$6,"High",""))</f>
        <v/>
      </c>
      <c r="J1400" s="6" t="str">
        <f aca="false">IF(B1400&lt;Outliers!$E$7,"Low",IF(B1400&gt;Outliers!$F$7,"High",""))</f>
        <v/>
      </c>
      <c r="K1400" s="6" t="str">
        <f aca="false">IF(C1400&lt;Outliers!$E$8,"Low",IF(C1400&gt;Outliers!$F$8,"High",""))</f>
        <v/>
      </c>
      <c r="L1400" s="6" t="str">
        <f aca="false">A1400&amp;";"&amp;B1400&amp;";"&amp;C1400</f>
        <v>26.89750174;43.97193745;14.9600719180858</v>
      </c>
      <c r="M1400" s="6" t="n">
        <f aca="false">IF(COUNTIF($L$2:$L$2201,L1400)&gt;1,1,0)</f>
        <v>0</v>
      </c>
      <c r="N1400" s="6" t="str">
        <f aca="false">IF(AND(C1400&lt;Assumptions!$B$9,B1400&lt;Assumptions!$B$10),"Irrigate Now",IF(AND(C1400&gt;=Assumptions!$B$11,B1400&gt;=Assumptions!$B$12),"No Irrigation Needed","Monitor"))</f>
        <v>Irrigate Now</v>
      </c>
      <c r="O1400" s="6" t="n">
        <f aca="false">IF(N1400=G1400,1,0)</f>
        <v>1</v>
      </c>
    </row>
    <row r="1401" customFormat="false" ht="15" hidden="false" customHeight="false" outlineLevel="0" collapsed="false">
      <c r="A1401" s="16" t="n">
        <v>26.98603693</v>
      </c>
      <c r="B1401" s="16" t="n">
        <v>58.54876687</v>
      </c>
      <c r="C1401" s="16" t="n">
        <v>24.7231847071692</v>
      </c>
      <c r="D1401" s="6" t="s">
        <v>57</v>
      </c>
      <c r="E1401" s="6" t="s">
        <v>57</v>
      </c>
      <c r="F1401" s="6" t="s">
        <v>60</v>
      </c>
      <c r="G1401" s="6" t="s">
        <v>61</v>
      </c>
      <c r="H1401" s="6" t="s">
        <v>63</v>
      </c>
      <c r="I1401" s="6" t="str">
        <f aca="false">IF(A1401&lt;Outliers!$E$6,"Low",IF(A1401&gt;Outliers!$F$6,"High",""))</f>
        <v/>
      </c>
      <c r="J1401" s="6" t="str">
        <f aca="false">IF(B1401&lt;Outliers!$E$7,"Low",IF(B1401&gt;Outliers!$F$7,"High",""))</f>
        <v/>
      </c>
      <c r="K1401" s="6" t="str">
        <f aca="false">IF(C1401&lt;Outliers!$E$8,"Low",IF(C1401&gt;Outliers!$F$8,"High",""))</f>
        <v/>
      </c>
      <c r="L1401" s="6" t="str">
        <f aca="false">A1401&amp;";"&amp;B1401&amp;";"&amp;C1401</f>
        <v>26.98603693;58.54876687;24.7231847071692</v>
      </c>
      <c r="M1401" s="6" t="n">
        <f aca="false">IF(COUNTIF($L$2:$L$2201,L1401)&gt;1,1,0)</f>
        <v>0</v>
      </c>
      <c r="N1401" s="6" t="str">
        <f aca="false">IF(AND(C1401&lt;Assumptions!$B$9,B1401&lt;Assumptions!$B$10),"Irrigate Now",IF(AND(C1401&gt;=Assumptions!$B$11,B1401&gt;=Assumptions!$B$12),"No Irrigation Needed","Monitor"))</f>
        <v>Monitor</v>
      </c>
      <c r="O1401" s="6" t="n">
        <f aca="false">IF(N1401=G1401,1,0)</f>
        <v>1</v>
      </c>
    </row>
    <row r="1402" customFormat="false" ht="15" hidden="false" customHeight="false" outlineLevel="0" collapsed="false">
      <c r="A1402" s="16" t="n">
        <v>27.57826922</v>
      </c>
      <c r="B1402" s="16" t="n">
        <v>28.08253201</v>
      </c>
      <c r="C1402" s="16" t="n">
        <v>13.6145993016816</v>
      </c>
      <c r="D1402" s="6" t="s">
        <v>57</v>
      </c>
      <c r="E1402" s="6" t="s">
        <v>23</v>
      </c>
      <c r="F1402" s="6" t="s">
        <v>24</v>
      </c>
      <c r="G1402" s="6" t="s">
        <v>64</v>
      </c>
      <c r="H1402" s="6" t="s">
        <v>65</v>
      </c>
      <c r="I1402" s="6" t="str">
        <f aca="false">IF(A1402&lt;Outliers!$E$6,"Low",IF(A1402&gt;Outliers!$F$6,"High",""))</f>
        <v/>
      </c>
      <c r="J1402" s="6" t="str">
        <f aca="false">IF(B1402&lt;Outliers!$E$7,"Low",IF(B1402&gt;Outliers!$F$7,"High",""))</f>
        <v/>
      </c>
      <c r="K1402" s="6" t="str">
        <f aca="false">IF(C1402&lt;Outliers!$E$8,"Low",IF(C1402&gt;Outliers!$F$8,"High",""))</f>
        <v/>
      </c>
      <c r="L1402" s="6" t="str">
        <f aca="false">A1402&amp;";"&amp;B1402&amp;";"&amp;C1402</f>
        <v>27.57826922;28.08253201;13.6145993016816</v>
      </c>
      <c r="M1402" s="6" t="n">
        <f aca="false">IF(COUNTIF($L$2:$L$2201,L1402)&gt;1,1,0)</f>
        <v>0</v>
      </c>
      <c r="N1402" s="6" t="str">
        <f aca="false">IF(AND(C1402&lt;Assumptions!$B$9,B1402&lt;Assumptions!$B$10),"Irrigate Now",IF(AND(C1402&gt;=Assumptions!$B$11,B1402&gt;=Assumptions!$B$12),"No Irrigation Needed","Monitor"))</f>
        <v>Irrigate Now</v>
      </c>
      <c r="O1402" s="6" t="n">
        <f aca="false">IF(N1402=G1402,1,0)</f>
        <v>1</v>
      </c>
    </row>
    <row r="1403" customFormat="false" ht="15" hidden="false" customHeight="false" outlineLevel="0" collapsed="false">
      <c r="A1403" s="16" t="n">
        <v>27.82054812</v>
      </c>
      <c r="B1403" s="16" t="n">
        <v>26.32405487</v>
      </c>
      <c r="C1403" s="16" t="n">
        <v>12.2824758077095</v>
      </c>
      <c r="D1403" s="6" t="s">
        <v>57</v>
      </c>
      <c r="E1403" s="6" t="s">
        <v>23</v>
      </c>
      <c r="F1403" s="6" t="s">
        <v>24</v>
      </c>
      <c r="G1403" s="6" t="s">
        <v>64</v>
      </c>
      <c r="H1403" s="6" t="s">
        <v>65</v>
      </c>
      <c r="I1403" s="6" t="str">
        <f aca="false">IF(A1403&lt;Outliers!$E$6,"Low",IF(A1403&gt;Outliers!$F$6,"High",""))</f>
        <v/>
      </c>
      <c r="J1403" s="6" t="str">
        <f aca="false">IF(B1403&lt;Outliers!$E$7,"Low",IF(B1403&gt;Outliers!$F$7,"High",""))</f>
        <v/>
      </c>
      <c r="K1403" s="6" t="str">
        <f aca="false">IF(C1403&lt;Outliers!$E$8,"Low",IF(C1403&gt;Outliers!$F$8,"High",""))</f>
        <v/>
      </c>
      <c r="L1403" s="6" t="str">
        <f aca="false">A1403&amp;";"&amp;B1403&amp;";"&amp;C1403</f>
        <v>27.82054812;26.32405487;12.2824758077095</v>
      </c>
      <c r="M1403" s="6" t="n">
        <f aca="false">IF(COUNTIF($L$2:$L$2201,L1403)&gt;1,1,0)</f>
        <v>0</v>
      </c>
      <c r="N1403" s="6" t="str">
        <f aca="false">IF(AND(C1403&lt;Assumptions!$B$9,B1403&lt;Assumptions!$B$10),"Irrigate Now",IF(AND(C1403&gt;=Assumptions!$B$11,B1403&gt;=Assumptions!$B$12),"No Irrigation Needed","Monitor"))</f>
        <v>Irrigate Now</v>
      </c>
      <c r="O1403" s="6" t="n">
        <f aca="false">IF(N1403=G1403,1,0)</f>
        <v>1</v>
      </c>
    </row>
    <row r="1404" customFormat="false" ht="15" hidden="false" customHeight="false" outlineLevel="0" collapsed="false">
      <c r="A1404" s="16" t="n">
        <v>29.09910406</v>
      </c>
      <c r="B1404" s="16" t="n">
        <v>22.52497327</v>
      </c>
      <c r="C1404" s="16" t="n">
        <v>25.0130748320828</v>
      </c>
      <c r="D1404" s="6" t="s">
        <v>57</v>
      </c>
      <c r="E1404" s="6" t="s">
        <v>23</v>
      </c>
      <c r="F1404" s="6" t="s">
        <v>60</v>
      </c>
      <c r="G1404" s="6" t="s">
        <v>61</v>
      </c>
      <c r="H1404" s="6" t="s">
        <v>63</v>
      </c>
      <c r="I1404" s="6" t="str">
        <f aca="false">IF(A1404&lt;Outliers!$E$6,"Low",IF(A1404&gt;Outliers!$F$6,"High",""))</f>
        <v/>
      </c>
      <c r="J1404" s="6" t="str">
        <f aca="false">IF(B1404&lt;Outliers!$E$7,"Low",IF(B1404&gt;Outliers!$F$7,"High",""))</f>
        <v/>
      </c>
      <c r="K1404" s="6" t="str">
        <f aca="false">IF(C1404&lt;Outliers!$E$8,"Low",IF(C1404&gt;Outliers!$F$8,"High",""))</f>
        <v/>
      </c>
      <c r="L1404" s="6" t="str">
        <f aca="false">A1404&amp;";"&amp;B1404&amp;";"&amp;C1404</f>
        <v>29.09910406;22.52497327;25.0130748320828</v>
      </c>
      <c r="M1404" s="6" t="n">
        <f aca="false">IF(COUNTIF($L$2:$L$2201,L1404)&gt;1,1,0)</f>
        <v>0</v>
      </c>
      <c r="N1404" s="6" t="str">
        <f aca="false">IF(AND(C1404&lt;Assumptions!$B$9,B1404&lt;Assumptions!$B$10),"Irrigate Now",IF(AND(C1404&gt;=Assumptions!$B$11,B1404&gt;=Assumptions!$B$12),"No Irrigation Needed","Monitor"))</f>
        <v>Monitor</v>
      </c>
      <c r="O1404" s="6" t="n">
        <f aca="false">IF(N1404=G1404,1,0)</f>
        <v>1</v>
      </c>
    </row>
    <row r="1405" customFormat="false" ht="15" hidden="false" customHeight="false" outlineLevel="0" collapsed="false">
      <c r="A1405" s="16" t="n">
        <v>28.04943594</v>
      </c>
      <c r="B1405" s="16" t="n">
        <v>20.76223014</v>
      </c>
      <c r="C1405" s="16" t="n">
        <v>19.2218177518872</v>
      </c>
      <c r="D1405" s="6" t="s">
        <v>57</v>
      </c>
      <c r="E1405" s="6" t="s">
        <v>23</v>
      </c>
      <c r="F1405" s="6" t="s">
        <v>24</v>
      </c>
      <c r="G1405" s="6" t="s">
        <v>61</v>
      </c>
      <c r="H1405" s="6" t="s">
        <v>63</v>
      </c>
      <c r="I1405" s="6" t="str">
        <f aca="false">IF(A1405&lt;Outliers!$E$6,"Low",IF(A1405&gt;Outliers!$F$6,"High",""))</f>
        <v/>
      </c>
      <c r="J1405" s="6" t="str">
        <f aca="false">IF(B1405&lt;Outliers!$E$7,"Low",IF(B1405&gt;Outliers!$F$7,"High",""))</f>
        <v/>
      </c>
      <c r="K1405" s="6" t="str">
        <f aca="false">IF(C1405&lt;Outliers!$E$8,"Low",IF(C1405&gt;Outliers!$F$8,"High",""))</f>
        <v/>
      </c>
      <c r="L1405" s="6" t="str">
        <f aca="false">A1405&amp;";"&amp;B1405&amp;";"&amp;C1405</f>
        <v>28.04943594;20.76223014;19.2218177518872</v>
      </c>
      <c r="M1405" s="6" t="n">
        <f aca="false">IF(COUNTIF($L$2:$L$2201,L1405)&gt;1,1,0)</f>
        <v>0</v>
      </c>
      <c r="N1405" s="6" t="str">
        <f aca="false">IF(AND(C1405&lt;Assumptions!$B$9,B1405&lt;Assumptions!$B$10),"Irrigate Now",IF(AND(C1405&gt;=Assumptions!$B$11,B1405&gt;=Assumptions!$B$12),"No Irrigation Needed","Monitor"))</f>
        <v>Monitor</v>
      </c>
      <c r="O1405" s="6" t="n">
        <f aca="false">IF(N1405=G1405,1,0)</f>
        <v>1</v>
      </c>
    </row>
    <row r="1406" customFormat="false" ht="15" hidden="false" customHeight="false" outlineLevel="0" collapsed="false">
      <c r="A1406" s="16" t="n">
        <v>29.91690582</v>
      </c>
      <c r="B1406" s="16" t="n">
        <v>28.16057247</v>
      </c>
      <c r="C1406" s="16" t="n">
        <v>26.3210843253148</v>
      </c>
      <c r="D1406" s="6" t="s">
        <v>57</v>
      </c>
      <c r="E1406" s="6" t="s">
        <v>23</v>
      </c>
      <c r="F1406" s="6" t="s">
        <v>60</v>
      </c>
      <c r="G1406" s="6" t="s">
        <v>61</v>
      </c>
      <c r="H1406" s="6" t="s">
        <v>63</v>
      </c>
      <c r="I1406" s="6" t="str">
        <f aca="false">IF(A1406&lt;Outliers!$E$6,"Low",IF(A1406&gt;Outliers!$F$6,"High",""))</f>
        <v/>
      </c>
      <c r="J1406" s="6" t="str">
        <f aca="false">IF(B1406&lt;Outliers!$E$7,"Low",IF(B1406&gt;Outliers!$F$7,"High",""))</f>
        <v/>
      </c>
      <c r="K1406" s="6" t="str">
        <f aca="false">IF(C1406&lt;Outliers!$E$8,"Low",IF(C1406&gt;Outliers!$F$8,"High",""))</f>
        <v/>
      </c>
      <c r="L1406" s="6" t="str">
        <f aca="false">A1406&amp;";"&amp;B1406&amp;";"&amp;C1406</f>
        <v>29.91690582;28.16057247;26.3210843253148</v>
      </c>
      <c r="M1406" s="6" t="n">
        <f aca="false">IF(COUNTIF($L$2:$L$2201,L1406)&gt;1,1,0)</f>
        <v>0</v>
      </c>
      <c r="N1406" s="6" t="str">
        <f aca="false">IF(AND(C1406&lt;Assumptions!$B$9,B1406&lt;Assumptions!$B$10),"Irrigate Now",IF(AND(C1406&gt;=Assumptions!$B$11,B1406&gt;=Assumptions!$B$12),"No Irrigation Needed","Monitor"))</f>
        <v>Monitor</v>
      </c>
      <c r="O1406" s="6" t="n">
        <f aca="false">IF(N1406=G1406,1,0)</f>
        <v>1</v>
      </c>
    </row>
    <row r="1407" customFormat="false" ht="15" hidden="false" customHeight="false" outlineLevel="0" collapsed="false">
      <c r="A1407" s="16" t="n">
        <v>29.86895762</v>
      </c>
      <c r="B1407" s="16" t="n">
        <v>26.26243014</v>
      </c>
      <c r="C1407" s="16" t="n">
        <v>11.9374891470595</v>
      </c>
      <c r="D1407" s="6" t="s">
        <v>57</v>
      </c>
      <c r="E1407" s="6" t="s">
        <v>23</v>
      </c>
      <c r="F1407" s="6" t="s">
        <v>24</v>
      </c>
      <c r="G1407" s="6" t="s">
        <v>64</v>
      </c>
      <c r="H1407" s="6" t="s">
        <v>65</v>
      </c>
      <c r="I1407" s="6" t="str">
        <f aca="false">IF(A1407&lt;Outliers!$E$6,"Low",IF(A1407&gt;Outliers!$F$6,"High",""))</f>
        <v/>
      </c>
      <c r="J1407" s="6" t="str">
        <f aca="false">IF(B1407&lt;Outliers!$E$7,"Low",IF(B1407&gt;Outliers!$F$7,"High",""))</f>
        <v/>
      </c>
      <c r="K1407" s="6" t="str">
        <f aca="false">IF(C1407&lt;Outliers!$E$8,"Low",IF(C1407&gt;Outliers!$F$8,"High",""))</f>
        <v/>
      </c>
      <c r="L1407" s="6" t="str">
        <f aca="false">A1407&amp;";"&amp;B1407&amp;";"&amp;C1407</f>
        <v>29.86895762;26.26243014;11.9374891470595</v>
      </c>
      <c r="M1407" s="6" t="n">
        <f aca="false">IF(COUNTIF($L$2:$L$2201,L1407)&gt;1,1,0)</f>
        <v>0</v>
      </c>
      <c r="N1407" s="6" t="str">
        <f aca="false">IF(AND(C1407&lt;Assumptions!$B$9,B1407&lt;Assumptions!$B$10),"Irrigate Now",IF(AND(C1407&gt;=Assumptions!$B$11,B1407&gt;=Assumptions!$B$12),"No Irrigation Needed","Monitor"))</f>
        <v>Irrigate Now</v>
      </c>
      <c r="O1407" s="6" t="n">
        <f aca="false">IF(N1407=G1407,1,0)</f>
        <v>1</v>
      </c>
    </row>
    <row r="1408" customFormat="false" ht="15" hidden="false" customHeight="false" outlineLevel="0" collapsed="false">
      <c r="A1408" s="16" t="n">
        <v>29.17220859</v>
      </c>
      <c r="B1408" s="16" t="n">
        <v>21.30290472</v>
      </c>
      <c r="C1408" s="16" t="n">
        <v>29.1959124648525</v>
      </c>
      <c r="D1408" s="6" t="s">
        <v>57</v>
      </c>
      <c r="E1408" s="6" t="s">
        <v>23</v>
      </c>
      <c r="F1408" s="6" t="s">
        <v>23</v>
      </c>
      <c r="G1408" s="6" t="s">
        <v>61</v>
      </c>
      <c r="H1408" s="6" t="s">
        <v>63</v>
      </c>
      <c r="I1408" s="6" t="str">
        <f aca="false">IF(A1408&lt;Outliers!$E$6,"Low",IF(A1408&gt;Outliers!$F$6,"High",""))</f>
        <v/>
      </c>
      <c r="J1408" s="6" t="str">
        <f aca="false">IF(B1408&lt;Outliers!$E$7,"Low",IF(B1408&gt;Outliers!$F$7,"High",""))</f>
        <v/>
      </c>
      <c r="K1408" s="6" t="str">
        <f aca="false">IF(C1408&lt;Outliers!$E$8,"Low",IF(C1408&gt;Outliers!$F$8,"High",""))</f>
        <v/>
      </c>
      <c r="L1408" s="6" t="str">
        <f aca="false">A1408&amp;";"&amp;B1408&amp;";"&amp;C1408</f>
        <v>29.17220859;21.30290472;29.1959124648525</v>
      </c>
      <c r="M1408" s="6" t="n">
        <f aca="false">IF(COUNTIF($L$2:$L$2201,L1408)&gt;1,1,0)</f>
        <v>0</v>
      </c>
      <c r="N1408" s="6" t="str">
        <f aca="false">IF(AND(C1408&lt;Assumptions!$B$9,B1408&lt;Assumptions!$B$10),"Irrigate Now",IF(AND(C1408&gt;=Assumptions!$B$11,B1408&gt;=Assumptions!$B$12),"No Irrigation Needed","Monitor"))</f>
        <v>Monitor</v>
      </c>
      <c r="O1408" s="6" t="n">
        <f aca="false">IF(N1408=G1408,1,0)</f>
        <v>1</v>
      </c>
    </row>
    <row r="1409" customFormat="false" ht="15" hidden="false" customHeight="false" outlineLevel="0" collapsed="false">
      <c r="A1409" s="16" t="n">
        <v>29.24908541</v>
      </c>
      <c r="B1409" s="16" t="n">
        <v>25.93496537</v>
      </c>
      <c r="C1409" s="16" t="n">
        <v>16.8612386869944</v>
      </c>
      <c r="D1409" s="6" t="s">
        <v>57</v>
      </c>
      <c r="E1409" s="6" t="s">
        <v>23</v>
      </c>
      <c r="F1409" s="6" t="s">
        <v>24</v>
      </c>
      <c r="G1409" s="6" t="s">
        <v>64</v>
      </c>
      <c r="H1409" s="6" t="s">
        <v>65</v>
      </c>
      <c r="I1409" s="6" t="str">
        <f aca="false">IF(A1409&lt;Outliers!$E$6,"Low",IF(A1409&gt;Outliers!$F$6,"High",""))</f>
        <v/>
      </c>
      <c r="J1409" s="6" t="str">
        <f aca="false">IF(B1409&lt;Outliers!$E$7,"Low",IF(B1409&gt;Outliers!$F$7,"High",""))</f>
        <v/>
      </c>
      <c r="K1409" s="6" t="str">
        <f aca="false">IF(C1409&lt;Outliers!$E$8,"Low",IF(C1409&gt;Outliers!$F$8,"High",""))</f>
        <v/>
      </c>
      <c r="L1409" s="6" t="str">
        <f aca="false">A1409&amp;";"&amp;B1409&amp;";"&amp;C1409</f>
        <v>29.24908541;25.93496537;16.8612386869944</v>
      </c>
      <c r="M1409" s="6" t="n">
        <f aca="false">IF(COUNTIF($L$2:$L$2201,L1409)&gt;1,1,0)</f>
        <v>0</v>
      </c>
      <c r="N1409" s="6" t="str">
        <f aca="false">IF(AND(C1409&lt;Assumptions!$B$9,B1409&lt;Assumptions!$B$10),"Irrigate Now",IF(AND(C1409&gt;=Assumptions!$B$11,B1409&gt;=Assumptions!$B$12),"No Irrigation Needed","Monitor"))</f>
        <v>Irrigate Now</v>
      </c>
      <c r="O1409" s="6" t="n">
        <f aca="false">IF(N1409=G1409,1,0)</f>
        <v>1</v>
      </c>
    </row>
    <row r="1410" customFormat="false" ht="15" hidden="false" customHeight="false" outlineLevel="0" collapsed="false">
      <c r="A1410" s="16" t="n">
        <v>27.76317235</v>
      </c>
      <c r="B1410" s="16" t="n">
        <v>25.21609113</v>
      </c>
      <c r="C1410" s="16" t="n">
        <v>10.4231273375908</v>
      </c>
      <c r="D1410" s="6" t="s">
        <v>57</v>
      </c>
      <c r="E1410" s="6" t="s">
        <v>23</v>
      </c>
      <c r="F1410" s="6" t="s">
        <v>24</v>
      </c>
      <c r="G1410" s="6" t="s">
        <v>64</v>
      </c>
      <c r="H1410" s="6" t="s">
        <v>65</v>
      </c>
      <c r="I1410" s="6" t="str">
        <f aca="false">IF(A1410&lt;Outliers!$E$6,"Low",IF(A1410&gt;Outliers!$F$6,"High",""))</f>
        <v/>
      </c>
      <c r="J1410" s="6" t="str">
        <f aca="false">IF(B1410&lt;Outliers!$E$7,"Low",IF(B1410&gt;Outliers!$F$7,"High",""))</f>
        <v/>
      </c>
      <c r="K1410" s="6" t="str">
        <f aca="false">IF(C1410&lt;Outliers!$E$8,"Low",IF(C1410&gt;Outliers!$F$8,"High",""))</f>
        <v/>
      </c>
      <c r="L1410" s="6" t="str">
        <f aca="false">A1410&amp;";"&amp;B1410&amp;";"&amp;C1410</f>
        <v>27.76317235;25.21609113;10.4231273375908</v>
      </c>
      <c r="M1410" s="6" t="n">
        <f aca="false">IF(COUNTIF($L$2:$L$2201,L1410)&gt;1,1,0)</f>
        <v>0</v>
      </c>
      <c r="N1410" s="6" t="str">
        <f aca="false">IF(AND(C1410&lt;Assumptions!$B$9,B1410&lt;Assumptions!$B$10),"Irrigate Now",IF(AND(C1410&gt;=Assumptions!$B$11,B1410&gt;=Assumptions!$B$12),"No Irrigation Needed","Monitor"))</f>
        <v>Irrigate Now</v>
      </c>
      <c r="O1410" s="6" t="n">
        <f aca="false">IF(N1410=G1410,1,0)</f>
        <v>1</v>
      </c>
    </row>
    <row r="1411" customFormat="false" ht="15" hidden="false" customHeight="false" outlineLevel="0" collapsed="false">
      <c r="A1411" s="16" t="n">
        <v>28.82629037</v>
      </c>
      <c r="B1411" s="16" t="n">
        <v>26.23838511</v>
      </c>
      <c r="C1411" s="16" t="n">
        <v>17.1883464047554</v>
      </c>
      <c r="D1411" s="6" t="s">
        <v>57</v>
      </c>
      <c r="E1411" s="6" t="s">
        <v>23</v>
      </c>
      <c r="F1411" s="6" t="s">
        <v>24</v>
      </c>
      <c r="G1411" s="6" t="s">
        <v>64</v>
      </c>
      <c r="H1411" s="6" t="s">
        <v>65</v>
      </c>
      <c r="I1411" s="6" t="str">
        <f aca="false">IF(A1411&lt;Outliers!$E$6,"Low",IF(A1411&gt;Outliers!$F$6,"High",""))</f>
        <v/>
      </c>
      <c r="J1411" s="6" t="str">
        <f aca="false">IF(B1411&lt;Outliers!$E$7,"Low",IF(B1411&gt;Outliers!$F$7,"High",""))</f>
        <v/>
      </c>
      <c r="K1411" s="6" t="str">
        <f aca="false">IF(C1411&lt;Outliers!$E$8,"Low",IF(C1411&gt;Outliers!$F$8,"High",""))</f>
        <v/>
      </c>
      <c r="L1411" s="6" t="str">
        <f aca="false">A1411&amp;";"&amp;B1411&amp;";"&amp;C1411</f>
        <v>28.82629037;26.23838511;17.1883464047554</v>
      </c>
      <c r="M1411" s="6" t="n">
        <f aca="false">IF(COUNTIF($L$2:$L$2201,L1411)&gt;1,1,0)</f>
        <v>0</v>
      </c>
      <c r="N1411" s="6" t="str">
        <f aca="false">IF(AND(C1411&lt;Assumptions!$B$9,B1411&lt;Assumptions!$B$10),"Irrigate Now",IF(AND(C1411&gt;=Assumptions!$B$11,B1411&gt;=Assumptions!$B$12),"No Irrigation Needed","Monitor"))</f>
        <v>Irrigate Now</v>
      </c>
      <c r="O1411" s="6" t="n">
        <f aca="false">IF(N1411=G1411,1,0)</f>
        <v>1</v>
      </c>
    </row>
    <row r="1412" customFormat="false" ht="15" hidden="false" customHeight="false" outlineLevel="0" collapsed="false">
      <c r="A1412" s="16" t="n">
        <v>28.52379742</v>
      </c>
      <c r="B1412" s="16" t="n">
        <v>29.86681385</v>
      </c>
      <c r="C1412" s="16" t="n">
        <v>21.594300295136</v>
      </c>
      <c r="D1412" s="6" t="s">
        <v>57</v>
      </c>
      <c r="E1412" s="6" t="s">
        <v>23</v>
      </c>
      <c r="F1412" s="6" t="s">
        <v>60</v>
      </c>
      <c r="G1412" s="6" t="s">
        <v>61</v>
      </c>
      <c r="H1412" s="6" t="s">
        <v>63</v>
      </c>
      <c r="I1412" s="6" t="str">
        <f aca="false">IF(A1412&lt;Outliers!$E$6,"Low",IF(A1412&gt;Outliers!$F$6,"High",""))</f>
        <v/>
      </c>
      <c r="J1412" s="6" t="str">
        <f aca="false">IF(B1412&lt;Outliers!$E$7,"Low",IF(B1412&gt;Outliers!$F$7,"High",""))</f>
        <v/>
      </c>
      <c r="K1412" s="6" t="str">
        <f aca="false">IF(C1412&lt;Outliers!$E$8,"Low",IF(C1412&gt;Outliers!$F$8,"High",""))</f>
        <v/>
      </c>
      <c r="L1412" s="6" t="str">
        <f aca="false">A1412&amp;";"&amp;B1412&amp;";"&amp;C1412</f>
        <v>28.52379742;29.86681385;21.594300295136</v>
      </c>
      <c r="M1412" s="6" t="n">
        <f aca="false">IF(COUNTIF($L$2:$L$2201,L1412)&gt;1,1,0)</f>
        <v>0</v>
      </c>
      <c r="N1412" s="6" t="str">
        <f aca="false">IF(AND(C1412&lt;Assumptions!$B$9,B1412&lt;Assumptions!$B$10),"Irrigate Now",IF(AND(C1412&gt;=Assumptions!$B$11,B1412&gt;=Assumptions!$B$12),"No Irrigation Needed","Monitor"))</f>
        <v>Monitor</v>
      </c>
      <c r="O1412" s="6" t="n">
        <f aca="false">IF(N1412=G1412,1,0)</f>
        <v>1</v>
      </c>
    </row>
    <row r="1413" customFormat="false" ht="15" hidden="false" customHeight="false" outlineLevel="0" collapsed="false">
      <c r="A1413" s="16" t="n">
        <v>29.06785065</v>
      </c>
      <c r="B1413" s="16" t="n">
        <v>29.1194739</v>
      </c>
      <c r="C1413" s="16" t="n">
        <v>15.8272440222902</v>
      </c>
      <c r="D1413" s="6" t="s">
        <v>57</v>
      </c>
      <c r="E1413" s="6" t="s">
        <v>23</v>
      </c>
      <c r="F1413" s="6" t="s">
        <v>24</v>
      </c>
      <c r="G1413" s="6" t="s">
        <v>64</v>
      </c>
      <c r="H1413" s="6" t="s">
        <v>65</v>
      </c>
      <c r="I1413" s="6" t="str">
        <f aca="false">IF(A1413&lt;Outliers!$E$6,"Low",IF(A1413&gt;Outliers!$F$6,"High",""))</f>
        <v/>
      </c>
      <c r="J1413" s="6" t="str">
        <f aca="false">IF(B1413&lt;Outliers!$E$7,"Low",IF(B1413&gt;Outliers!$F$7,"High",""))</f>
        <v/>
      </c>
      <c r="K1413" s="6" t="str">
        <f aca="false">IF(C1413&lt;Outliers!$E$8,"Low",IF(C1413&gt;Outliers!$F$8,"High",""))</f>
        <v/>
      </c>
      <c r="L1413" s="6" t="str">
        <f aca="false">A1413&amp;";"&amp;B1413&amp;";"&amp;C1413</f>
        <v>29.06785065;29.1194739;15.8272440222902</v>
      </c>
      <c r="M1413" s="6" t="n">
        <f aca="false">IF(COUNTIF($L$2:$L$2201,L1413)&gt;1,1,0)</f>
        <v>0</v>
      </c>
      <c r="N1413" s="6" t="str">
        <f aca="false">IF(AND(C1413&lt;Assumptions!$B$9,B1413&lt;Assumptions!$B$10),"Irrigate Now",IF(AND(C1413&gt;=Assumptions!$B$11,B1413&gt;=Assumptions!$B$12),"No Irrigation Needed","Monitor"))</f>
        <v>Irrigate Now</v>
      </c>
      <c r="O1413" s="6" t="n">
        <f aca="false">IF(N1413=G1413,1,0)</f>
        <v>1</v>
      </c>
    </row>
    <row r="1414" customFormat="false" ht="15" hidden="false" customHeight="false" outlineLevel="0" collapsed="false">
      <c r="A1414" s="16" t="n">
        <v>29.08417927</v>
      </c>
      <c r="B1414" s="16" t="n">
        <v>25.33014238</v>
      </c>
      <c r="C1414" s="16" t="n">
        <v>26.640503241818</v>
      </c>
      <c r="D1414" s="6" t="s">
        <v>57</v>
      </c>
      <c r="E1414" s="6" t="s">
        <v>23</v>
      </c>
      <c r="F1414" s="6" t="s">
        <v>60</v>
      </c>
      <c r="G1414" s="6" t="s">
        <v>61</v>
      </c>
      <c r="H1414" s="6" t="s">
        <v>63</v>
      </c>
      <c r="I1414" s="6" t="str">
        <f aca="false">IF(A1414&lt;Outliers!$E$6,"Low",IF(A1414&gt;Outliers!$F$6,"High",""))</f>
        <v/>
      </c>
      <c r="J1414" s="6" t="str">
        <f aca="false">IF(B1414&lt;Outliers!$E$7,"Low",IF(B1414&gt;Outliers!$F$7,"High",""))</f>
        <v/>
      </c>
      <c r="K1414" s="6" t="str">
        <f aca="false">IF(C1414&lt;Outliers!$E$8,"Low",IF(C1414&gt;Outliers!$F$8,"High",""))</f>
        <v/>
      </c>
      <c r="L1414" s="6" t="str">
        <f aca="false">A1414&amp;";"&amp;B1414&amp;";"&amp;C1414</f>
        <v>29.08417927;25.33014238;26.640503241818</v>
      </c>
      <c r="M1414" s="6" t="n">
        <f aca="false">IF(COUNTIF($L$2:$L$2201,L1414)&gt;1,1,0)</f>
        <v>0</v>
      </c>
      <c r="N1414" s="6" t="str">
        <f aca="false">IF(AND(C1414&lt;Assumptions!$B$9,B1414&lt;Assumptions!$B$10),"Irrigate Now",IF(AND(C1414&gt;=Assumptions!$B$11,B1414&gt;=Assumptions!$B$12),"No Irrigation Needed","Monitor"))</f>
        <v>Monitor</v>
      </c>
      <c r="O1414" s="6" t="n">
        <f aca="false">IF(N1414=G1414,1,0)</f>
        <v>1</v>
      </c>
    </row>
    <row r="1415" customFormat="false" ht="15" hidden="false" customHeight="false" outlineLevel="0" collapsed="false">
      <c r="A1415" s="16" t="n">
        <v>28.47090661</v>
      </c>
      <c r="B1415" s="16" t="n">
        <v>21.08484101</v>
      </c>
      <c r="C1415" s="16" t="n">
        <v>16.0983336549287</v>
      </c>
      <c r="D1415" s="6" t="s">
        <v>57</v>
      </c>
      <c r="E1415" s="6" t="s">
        <v>23</v>
      </c>
      <c r="F1415" s="6" t="s">
        <v>24</v>
      </c>
      <c r="G1415" s="6" t="s">
        <v>64</v>
      </c>
      <c r="H1415" s="6" t="s">
        <v>65</v>
      </c>
      <c r="I1415" s="6" t="str">
        <f aca="false">IF(A1415&lt;Outliers!$E$6,"Low",IF(A1415&gt;Outliers!$F$6,"High",""))</f>
        <v/>
      </c>
      <c r="J1415" s="6" t="str">
        <f aca="false">IF(B1415&lt;Outliers!$E$7,"Low",IF(B1415&gt;Outliers!$F$7,"High",""))</f>
        <v/>
      </c>
      <c r="K1415" s="6" t="str">
        <f aca="false">IF(C1415&lt;Outliers!$E$8,"Low",IF(C1415&gt;Outliers!$F$8,"High",""))</f>
        <v/>
      </c>
      <c r="L1415" s="6" t="str">
        <f aca="false">A1415&amp;";"&amp;B1415&amp;";"&amp;C1415</f>
        <v>28.47090661;21.08484101;16.0983336549287</v>
      </c>
      <c r="M1415" s="6" t="n">
        <f aca="false">IF(COUNTIF($L$2:$L$2201,L1415)&gt;1,1,0)</f>
        <v>0</v>
      </c>
      <c r="N1415" s="6" t="str">
        <f aca="false">IF(AND(C1415&lt;Assumptions!$B$9,B1415&lt;Assumptions!$B$10),"Irrigate Now",IF(AND(C1415&gt;=Assumptions!$B$11,B1415&gt;=Assumptions!$B$12),"No Irrigation Needed","Monitor"))</f>
        <v>Irrigate Now</v>
      </c>
      <c r="O1415" s="6" t="n">
        <f aca="false">IF(N1415=G1415,1,0)</f>
        <v>1</v>
      </c>
    </row>
    <row r="1416" customFormat="false" ht="15" hidden="false" customHeight="false" outlineLevel="0" collapsed="false">
      <c r="A1416" s="16" t="n">
        <v>28.27973674</v>
      </c>
      <c r="B1416" s="16" t="n">
        <v>21.58992507</v>
      </c>
      <c r="C1416" s="16" t="n">
        <v>12.1512873427742</v>
      </c>
      <c r="D1416" s="6" t="s">
        <v>57</v>
      </c>
      <c r="E1416" s="6" t="s">
        <v>23</v>
      </c>
      <c r="F1416" s="6" t="s">
        <v>24</v>
      </c>
      <c r="G1416" s="6" t="s">
        <v>64</v>
      </c>
      <c r="H1416" s="6" t="s">
        <v>65</v>
      </c>
      <c r="I1416" s="6" t="str">
        <f aca="false">IF(A1416&lt;Outliers!$E$6,"Low",IF(A1416&gt;Outliers!$F$6,"High",""))</f>
        <v/>
      </c>
      <c r="J1416" s="6" t="str">
        <f aca="false">IF(B1416&lt;Outliers!$E$7,"Low",IF(B1416&gt;Outliers!$F$7,"High",""))</f>
        <v/>
      </c>
      <c r="K1416" s="6" t="str">
        <f aca="false">IF(C1416&lt;Outliers!$E$8,"Low",IF(C1416&gt;Outliers!$F$8,"High",""))</f>
        <v/>
      </c>
      <c r="L1416" s="6" t="str">
        <f aca="false">A1416&amp;";"&amp;B1416&amp;";"&amp;C1416</f>
        <v>28.27973674;21.58992507;12.1512873427742</v>
      </c>
      <c r="M1416" s="6" t="n">
        <f aca="false">IF(COUNTIF($L$2:$L$2201,L1416)&gt;1,1,0)</f>
        <v>0</v>
      </c>
      <c r="N1416" s="6" t="str">
        <f aca="false">IF(AND(C1416&lt;Assumptions!$B$9,B1416&lt;Assumptions!$B$10),"Irrigate Now",IF(AND(C1416&gt;=Assumptions!$B$11,B1416&gt;=Assumptions!$B$12),"No Irrigation Needed","Monitor"))</f>
        <v>Irrigate Now</v>
      </c>
      <c r="O1416" s="6" t="n">
        <f aca="false">IF(N1416=G1416,1,0)</f>
        <v>1</v>
      </c>
    </row>
    <row r="1417" customFormat="false" ht="15" hidden="false" customHeight="false" outlineLevel="0" collapsed="false">
      <c r="A1417" s="16" t="n">
        <v>28.47212559</v>
      </c>
      <c r="B1417" s="16" t="n">
        <v>20.88620369</v>
      </c>
      <c r="C1417" s="16" t="n">
        <v>14.0029822328062</v>
      </c>
      <c r="D1417" s="6" t="s">
        <v>57</v>
      </c>
      <c r="E1417" s="6" t="s">
        <v>23</v>
      </c>
      <c r="F1417" s="6" t="s">
        <v>24</v>
      </c>
      <c r="G1417" s="6" t="s">
        <v>64</v>
      </c>
      <c r="H1417" s="6" t="s">
        <v>65</v>
      </c>
      <c r="I1417" s="6" t="str">
        <f aca="false">IF(A1417&lt;Outliers!$E$6,"Low",IF(A1417&gt;Outliers!$F$6,"High",""))</f>
        <v/>
      </c>
      <c r="J1417" s="6" t="str">
        <f aca="false">IF(B1417&lt;Outliers!$E$7,"Low",IF(B1417&gt;Outliers!$F$7,"High",""))</f>
        <v/>
      </c>
      <c r="K1417" s="6" t="str">
        <f aca="false">IF(C1417&lt;Outliers!$E$8,"Low",IF(C1417&gt;Outliers!$F$8,"High",""))</f>
        <v/>
      </c>
      <c r="L1417" s="6" t="str">
        <f aca="false">A1417&amp;";"&amp;B1417&amp;";"&amp;C1417</f>
        <v>28.47212559;20.88620369;14.0029822328062</v>
      </c>
      <c r="M1417" s="6" t="n">
        <f aca="false">IF(COUNTIF($L$2:$L$2201,L1417)&gt;1,1,0)</f>
        <v>0</v>
      </c>
      <c r="N1417" s="6" t="str">
        <f aca="false">IF(AND(C1417&lt;Assumptions!$B$9,B1417&lt;Assumptions!$B$10),"Irrigate Now",IF(AND(C1417&gt;=Assumptions!$B$11,B1417&gt;=Assumptions!$B$12),"No Irrigation Needed","Monitor"))</f>
        <v>Irrigate Now</v>
      </c>
      <c r="O1417" s="6" t="n">
        <f aca="false">IF(N1417=G1417,1,0)</f>
        <v>1</v>
      </c>
    </row>
    <row r="1418" customFormat="false" ht="15" hidden="false" customHeight="false" outlineLevel="0" collapsed="false">
      <c r="A1418" s="16" t="n">
        <v>29.68846716</v>
      </c>
      <c r="B1418" s="16" t="n">
        <v>26.83924845</v>
      </c>
      <c r="C1418" s="16" t="n">
        <v>16.0628809635742</v>
      </c>
      <c r="D1418" s="6" t="s">
        <v>57</v>
      </c>
      <c r="E1418" s="6" t="s">
        <v>23</v>
      </c>
      <c r="F1418" s="6" t="s">
        <v>24</v>
      </c>
      <c r="G1418" s="6" t="s">
        <v>64</v>
      </c>
      <c r="H1418" s="6" t="s">
        <v>65</v>
      </c>
      <c r="I1418" s="6" t="str">
        <f aca="false">IF(A1418&lt;Outliers!$E$6,"Low",IF(A1418&gt;Outliers!$F$6,"High",""))</f>
        <v/>
      </c>
      <c r="J1418" s="6" t="str">
        <f aca="false">IF(B1418&lt;Outliers!$E$7,"Low",IF(B1418&gt;Outliers!$F$7,"High",""))</f>
        <v/>
      </c>
      <c r="K1418" s="6" t="str">
        <f aca="false">IF(C1418&lt;Outliers!$E$8,"Low",IF(C1418&gt;Outliers!$F$8,"High",""))</f>
        <v/>
      </c>
      <c r="L1418" s="6" t="str">
        <f aca="false">A1418&amp;";"&amp;B1418&amp;";"&amp;C1418</f>
        <v>29.68846716;26.83924845;16.0628809635742</v>
      </c>
      <c r="M1418" s="6" t="n">
        <f aca="false">IF(COUNTIF($L$2:$L$2201,L1418)&gt;1,1,0)</f>
        <v>0</v>
      </c>
      <c r="N1418" s="6" t="str">
        <f aca="false">IF(AND(C1418&lt;Assumptions!$B$9,B1418&lt;Assumptions!$B$10),"Irrigate Now",IF(AND(C1418&gt;=Assumptions!$B$11,B1418&gt;=Assumptions!$B$12),"No Irrigation Needed","Monitor"))</f>
        <v>Irrigate Now</v>
      </c>
      <c r="O1418" s="6" t="n">
        <f aca="false">IF(N1418=G1418,1,0)</f>
        <v>1</v>
      </c>
    </row>
    <row r="1419" customFormat="false" ht="15" hidden="false" customHeight="false" outlineLevel="0" collapsed="false">
      <c r="A1419" s="16" t="n">
        <v>27.02415146</v>
      </c>
      <c r="B1419" s="16" t="n">
        <v>21.26034986</v>
      </c>
      <c r="C1419" s="16" t="n">
        <v>18.0774477109913</v>
      </c>
      <c r="D1419" s="6" t="s">
        <v>57</v>
      </c>
      <c r="E1419" s="6" t="s">
        <v>23</v>
      </c>
      <c r="F1419" s="6" t="s">
        <v>24</v>
      </c>
      <c r="G1419" s="6" t="s">
        <v>61</v>
      </c>
      <c r="H1419" s="6" t="s">
        <v>63</v>
      </c>
      <c r="I1419" s="6" t="str">
        <f aca="false">IF(A1419&lt;Outliers!$E$6,"Low",IF(A1419&gt;Outliers!$F$6,"High",""))</f>
        <v/>
      </c>
      <c r="J1419" s="6" t="str">
        <f aca="false">IF(B1419&lt;Outliers!$E$7,"Low",IF(B1419&gt;Outliers!$F$7,"High",""))</f>
        <v/>
      </c>
      <c r="K1419" s="6" t="str">
        <f aca="false">IF(C1419&lt;Outliers!$E$8,"Low",IF(C1419&gt;Outliers!$F$8,"High",""))</f>
        <v/>
      </c>
      <c r="L1419" s="6" t="str">
        <f aca="false">A1419&amp;";"&amp;B1419&amp;";"&amp;C1419</f>
        <v>27.02415146;21.26034986;18.0774477109913</v>
      </c>
      <c r="M1419" s="6" t="n">
        <f aca="false">IF(COUNTIF($L$2:$L$2201,L1419)&gt;1,1,0)</f>
        <v>0</v>
      </c>
      <c r="N1419" s="6" t="str">
        <f aca="false">IF(AND(C1419&lt;Assumptions!$B$9,B1419&lt;Assumptions!$B$10),"Irrigate Now",IF(AND(C1419&gt;=Assumptions!$B$11,B1419&gt;=Assumptions!$B$12),"No Irrigation Needed","Monitor"))</f>
        <v>Monitor</v>
      </c>
      <c r="O1419" s="6" t="n">
        <f aca="false">IF(N1419=G1419,1,0)</f>
        <v>1</v>
      </c>
    </row>
    <row r="1420" customFormat="false" ht="15" hidden="false" customHeight="false" outlineLevel="0" collapsed="false">
      <c r="A1420" s="16" t="n">
        <v>29.09588297</v>
      </c>
      <c r="B1420" s="16" t="n">
        <v>26.70581328</v>
      </c>
      <c r="C1420" s="16" t="n">
        <v>23.7517357411524</v>
      </c>
      <c r="D1420" s="6" t="s">
        <v>57</v>
      </c>
      <c r="E1420" s="6" t="s">
        <v>23</v>
      </c>
      <c r="F1420" s="6" t="s">
        <v>60</v>
      </c>
      <c r="G1420" s="6" t="s">
        <v>61</v>
      </c>
      <c r="H1420" s="6" t="s">
        <v>63</v>
      </c>
      <c r="I1420" s="6" t="str">
        <f aca="false">IF(A1420&lt;Outliers!$E$6,"Low",IF(A1420&gt;Outliers!$F$6,"High",""))</f>
        <v/>
      </c>
      <c r="J1420" s="6" t="str">
        <f aca="false">IF(B1420&lt;Outliers!$E$7,"Low",IF(B1420&gt;Outliers!$F$7,"High",""))</f>
        <v/>
      </c>
      <c r="K1420" s="6" t="str">
        <f aca="false">IF(C1420&lt;Outliers!$E$8,"Low",IF(C1420&gt;Outliers!$F$8,"High",""))</f>
        <v/>
      </c>
      <c r="L1420" s="6" t="str">
        <f aca="false">A1420&amp;";"&amp;B1420&amp;";"&amp;C1420</f>
        <v>29.09588297;26.70581328;23.7517357411524</v>
      </c>
      <c r="M1420" s="6" t="n">
        <f aca="false">IF(COUNTIF($L$2:$L$2201,L1420)&gt;1,1,0)</f>
        <v>0</v>
      </c>
      <c r="N1420" s="6" t="str">
        <f aca="false">IF(AND(C1420&lt;Assumptions!$B$9,B1420&lt;Assumptions!$B$10),"Irrigate Now",IF(AND(C1420&gt;=Assumptions!$B$11,B1420&gt;=Assumptions!$B$12),"No Irrigation Needed","Monitor"))</f>
        <v>Monitor</v>
      </c>
      <c r="O1420" s="6" t="n">
        <f aca="false">IF(N1420=G1420,1,0)</f>
        <v>1</v>
      </c>
    </row>
    <row r="1421" customFormat="false" ht="15" hidden="false" customHeight="false" outlineLevel="0" collapsed="false">
      <c r="A1421" s="16" t="n">
        <v>29.69238699</v>
      </c>
      <c r="B1421" s="16" t="n">
        <v>29.1102594</v>
      </c>
      <c r="C1421" s="16" t="n">
        <v>14.094775208355</v>
      </c>
      <c r="D1421" s="6" t="s">
        <v>57</v>
      </c>
      <c r="E1421" s="6" t="s">
        <v>23</v>
      </c>
      <c r="F1421" s="6" t="s">
        <v>24</v>
      </c>
      <c r="G1421" s="6" t="s">
        <v>64</v>
      </c>
      <c r="H1421" s="6" t="s">
        <v>65</v>
      </c>
      <c r="I1421" s="6" t="str">
        <f aca="false">IF(A1421&lt;Outliers!$E$6,"Low",IF(A1421&gt;Outliers!$F$6,"High",""))</f>
        <v/>
      </c>
      <c r="J1421" s="6" t="str">
        <f aca="false">IF(B1421&lt;Outliers!$E$7,"Low",IF(B1421&gt;Outliers!$F$7,"High",""))</f>
        <v/>
      </c>
      <c r="K1421" s="6" t="str">
        <f aca="false">IF(C1421&lt;Outliers!$E$8,"Low",IF(C1421&gt;Outliers!$F$8,"High",""))</f>
        <v/>
      </c>
      <c r="L1421" s="6" t="str">
        <f aca="false">A1421&amp;";"&amp;B1421&amp;";"&amp;C1421</f>
        <v>29.69238699;29.1102594;14.094775208355</v>
      </c>
      <c r="M1421" s="6" t="n">
        <f aca="false">IF(COUNTIF($L$2:$L$2201,L1421)&gt;1,1,0)</f>
        <v>0</v>
      </c>
      <c r="N1421" s="6" t="str">
        <f aca="false">IF(AND(C1421&lt;Assumptions!$B$9,B1421&lt;Assumptions!$B$10),"Irrigate Now",IF(AND(C1421&gt;=Assumptions!$B$11,B1421&gt;=Assumptions!$B$12),"No Irrigation Needed","Monitor"))</f>
        <v>Irrigate Now</v>
      </c>
      <c r="O1421" s="6" t="n">
        <f aca="false">IF(N1421=G1421,1,0)</f>
        <v>1</v>
      </c>
    </row>
    <row r="1422" customFormat="false" ht="15" hidden="false" customHeight="false" outlineLevel="0" collapsed="false">
      <c r="A1422" s="16" t="n">
        <v>28.20619412</v>
      </c>
      <c r="B1422" s="16" t="n">
        <v>28.78654515</v>
      </c>
      <c r="C1422" s="16" t="n">
        <v>15.3460385483979</v>
      </c>
      <c r="D1422" s="6" t="s">
        <v>57</v>
      </c>
      <c r="E1422" s="6" t="s">
        <v>23</v>
      </c>
      <c r="F1422" s="6" t="s">
        <v>24</v>
      </c>
      <c r="G1422" s="6" t="s">
        <v>64</v>
      </c>
      <c r="H1422" s="6" t="s">
        <v>65</v>
      </c>
      <c r="I1422" s="6" t="str">
        <f aca="false">IF(A1422&lt;Outliers!$E$6,"Low",IF(A1422&gt;Outliers!$F$6,"High",""))</f>
        <v/>
      </c>
      <c r="J1422" s="6" t="str">
        <f aca="false">IF(B1422&lt;Outliers!$E$7,"Low",IF(B1422&gt;Outliers!$F$7,"High",""))</f>
        <v/>
      </c>
      <c r="K1422" s="6" t="str">
        <f aca="false">IF(C1422&lt;Outliers!$E$8,"Low",IF(C1422&gt;Outliers!$F$8,"High",""))</f>
        <v/>
      </c>
      <c r="L1422" s="6" t="str">
        <f aca="false">A1422&amp;";"&amp;B1422&amp;";"&amp;C1422</f>
        <v>28.20619412;28.78654515;15.3460385483979</v>
      </c>
      <c r="M1422" s="6" t="n">
        <f aca="false">IF(COUNTIF($L$2:$L$2201,L1422)&gt;1,1,0)</f>
        <v>0</v>
      </c>
      <c r="N1422" s="6" t="str">
        <f aca="false">IF(AND(C1422&lt;Assumptions!$B$9,B1422&lt;Assumptions!$B$10),"Irrigate Now",IF(AND(C1422&gt;=Assumptions!$B$11,B1422&gt;=Assumptions!$B$12),"No Irrigation Needed","Monitor"))</f>
        <v>Irrigate Now</v>
      </c>
      <c r="O1422" s="6" t="n">
        <f aca="false">IF(N1422=G1422,1,0)</f>
        <v>1</v>
      </c>
    </row>
    <row r="1423" customFormat="false" ht="15" hidden="false" customHeight="false" outlineLevel="0" collapsed="false">
      <c r="A1423" s="16" t="n">
        <v>29.05248036</v>
      </c>
      <c r="B1423" s="16" t="n">
        <v>23.66620626</v>
      </c>
      <c r="C1423" s="16" t="n">
        <v>12.6148826194932</v>
      </c>
      <c r="D1423" s="6" t="s">
        <v>57</v>
      </c>
      <c r="E1423" s="6" t="s">
        <v>23</v>
      </c>
      <c r="F1423" s="6" t="s">
        <v>24</v>
      </c>
      <c r="G1423" s="6" t="s">
        <v>64</v>
      </c>
      <c r="H1423" s="6" t="s">
        <v>65</v>
      </c>
      <c r="I1423" s="6" t="str">
        <f aca="false">IF(A1423&lt;Outliers!$E$6,"Low",IF(A1423&gt;Outliers!$F$6,"High",""))</f>
        <v/>
      </c>
      <c r="J1423" s="6" t="str">
        <f aca="false">IF(B1423&lt;Outliers!$E$7,"Low",IF(B1423&gt;Outliers!$F$7,"High",""))</f>
        <v/>
      </c>
      <c r="K1423" s="6" t="str">
        <f aca="false">IF(C1423&lt;Outliers!$E$8,"Low",IF(C1423&gt;Outliers!$F$8,"High",""))</f>
        <v/>
      </c>
      <c r="L1423" s="6" t="str">
        <f aca="false">A1423&amp;";"&amp;B1423&amp;";"&amp;C1423</f>
        <v>29.05248036;23.66620626;12.6148826194932</v>
      </c>
      <c r="M1423" s="6" t="n">
        <f aca="false">IF(COUNTIF($L$2:$L$2201,L1423)&gt;1,1,0)</f>
        <v>0</v>
      </c>
      <c r="N1423" s="6" t="str">
        <f aca="false">IF(AND(C1423&lt;Assumptions!$B$9,B1423&lt;Assumptions!$B$10),"Irrigate Now",IF(AND(C1423&gt;=Assumptions!$B$11,B1423&gt;=Assumptions!$B$12),"No Irrigation Needed","Monitor"))</f>
        <v>Irrigate Now</v>
      </c>
      <c r="O1423" s="6" t="n">
        <f aca="false">IF(N1423=G1423,1,0)</f>
        <v>1</v>
      </c>
    </row>
    <row r="1424" customFormat="false" ht="15" hidden="false" customHeight="false" outlineLevel="0" collapsed="false">
      <c r="A1424" s="16" t="n">
        <v>29.57240298</v>
      </c>
      <c r="B1424" s="16" t="n">
        <v>27.56918621</v>
      </c>
      <c r="C1424" s="16" t="n">
        <v>23.6028985995922</v>
      </c>
      <c r="D1424" s="6" t="s">
        <v>57</v>
      </c>
      <c r="E1424" s="6" t="s">
        <v>23</v>
      </c>
      <c r="F1424" s="6" t="s">
        <v>60</v>
      </c>
      <c r="G1424" s="6" t="s">
        <v>61</v>
      </c>
      <c r="H1424" s="6" t="s">
        <v>63</v>
      </c>
      <c r="I1424" s="6" t="str">
        <f aca="false">IF(A1424&lt;Outliers!$E$6,"Low",IF(A1424&gt;Outliers!$F$6,"High",""))</f>
        <v/>
      </c>
      <c r="J1424" s="6" t="str">
        <f aca="false">IF(B1424&lt;Outliers!$E$7,"Low",IF(B1424&gt;Outliers!$F$7,"High",""))</f>
        <v/>
      </c>
      <c r="K1424" s="6" t="str">
        <f aca="false">IF(C1424&lt;Outliers!$E$8,"Low",IF(C1424&gt;Outliers!$F$8,"High",""))</f>
        <v/>
      </c>
      <c r="L1424" s="6" t="str">
        <f aca="false">A1424&amp;";"&amp;B1424&amp;";"&amp;C1424</f>
        <v>29.57240298;27.56918621;23.6028985995922</v>
      </c>
      <c r="M1424" s="6" t="n">
        <f aca="false">IF(COUNTIF($L$2:$L$2201,L1424)&gt;1,1,0)</f>
        <v>0</v>
      </c>
      <c r="N1424" s="6" t="str">
        <f aca="false">IF(AND(C1424&lt;Assumptions!$B$9,B1424&lt;Assumptions!$B$10),"Irrigate Now",IF(AND(C1424&gt;=Assumptions!$B$11,B1424&gt;=Assumptions!$B$12),"No Irrigation Needed","Monitor"))</f>
        <v>Monitor</v>
      </c>
      <c r="O1424" s="6" t="n">
        <f aca="false">IF(N1424=G1424,1,0)</f>
        <v>1</v>
      </c>
    </row>
    <row r="1425" customFormat="false" ht="15" hidden="false" customHeight="false" outlineLevel="0" collapsed="false">
      <c r="A1425" s="16" t="n">
        <v>29.10968327</v>
      </c>
      <c r="B1425" s="16" t="n">
        <v>27.95602304</v>
      </c>
      <c r="C1425" s="16" t="n">
        <v>21.5615177039495</v>
      </c>
      <c r="D1425" s="6" t="s">
        <v>57</v>
      </c>
      <c r="E1425" s="6" t="s">
        <v>23</v>
      </c>
      <c r="F1425" s="6" t="s">
        <v>60</v>
      </c>
      <c r="G1425" s="6" t="s">
        <v>61</v>
      </c>
      <c r="H1425" s="6" t="s">
        <v>63</v>
      </c>
      <c r="I1425" s="6" t="str">
        <f aca="false">IF(A1425&lt;Outliers!$E$6,"Low",IF(A1425&gt;Outliers!$F$6,"High",""))</f>
        <v/>
      </c>
      <c r="J1425" s="6" t="str">
        <f aca="false">IF(B1425&lt;Outliers!$E$7,"Low",IF(B1425&gt;Outliers!$F$7,"High",""))</f>
        <v/>
      </c>
      <c r="K1425" s="6" t="str">
        <f aca="false">IF(C1425&lt;Outliers!$E$8,"Low",IF(C1425&gt;Outliers!$F$8,"High",""))</f>
        <v/>
      </c>
      <c r="L1425" s="6" t="str">
        <f aca="false">A1425&amp;";"&amp;B1425&amp;";"&amp;C1425</f>
        <v>29.10968327;27.95602304;21.5615177039495</v>
      </c>
      <c r="M1425" s="6" t="n">
        <f aca="false">IF(COUNTIF($L$2:$L$2201,L1425)&gt;1,1,0)</f>
        <v>0</v>
      </c>
      <c r="N1425" s="6" t="str">
        <f aca="false">IF(AND(C1425&lt;Assumptions!$B$9,B1425&lt;Assumptions!$B$10),"Irrigate Now",IF(AND(C1425&gt;=Assumptions!$B$11,B1425&gt;=Assumptions!$B$12),"No Irrigation Needed","Monitor"))</f>
        <v>Monitor</v>
      </c>
      <c r="O1425" s="6" t="n">
        <f aca="false">IF(N1425=G1425,1,0)</f>
        <v>1</v>
      </c>
    </row>
    <row r="1426" customFormat="false" ht="15" hidden="false" customHeight="false" outlineLevel="0" collapsed="false">
      <c r="A1426" s="16" t="n">
        <v>28.20480805</v>
      </c>
      <c r="B1426" s="16" t="n">
        <v>20.36001144</v>
      </c>
      <c r="C1426" s="16" t="n">
        <v>19.0371840636956</v>
      </c>
      <c r="D1426" s="6" t="s">
        <v>57</v>
      </c>
      <c r="E1426" s="6" t="s">
        <v>23</v>
      </c>
      <c r="F1426" s="6" t="s">
        <v>24</v>
      </c>
      <c r="G1426" s="6" t="s">
        <v>61</v>
      </c>
      <c r="H1426" s="6" t="s">
        <v>63</v>
      </c>
      <c r="I1426" s="6" t="str">
        <f aca="false">IF(A1426&lt;Outliers!$E$6,"Low",IF(A1426&gt;Outliers!$F$6,"High",""))</f>
        <v/>
      </c>
      <c r="J1426" s="6" t="str">
        <f aca="false">IF(B1426&lt;Outliers!$E$7,"Low",IF(B1426&gt;Outliers!$F$7,"High",""))</f>
        <v/>
      </c>
      <c r="K1426" s="6" t="str">
        <f aca="false">IF(C1426&lt;Outliers!$E$8,"Low",IF(C1426&gt;Outliers!$F$8,"High",""))</f>
        <v/>
      </c>
      <c r="L1426" s="6" t="str">
        <f aca="false">A1426&amp;";"&amp;B1426&amp;";"&amp;C1426</f>
        <v>28.20480805;20.36001144;19.0371840636956</v>
      </c>
      <c r="M1426" s="6" t="n">
        <f aca="false">IF(COUNTIF($L$2:$L$2201,L1426)&gt;1,1,0)</f>
        <v>0</v>
      </c>
      <c r="N1426" s="6" t="str">
        <f aca="false">IF(AND(C1426&lt;Assumptions!$B$9,B1426&lt;Assumptions!$B$10),"Irrigate Now",IF(AND(C1426&gt;=Assumptions!$B$11,B1426&gt;=Assumptions!$B$12),"No Irrigation Needed","Monitor"))</f>
        <v>Monitor</v>
      </c>
      <c r="O1426" s="6" t="n">
        <f aca="false">IF(N1426=G1426,1,0)</f>
        <v>1</v>
      </c>
    </row>
    <row r="1427" customFormat="false" ht="15" hidden="false" customHeight="false" outlineLevel="0" collapsed="false">
      <c r="A1427" s="16" t="n">
        <v>29.11858526</v>
      </c>
      <c r="B1427" s="16" t="n">
        <v>24.52020164</v>
      </c>
      <c r="C1427" s="16" t="n">
        <v>28.919170091842</v>
      </c>
      <c r="D1427" s="6" t="s">
        <v>57</v>
      </c>
      <c r="E1427" s="6" t="s">
        <v>23</v>
      </c>
      <c r="F1427" s="6" t="s">
        <v>23</v>
      </c>
      <c r="G1427" s="6" t="s">
        <v>61</v>
      </c>
      <c r="H1427" s="6" t="s">
        <v>63</v>
      </c>
      <c r="I1427" s="6" t="str">
        <f aca="false">IF(A1427&lt;Outliers!$E$6,"Low",IF(A1427&gt;Outliers!$F$6,"High",""))</f>
        <v/>
      </c>
      <c r="J1427" s="6" t="str">
        <f aca="false">IF(B1427&lt;Outliers!$E$7,"Low",IF(B1427&gt;Outliers!$F$7,"High",""))</f>
        <v/>
      </c>
      <c r="K1427" s="6" t="str">
        <f aca="false">IF(C1427&lt;Outliers!$E$8,"Low",IF(C1427&gt;Outliers!$F$8,"High",""))</f>
        <v/>
      </c>
      <c r="L1427" s="6" t="str">
        <f aca="false">A1427&amp;";"&amp;B1427&amp;";"&amp;C1427</f>
        <v>29.11858526;24.52020164;28.919170091842</v>
      </c>
      <c r="M1427" s="6" t="n">
        <f aca="false">IF(COUNTIF($L$2:$L$2201,L1427)&gt;1,1,0)</f>
        <v>0</v>
      </c>
      <c r="N1427" s="6" t="str">
        <f aca="false">IF(AND(C1427&lt;Assumptions!$B$9,B1427&lt;Assumptions!$B$10),"Irrigate Now",IF(AND(C1427&gt;=Assumptions!$B$11,B1427&gt;=Assumptions!$B$12),"No Irrigation Needed","Monitor"))</f>
        <v>Monitor</v>
      </c>
      <c r="O1427" s="6" t="n">
        <f aca="false">IF(N1427=G1427,1,0)</f>
        <v>1</v>
      </c>
    </row>
    <row r="1428" customFormat="false" ht="15" hidden="false" customHeight="false" outlineLevel="0" collapsed="false">
      <c r="A1428" s="16" t="n">
        <v>29.62800691</v>
      </c>
      <c r="B1428" s="16" t="n">
        <v>23.69586761</v>
      </c>
      <c r="C1428" s="16" t="n">
        <v>27.9991641897824</v>
      </c>
      <c r="D1428" s="6" t="s">
        <v>57</v>
      </c>
      <c r="E1428" s="6" t="s">
        <v>23</v>
      </c>
      <c r="F1428" s="6" t="s">
        <v>23</v>
      </c>
      <c r="G1428" s="6" t="s">
        <v>61</v>
      </c>
      <c r="H1428" s="6" t="s">
        <v>63</v>
      </c>
      <c r="I1428" s="6" t="str">
        <f aca="false">IF(A1428&lt;Outliers!$E$6,"Low",IF(A1428&gt;Outliers!$F$6,"High",""))</f>
        <v/>
      </c>
      <c r="J1428" s="6" t="str">
        <f aca="false">IF(B1428&lt;Outliers!$E$7,"Low",IF(B1428&gt;Outliers!$F$7,"High",""))</f>
        <v/>
      </c>
      <c r="K1428" s="6" t="str">
        <f aca="false">IF(C1428&lt;Outliers!$E$8,"Low",IF(C1428&gt;Outliers!$F$8,"High",""))</f>
        <v/>
      </c>
      <c r="L1428" s="6" t="str">
        <f aca="false">A1428&amp;";"&amp;B1428&amp;";"&amp;C1428</f>
        <v>29.62800691;23.69586761;27.9991641897824</v>
      </c>
      <c r="M1428" s="6" t="n">
        <f aca="false">IF(COUNTIF($L$2:$L$2201,L1428)&gt;1,1,0)</f>
        <v>0</v>
      </c>
      <c r="N1428" s="6" t="str">
        <f aca="false">IF(AND(C1428&lt;Assumptions!$B$9,B1428&lt;Assumptions!$B$10),"Irrigate Now",IF(AND(C1428&gt;=Assumptions!$B$11,B1428&gt;=Assumptions!$B$12),"No Irrigation Needed","Monitor"))</f>
        <v>Monitor</v>
      </c>
      <c r="O1428" s="6" t="n">
        <f aca="false">IF(N1428=G1428,1,0)</f>
        <v>1</v>
      </c>
    </row>
    <row r="1429" customFormat="false" ht="15" hidden="false" customHeight="false" outlineLevel="0" collapsed="false">
      <c r="A1429" s="16" t="n">
        <v>29.81196601</v>
      </c>
      <c r="B1429" s="16" t="n">
        <v>22.68766503</v>
      </c>
      <c r="C1429" s="16" t="n">
        <v>10.2467300224347</v>
      </c>
      <c r="D1429" s="6" t="s">
        <v>57</v>
      </c>
      <c r="E1429" s="6" t="s">
        <v>23</v>
      </c>
      <c r="F1429" s="6" t="s">
        <v>24</v>
      </c>
      <c r="G1429" s="6" t="s">
        <v>64</v>
      </c>
      <c r="H1429" s="6" t="s">
        <v>65</v>
      </c>
      <c r="I1429" s="6" t="str">
        <f aca="false">IF(A1429&lt;Outliers!$E$6,"Low",IF(A1429&gt;Outliers!$F$6,"High",""))</f>
        <v/>
      </c>
      <c r="J1429" s="6" t="str">
        <f aca="false">IF(B1429&lt;Outliers!$E$7,"Low",IF(B1429&gt;Outliers!$F$7,"High",""))</f>
        <v/>
      </c>
      <c r="K1429" s="6" t="str">
        <f aca="false">IF(C1429&lt;Outliers!$E$8,"Low",IF(C1429&gt;Outliers!$F$8,"High",""))</f>
        <v/>
      </c>
      <c r="L1429" s="6" t="str">
        <f aca="false">A1429&amp;";"&amp;B1429&amp;";"&amp;C1429</f>
        <v>29.81196601;22.68766503;10.2467300224347</v>
      </c>
      <c r="M1429" s="6" t="n">
        <f aca="false">IF(COUNTIF($L$2:$L$2201,L1429)&gt;1,1,0)</f>
        <v>0</v>
      </c>
      <c r="N1429" s="6" t="str">
        <f aca="false">IF(AND(C1429&lt;Assumptions!$B$9,B1429&lt;Assumptions!$B$10),"Irrigate Now",IF(AND(C1429&gt;=Assumptions!$B$11,B1429&gt;=Assumptions!$B$12),"No Irrigation Needed","Monitor"))</f>
        <v>Irrigate Now</v>
      </c>
      <c r="O1429" s="6" t="n">
        <f aca="false">IF(N1429=G1429,1,0)</f>
        <v>1</v>
      </c>
    </row>
    <row r="1430" customFormat="false" ht="15" hidden="false" customHeight="false" outlineLevel="0" collapsed="false">
      <c r="A1430" s="16" t="n">
        <v>27.72338349</v>
      </c>
      <c r="B1430" s="16" t="n">
        <v>22.81863447</v>
      </c>
      <c r="C1430" s="16" t="n">
        <v>22.3296068397099</v>
      </c>
      <c r="D1430" s="6" t="s">
        <v>57</v>
      </c>
      <c r="E1430" s="6" t="s">
        <v>23</v>
      </c>
      <c r="F1430" s="6" t="s">
        <v>60</v>
      </c>
      <c r="G1430" s="6" t="s">
        <v>61</v>
      </c>
      <c r="H1430" s="6" t="s">
        <v>63</v>
      </c>
      <c r="I1430" s="6" t="str">
        <f aca="false">IF(A1430&lt;Outliers!$E$6,"Low",IF(A1430&gt;Outliers!$F$6,"High",""))</f>
        <v/>
      </c>
      <c r="J1430" s="6" t="str">
        <f aca="false">IF(B1430&lt;Outliers!$E$7,"Low",IF(B1430&gt;Outliers!$F$7,"High",""))</f>
        <v/>
      </c>
      <c r="K1430" s="6" t="str">
        <f aca="false">IF(C1430&lt;Outliers!$E$8,"Low",IF(C1430&gt;Outliers!$F$8,"High",""))</f>
        <v/>
      </c>
      <c r="L1430" s="6" t="str">
        <f aca="false">A1430&amp;";"&amp;B1430&amp;";"&amp;C1430</f>
        <v>27.72338349;22.81863447;22.3296068397099</v>
      </c>
      <c r="M1430" s="6" t="n">
        <f aca="false">IF(COUNTIF($L$2:$L$2201,L1430)&gt;1,1,0)</f>
        <v>0</v>
      </c>
      <c r="N1430" s="6" t="str">
        <f aca="false">IF(AND(C1430&lt;Assumptions!$B$9,B1430&lt;Assumptions!$B$10),"Irrigate Now",IF(AND(C1430&gt;=Assumptions!$B$11,B1430&gt;=Assumptions!$B$12),"No Irrigation Needed","Monitor"))</f>
        <v>Monitor</v>
      </c>
      <c r="O1430" s="6" t="n">
        <f aca="false">IF(N1430=G1430,1,0)</f>
        <v>1</v>
      </c>
    </row>
    <row r="1431" customFormat="false" ht="15" hidden="false" customHeight="false" outlineLevel="0" collapsed="false">
      <c r="A1431" s="16" t="n">
        <v>29.26092798</v>
      </c>
      <c r="B1431" s="16" t="n">
        <v>28.70627683</v>
      </c>
      <c r="C1431" s="16" t="n">
        <v>24.9373357773908</v>
      </c>
      <c r="D1431" s="6" t="s">
        <v>57</v>
      </c>
      <c r="E1431" s="6" t="s">
        <v>23</v>
      </c>
      <c r="F1431" s="6" t="s">
        <v>60</v>
      </c>
      <c r="G1431" s="6" t="s">
        <v>61</v>
      </c>
      <c r="H1431" s="6" t="s">
        <v>63</v>
      </c>
      <c r="I1431" s="6" t="str">
        <f aca="false">IF(A1431&lt;Outliers!$E$6,"Low",IF(A1431&gt;Outliers!$F$6,"High",""))</f>
        <v/>
      </c>
      <c r="J1431" s="6" t="str">
        <f aca="false">IF(B1431&lt;Outliers!$E$7,"Low",IF(B1431&gt;Outliers!$F$7,"High",""))</f>
        <v/>
      </c>
      <c r="K1431" s="6" t="str">
        <f aca="false">IF(C1431&lt;Outliers!$E$8,"Low",IF(C1431&gt;Outliers!$F$8,"High",""))</f>
        <v/>
      </c>
      <c r="L1431" s="6" t="str">
        <f aca="false">A1431&amp;";"&amp;B1431&amp;";"&amp;C1431</f>
        <v>29.26092798;28.70627683;24.9373357773908</v>
      </c>
      <c r="M1431" s="6" t="n">
        <f aca="false">IF(COUNTIF($L$2:$L$2201,L1431)&gt;1,1,0)</f>
        <v>0</v>
      </c>
      <c r="N1431" s="6" t="str">
        <f aca="false">IF(AND(C1431&lt;Assumptions!$B$9,B1431&lt;Assumptions!$B$10),"Irrigate Now",IF(AND(C1431&gt;=Assumptions!$B$11,B1431&gt;=Assumptions!$B$12),"No Irrigation Needed","Monitor"))</f>
        <v>Monitor</v>
      </c>
      <c r="O1431" s="6" t="n">
        <f aca="false">IF(N1431=G1431,1,0)</f>
        <v>1</v>
      </c>
    </row>
    <row r="1432" customFormat="false" ht="15" hidden="false" customHeight="false" outlineLevel="0" collapsed="false">
      <c r="A1432" s="16" t="n">
        <v>29.72791119</v>
      </c>
      <c r="B1432" s="16" t="n">
        <v>26.52364146</v>
      </c>
      <c r="C1432" s="16" t="n">
        <v>27.0237866360087</v>
      </c>
      <c r="D1432" s="6" t="s">
        <v>57</v>
      </c>
      <c r="E1432" s="6" t="s">
        <v>23</v>
      </c>
      <c r="F1432" s="6" t="s">
        <v>60</v>
      </c>
      <c r="G1432" s="6" t="s">
        <v>61</v>
      </c>
      <c r="H1432" s="6" t="s">
        <v>63</v>
      </c>
      <c r="I1432" s="6" t="str">
        <f aca="false">IF(A1432&lt;Outliers!$E$6,"Low",IF(A1432&gt;Outliers!$F$6,"High",""))</f>
        <v/>
      </c>
      <c r="J1432" s="6" t="str">
        <f aca="false">IF(B1432&lt;Outliers!$E$7,"Low",IF(B1432&gt;Outliers!$F$7,"High",""))</f>
        <v/>
      </c>
      <c r="K1432" s="6" t="str">
        <f aca="false">IF(C1432&lt;Outliers!$E$8,"Low",IF(C1432&gt;Outliers!$F$8,"High",""))</f>
        <v/>
      </c>
      <c r="L1432" s="6" t="str">
        <f aca="false">A1432&amp;";"&amp;B1432&amp;";"&amp;C1432</f>
        <v>29.72791119;26.52364146;27.0237866360087</v>
      </c>
      <c r="M1432" s="6" t="n">
        <f aca="false">IF(COUNTIF($L$2:$L$2201,L1432)&gt;1,1,0)</f>
        <v>0</v>
      </c>
      <c r="N1432" s="6" t="str">
        <f aca="false">IF(AND(C1432&lt;Assumptions!$B$9,B1432&lt;Assumptions!$B$10),"Irrigate Now",IF(AND(C1432&gt;=Assumptions!$B$11,B1432&gt;=Assumptions!$B$12),"No Irrigation Needed","Monitor"))</f>
        <v>Monitor</v>
      </c>
      <c r="O1432" s="6" t="n">
        <f aca="false">IF(N1432=G1432,1,0)</f>
        <v>1</v>
      </c>
    </row>
    <row r="1433" customFormat="false" ht="15" hidden="false" customHeight="false" outlineLevel="0" collapsed="false">
      <c r="A1433" s="16" t="n">
        <v>28.91105641</v>
      </c>
      <c r="B1433" s="16" t="n">
        <v>23.44398467</v>
      </c>
      <c r="C1433" s="16" t="n">
        <v>28.2293525116346</v>
      </c>
      <c r="D1433" s="6" t="s">
        <v>57</v>
      </c>
      <c r="E1433" s="6" t="s">
        <v>23</v>
      </c>
      <c r="F1433" s="6" t="s">
        <v>23</v>
      </c>
      <c r="G1433" s="6" t="s">
        <v>61</v>
      </c>
      <c r="H1433" s="6" t="s">
        <v>63</v>
      </c>
      <c r="I1433" s="6" t="str">
        <f aca="false">IF(A1433&lt;Outliers!$E$6,"Low",IF(A1433&gt;Outliers!$F$6,"High",""))</f>
        <v/>
      </c>
      <c r="J1433" s="6" t="str">
        <f aca="false">IF(B1433&lt;Outliers!$E$7,"Low",IF(B1433&gt;Outliers!$F$7,"High",""))</f>
        <v/>
      </c>
      <c r="K1433" s="6" t="str">
        <f aca="false">IF(C1433&lt;Outliers!$E$8,"Low",IF(C1433&gt;Outliers!$F$8,"High",""))</f>
        <v/>
      </c>
      <c r="L1433" s="6" t="str">
        <f aca="false">A1433&amp;";"&amp;B1433&amp;";"&amp;C1433</f>
        <v>28.91105641;23.44398467;28.2293525116346</v>
      </c>
      <c r="M1433" s="6" t="n">
        <f aca="false">IF(COUNTIF($L$2:$L$2201,L1433)&gt;1,1,0)</f>
        <v>0</v>
      </c>
      <c r="N1433" s="6" t="str">
        <f aca="false">IF(AND(C1433&lt;Assumptions!$B$9,B1433&lt;Assumptions!$B$10),"Irrigate Now",IF(AND(C1433&gt;=Assumptions!$B$11,B1433&gt;=Assumptions!$B$12),"No Irrigation Needed","Monitor"))</f>
        <v>Monitor</v>
      </c>
      <c r="O1433" s="6" t="n">
        <f aca="false">IF(N1433=G1433,1,0)</f>
        <v>1</v>
      </c>
    </row>
    <row r="1434" customFormat="false" ht="15" hidden="false" customHeight="false" outlineLevel="0" collapsed="false">
      <c r="A1434" s="16" t="n">
        <v>28.96361426</v>
      </c>
      <c r="B1434" s="16" t="n">
        <v>23.56130173</v>
      </c>
      <c r="C1434" s="16" t="n">
        <v>13.9215656543326</v>
      </c>
      <c r="D1434" s="6" t="s">
        <v>57</v>
      </c>
      <c r="E1434" s="6" t="s">
        <v>23</v>
      </c>
      <c r="F1434" s="6" t="s">
        <v>24</v>
      </c>
      <c r="G1434" s="6" t="s">
        <v>64</v>
      </c>
      <c r="H1434" s="6" t="s">
        <v>65</v>
      </c>
      <c r="I1434" s="6" t="str">
        <f aca="false">IF(A1434&lt;Outliers!$E$6,"Low",IF(A1434&gt;Outliers!$F$6,"High",""))</f>
        <v/>
      </c>
      <c r="J1434" s="6" t="str">
        <f aca="false">IF(B1434&lt;Outliers!$E$7,"Low",IF(B1434&gt;Outliers!$F$7,"High",""))</f>
        <v/>
      </c>
      <c r="K1434" s="6" t="str">
        <f aca="false">IF(C1434&lt;Outliers!$E$8,"Low",IF(C1434&gt;Outliers!$F$8,"High",""))</f>
        <v/>
      </c>
      <c r="L1434" s="6" t="str">
        <f aca="false">A1434&amp;";"&amp;B1434&amp;";"&amp;C1434</f>
        <v>28.96361426;23.56130173;13.9215656543326</v>
      </c>
      <c r="M1434" s="6" t="n">
        <f aca="false">IF(COUNTIF($L$2:$L$2201,L1434)&gt;1,1,0)</f>
        <v>0</v>
      </c>
      <c r="N1434" s="6" t="str">
        <f aca="false">IF(AND(C1434&lt;Assumptions!$B$9,B1434&lt;Assumptions!$B$10),"Irrigate Now",IF(AND(C1434&gt;=Assumptions!$B$11,B1434&gt;=Assumptions!$B$12),"No Irrigation Needed","Monitor"))</f>
        <v>Irrigate Now</v>
      </c>
      <c r="O1434" s="6" t="n">
        <f aca="false">IF(N1434=G1434,1,0)</f>
        <v>1</v>
      </c>
    </row>
    <row r="1435" customFormat="false" ht="15" hidden="false" customHeight="false" outlineLevel="0" collapsed="false">
      <c r="A1435" s="16" t="n">
        <v>28.59052369</v>
      </c>
      <c r="B1435" s="16" t="n">
        <v>29.44008034</v>
      </c>
      <c r="C1435" s="16" t="n">
        <v>29.2045817298476</v>
      </c>
      <c r="D1435" s="6" t="s">
        <v>57</v>
      </c>
      <c r="E1435" s="6" t="s">
        <v>23</v>
      </c>
      <c r="F1435" s="6" t="s">
        <v>23</v>
      </c>
      <c r="G1435" s="6" t="s">
        <v>61</v>
      </c>
      <c r="H1435" s="6" t="s">
        <v>63</v>
      </c>
      <c r="I1435" s="6" t="str">
        <f aca="false">IF(A1435&lt;Outliers!$E$6,"Low",IF(A1435&gt;Outliers!$F$6,"High",""))</f>
        <v/>
      </c>
      <c r="J1435" s="6" t="str">
        <f aca="false">IF(B1435&lt;Outliers!$E$7,"Low",IF(B1435&gt;Outliers!$F$7,"High",""))</f>
        <v/>
      </c>
      <c r="K1435" s="6" t="str">
        <f aca="false">IF(C1435&lt;Outliers!$E$8,"Low",IF(C1435&gt;Outliers!$F$8,"High",""))</f>
        <v/>
      </c>
      <c r="L1435" s="6" t="str">
        <f aca="false">A1435&amp;";"&amp;B1435&amp;";"&amp;C1435</f>
        <v>28.59052369;29.44008034;29.2045817298476</v>
      </c>
      <c r="M1435" s="6" t="n">
        <f aca="false">IF(COUNTIF($L$2:$L$2201,L1435)&gt;1,1,0)</f>
        <v>0</v>
      </c>
      <c r="N1435" s="6" t="str">
        <f aca="false">IF(AND(C1435&lt;Assumptions!$B$9,B1435&lt;Assumptions!$B$10),"Irrigate Now",IF(AND(C1435&gt;=Assumptions!$B$11,B1435&gt;=Assumptions!$B$12),"No Irrigation Needed","Monitor"))</f>
        <v>Monitor</v>
      </c>
      <c r="O1435" s="6" t="n">
        <f aca="false">IF(N1435=G1435,1,0)</f>
        <v>1</v>
      </c>
    </row>
    <row r="1436" customFormat="false" ht="15" hidden="false" customHeight="false" outlineLevel="0" collapsed="false">
      <c r="A1436" s="16" t="n">
        <v>27.33897716</v>
      </c>
      <c r="B1436" s="16" t="n">
        <v>28.69113835</v>
      </c>
      <c r="C1436" s="16" t="n">
        <v>17.2760040225998</v>
      </c>
      <c r="D1436" s="6" t="s">
        <v>57</v>
      </c>
      <c r="E1436" s="6" t="s">
        <v>23</v>
      </c>
      <c r="F1436" s="6" t="s">
        <v>24</v>
      </c>
      <c r="G1436" s="6" t="s">
        <v>64</v>
      </c>
      <c r="H1436" s="6" t="s">
        <v>65</v>
      </c>
      <c r="I1436" s="6" t="str">
        <f aca="false">IF(A1436&lt;Outliers!$E$6,"Low",IF(A1436&gt;Outliers!$F$6,"High",""))</f>
        <v/>
      </c>
      <c r="J1436" s="6" t="str">
        <f aca="false">IF(B1436&lt;Outliers!$E$7,"Low",IF(B1436&gt;Outliers!$F$7,"High",""))</f>
        <v/>
      </c>
      <c r="K1436" s="6" t="str">
        <f aca="false">IF(C1436&lt;Outliers!$E$8,"Low",IF(C1436&gt;Outliers!$F$8,"High",""))</f>
        <v/>
      </c>
      <c r="L1436" s="6" t="str">
        <f aca="false">A1436&amp;";"&amp;B1436&amp;";"&amp;C1436</f>
        <v>27.33897716;28.69113835;17.2760040225998</v>
      </c>
      <c r="M1436" s="6" t="n">
        <f aca="false">IF(COUNTIF($L$2:$L$2201,L1436)&gt;1,1,0)</f>
        <v>0</v>
      </c>
      <c r="N1436" s="6" t="str">
        <f aca="false">IF(AND(C1436&lt;Assumptions!$B$9,B1436&lt;Assumptions!$B$10),"Irrigate Now",IF(AND(C1436&gt;=Assumptions!$B$11,B1436&gt;=Assumptions!$B$12),"No Irrigation Needed","Monitor"))</f>
        <v>Irrigate Now</v>
      </c>
      <c r="O1436" s="6" t="n">
        <f aca="false">IF(N1436=G1436,1,0)</f>
        <v>1</v>
      </c>
    </row>
    <row r="1437" customFormat="false" ht="15" hidden="false" customHeight="false" outlineLevel="0" collapsed="false">
      <c r="A1437" s="16" t="n">
        <v>29.90415889</v>
      </c>
      <c r="B1437" s="16" t="n">
        <v>25.37828397</v>
      </c>
      <c r="C1437" s="16" t="n">
        <v>24.0396817616195</v>
      </c>
      <c r="D1437" s="6" t="s">
        <v>57</v>
      </c>
      <c r="E1437" s="6" t="s">
        <v>23</v>
      </c>
      <c r="F1437" s="6" t="s">
        <v>60</v>
      </c>
      <c r="G1437" s="6" t="s">
        <v>61</v>
      </c>
      <c r="H1437" s="6" t="s">
        <v>63</v>
      </c>
      <c r="I1437" s="6" t="str">
        <f aca="false">IF(A1437&lt;Outliers!$E$6,"Low",IF(A1437&gt;Outliers!$F$6,"High",""))</f>
        <v/>
      </c>
      <c r="J1437" s="6" t="str">
        <f aca="false">IF(B1437&lt;Outliers!$E$7,"Low",IF(B1437&gt;Outliers!$F$7,"High",""))</f>
        <v/>
      </c>
      <c r="K1437" s="6" t="str">
        <f aca="false">IF(C1437&lt;Outliers!$E$8,"Low",IF(C1437&gt;Outliers!$F$8,"High",""))</f>
        <v/>
      </c>
      <c r="L1437" s="6" t="str">
        <f aca="false">A1437&amp;";"&amp;B1437&amp;";"&amp;C1437</f>
        <v>29.90415889;25.37828397;24.0396817616195</v>
      </c>
      <c r="M1437" s="6" t="n">
        <f aca="false">IF(COUNTIF($L$2:$L$2201,L1437)&gt;1,1,0)</f>
        <v>0</v>
      </c>
      <c r="N1437" s="6" t="str">
        <f aca="false">IF(AND(C1437&lt;Assumptions!$B$9,B1437&lt;Assumptions!$B$10),"Irrigate Now",IF(AND(C1437&gt;=Assumptions!$B$11,B1437&gt;=Assumptions!$B$12),"No Irrigation Needed","Monitor"))</f>
        <v>Monitor</v>
      </c>
      <c r="O1437" s="6" t="n">
        <f aca="false">IF(N1437=G1437,1,0)</f>
        <v>1</v>
      </c>
    </row>
    <row r="1438" customFormat="false" ht="15" hidden="false" customHeight="false" outlineLevel="0" collapsed="false">
      <c r="A1438" s="16" t="n">
        <v>27.42711692</v>
      </c>
      <c r="B1438" s="16" t="n">
        <v>21.7508774</v>
      </c>
      <c r="C1438" s="16" t="n">
        <v>25.7872444899431</v>
      </c>
      <c r="D1438" s="6" t="s">
        <v>57</v>
      </c>
      <c r="E1438" s="6" t="s">
        <v>23</v>
      </c>
      <c r="F1438" s="6" t="s">
        <v>60</v>
      </c>
      <c r="G1438" s="6" t="s">
        <v>61</v>
      </c>
      <c r="H1438" s="6" t="s">
        <v>63</v>
      </c>
      <c r="I1438" s="6" t="str">
        <f aca="false">IF(A1438&lt;Outliers!$E$6,"Low",IF(A1438&gt;Outliers!$F$6,"High",""))</f>
        <v/>
      </c>
      <c r="J1438" s="6" t="str">
        <f aca="false">IF(B1438&lt;Outliers!$E$7,"Low",IF(B1438&gt;Outliers!$F$7,"High",""))</f>
        <v/>
      </c>
      <c r="K1438" s="6" t="str">
        <f aca="false">IF(C1438&lt;Outliers!$E$8,"Low",IF(C1438&gt;Outliers!$F$8,"High",""))</f>
        <v/>
      </c>
      <c r="L1438" s="6" t="str">
        <f aca="false">A1438&amp;";"&amp;B1438&amp;";"&amp;C1438</f>
        <v>27.42711692;21.7508774;25.7872444899431</v>
      </c>
      <c r="M1438" s="6" t="n">
        <f aca="false">IF(COUNTIF($L$2:$L$2201,L1438)&gt;1,1,0)</f>
        <v>0</v>
      </c>
      <c r="N1438" s="6" t="str">
        <f aca="false">IF(AND(C1438&lt;Assumptions!$B$9,B1438&lt;Assumptions!$B$10),"Irrigate Now",IF(AND(C1438&gt;=Assumptions!$B$11,B1438&gt;=Assumptions!$B$12),"No Irrigation Needed","Monitor"))</f>
        <v>Monitor</v>
      </c>
      <c r="O1438" s="6" t="n">
        <f aca="false">IF(N1438=G1438,1,0)</f>
        <v>1</v>
      </c>
    </row>
    <row r="1439" customFormat="false" ht="15" hidden="false" customHeight="false" outlineLevel="0" collapsed="false">
      <c r="A1439" s="16" t="n">
        <v>29.55657523</v>
      </c>
      <c r="B1439" s="16" t="n">
        <v>28.36535596</v>
      </c>
      <c r="C1439" s="16" t="n">
        <v>13.9998257505303</v>
      </c>
      <c r="D1439" s="6" t="s">
        <v>57</v>
      </c>
      <c r="E1439" s="6" t="s">
        <v>23</v>
      </c>
      <c r="F1439" s="6" t="s">
        <v>24</v>
      </c>
      <c r="G1439" s="6" t="s">
        <v>64</v>
      </c>
      <c r="H1439" s="6" t="s">
        <v>65</v>
      </c>
      <c r="I1439" s="6" t="str">
        <f aca="false">IF(A1439&lt;Outliers!$E$6,"Low",IF(A1439&gt;Outliers!$F$6,"High",""))</f>
        <v/>
      </c>
      <c r="J1439" s="6" t="str">
        <f aca="false">IF(B1439&lt;Outliers!$E$7,"Low",IF(B1439&gt;Outliers!$F$7,"High",""))</f>
        <v/>
      </c>
      <c r="K1439" s="6" t="str">
        <f aca="false">IF(C1439&lt;Outliers!$E$8,"Low",IF(C1439&gt;Outliers!$F$8,"High",""))</f>
        <v/>
      </c>
      <c r="L1439" s="6" t="str">
        <f aca="false">A1439&amp;";"&amp;B1439&amp;";"&amp;C1439</f>
        <v>29.55657523;28.36535596;13.9998257505303</v>
      </c>
      <c r="M1439" s="6" t="n">
        <f aca="false">IF(COUNTIF($L$2:$L$2201,L1439)&gt;1,1,0)</f>
        <v>0</v>
      </c>
      <c r="N1439" s="6" t="str">
        <f aca="false">IF(AND(C1439&lt;Assumptions!$B$9,B1439&lt;Assumptions!$B$10),"Irrigate Now",IF(AND(C1439&gt;=Assumptions!$B$11,B1439&gt;=Assumptions!$B$12),"No Irrigation Needed","Monitor"))</f>
        <v>Irrigate Now</v>
      </c>
      <c r="O1439" s="6" t="n">
        <f aca="false">IF(N1439=G1439,1,0)</f>
        <v>1</v>
      </c>
    </row>
    <row r="1440" customFormat="false" ht="15" hidden="false" customHeight="false" outlineLevel="0" collapsed="false">
      <c r="A1440" s="16" t="n">
        <v>29.84070774</v>
      </c>
      <c r="B1440" s="16" t="n">
        <v>23.28207838</v>
      </c>
      <c r="C1440" s="16" t="n">
        <v>13.5810782412166</v>
      </c>
      <c r="D1440" s="6" t="s">
        <v>57</v>
      </c>
      <c r="E1440" s="6" t="s">
        <v>23</v>
      </c>
      <c r="F1440" s="6" t="s">
        <v>24</v>
      </c>
      <c r="G1440" s="6" t="s">
        <v>64</v>
      </c>
      <c r="H1440" s="6" t="s">
        <v>65</v>
      </c>
      <c r="I1440" s="6" t="str">
        <f aca="false">IF(A1440&lt;Outliers!$E$6,"Low",IF(A1440&gt;Outliers!$F$6,"High",""))</f>
        <v/>
      </c>
      <c r="J1440" s="6" t="str">
        <f aca="false">IF(B1440&lt;Outliers!$E$7,"Low",IF(B1440&gt;Outliers!$F$7,"High",""))</f>
        <v/>
      </c>
      <c r="K1440" s="6" t="str">
        <f aca="false">IF(C1440&lt;Outliers!$E$8,"Low",IF(C1440&gt;Outliers!$F$8,"High",""))</f>
        <v/>
      </c>
      <c r="L1440" s="6" t="str">
        <f aca="false">A1440&amp;";"&amp;B1440&amp;";"&amp;C1440</f>
        <v>29.84070774;23.28207838;13.5810782412166</v>
      </c>
      <c r="M1440" s="6" t="n">
        <f aca="false">IF(COUNTIF($L$2:$L$2201,L1440)&gt;1,1,0)</f>
        <v>0</v>
      </c>
      <c r="N1440" s="6" t="str">
        <f aca="false">IF(AND(C1440&lt;Assumptions!$B$9,B1440&lt;Assumptions!$B$10),"Irrigate Now",IF(AND(C1440&gt;=Assumptions!$B$11,B1440&gt;=Assumptions!$B$12),"No Irrigation Needed","Monitor"))</f>
        <v>Irrigate Now</v>
      </c>
      <c r="O1440" s="6" t="n">
        <f aca="false">IF(N1440=G1440,1,0)</f>
        <v>1</v>
      </c>
    </row>
    <row r="1441" customFormat="false" ht="15" hidden="false" customHeight="false" outlineLevel="0" collapsed="false">
      <c r="A1441" s="16" t="n">
        <v>28.53545677</v>
      </c>
      <c r="B1441" s="16" t="n">
        <v>25.1290048</v>
      </c>
      <c r="C1441" s="16" t="n">
        <v>28.9821354829952</v>
      </c>
      <c r="D1441" s="6" t="s">
        <v>57</v>
      </c>
      <c r="E1441" s="6" t="s">
        <v>23</v>
      </c>
      <c r="F1441" s="6" t="s">
        <v>23</v>
      </c>
      <c r="G1441" s="6" t="s">
        <v>61</v>
      </c>
      <c r="H1441" s="6" t="s">
        <v>63</v>
      </c>
      <c r="I1441" s="6" t="str">
        <f aca="false">IF(A1441&lt;Outliers!$E$6,"Low",IF(A1441&gt;Outliers!$F$6,"High",""))</f>
        <v/>
      </c>
      <c r="J1441" s="6" t="str">
        <f aca="false">IF(B1441&lt;Outliers!$E$7,"Low",IF(B1441&gt;Outliers!$F$7,"High",""))</f>
        <v/>
      </c>
      <c r="K1441" s="6" t="str">
        <f aca="false">IF(C1441&lt;Outliers!$E$8,"Low",IF(C1441&gt;Outliers!$F$8,"High",""))</f>
        <v/>
      </c>
      <c r="L1441" s="6" t="str">
        <f aca="false">A1441&amp;";"&amp;B1441&amp;";"&amp;C1441</f>
        <v>28.53545677;25.1290048;28.9821354829952</v>
      </c>
      <c r="M1441" s="6" t="n">
        <f aca="false">IF(COUNTIF($L$2:$L$2201,L1441)&gt;1,1,0)</f>
        <v>0</v>
      </c>
      <c r="N1441" s="6" t="str">
        <f aca="false">IF(AND(C1441&lt;Assumptions!$B$9,B1441&lt;Assumptions!$B$10),"Irrigate Now",IF(AND(C1441&gt;=Assumptions!$B$11,B1441&gt;=Assumptions!$B$12),"No Irrigation Needed","Monitor"))</f>
        <v>Monitor</v>
      </c>
      <c r="O1441" s="6" t="n">
        <f aca="false">IF(N1441=G1441,1,0)</f>
        <v>1</v>
      </c>
    </row>
    <row r="1442" customFormat="false" ht="15" hidden="false" customHeight="false" outlineLevel="0" collapsed="false">
      <c r="A1442" s="16" t="n">
        <v>27.11535046</v>
      </c>
      <c r="B1442" s="16" t="n">
        <v>26.51924782</v>
      </c>
      <c r="C1442" s="16" t="n">
        <v>12.4718338416149</v>
      </c>
      <c r="D1442" s="6" t="s">
        <v>57</v>
      </c>
      <c r="E1442" s="6" t="s">
        <v>23</v>
      </c>
      <c r="F1442" s="6" t="s">
        <v>24</v>
      </c>
      <c r="G1442" s="6" t="s">
        <v>64</v>
      </c>
      <c r="H1442" s="6" t="s">
        <v>65</v>
      </c>
      <c r="I1442" s="6" t="str">
        <f aca="false">IF(A1442&lt;Outliers!$E$6,"Low",IF(A1442&gt;Outliers!$F$6,"High",""))</f>
        <v/>
      </c>
      <c r="J1442" s="6" t="str">
        <f aca="false">IF(B1442&lt;Outliers!$E$7,"Low",IF(B1442&gt;Outliers!$F$7,"High",""))</f>
        <v/>
      </c>
      <c r="K1442" s="6" t="str">
        <f aca="false">IF(C1442&lt;Outliers!$E$8,"Low",IF(C1442&gt;Outliers!$F$8,"High",""))</f>
        <v/>
      </c>
      <c r="L1442" s="6" t="str">
        <f aca="false">A1442&amp;";"&amp;B1442&amp;";"&amp;C1442</f>
        <v>27.11535046;26.51924782;12.4718338416149</v>
      </c>
      <c r="M1442" s="6" t="n">
        <f aca="false">IF(COUNTIF($L$2:$L$2201,L1442)&gt;1,1,0)</f>
        <v>0</v>
      </c>
      <c r="N1442" s="6" t="str">
        <f aca="false">IF(AND(C1442&lt;Assumptions!$B$9,B1442&lt;Assumptions!$B$10),"Irrigate Now",IF(AND(C1442&gt;=Assumptions!$B$11,B1442&gt;=Assumptions!$B$12),"No Irrigation Needed","Monitor"))</f>
        <v>Irrigate Now</v>
      </c>
      <c r="O1442" s="6" t="n">
        <f aca="false">IF(N1442=G1442,1,0)</f>
        <v>1</v>
      </c>
    </row>
    <row r="1443" customFormat="false" ht="15" hidden="false" customHeight="false" outlineLevel="0" collapsed="false">
      <c r="A1443" s="16" t="n">
        <v>27.84492803</v>
      </c>
      <c r="B1443" s="16" t="n">
        <v>26.47844429</v>
      </c>
      <c r="C1443" s="16" t="n">
        <v>12.0671073544637</v>
      </c>
      <c r="D1443" s="6" t="s">
        <v>57</v>
      </c>
      <c r="E1443" s="6" t="s">
        <v>23</v>
      </c>
      <c r="F1443" s="6" t="s">
        <v>24</v>
      </c>
      <c r="G1443" s="6" t="s">
        <v>64</v>
      </c>
      <c r="H1443" s="6" t="s">
        <v>65</v>
      </c>
      <c r="I1443" s="6" t="str">
        <f aca="false">IF(A1443&lt;Outliers!$E$6,"Low",IF(A1443&gt;Outliers!$F$6,"High",""))</f>
        <v/>
      </c>
      <c r="J1443" s="6" t="str">
        <f aca="false">IF(B1443&lt;Outliers!$E$7,"Low",IF(B1443&gt;Outliers!$F$7,"High",""))</f>
        <v/>
      </c>
      <c r="K1443" s="6" t="str">
        <f aca="false">IF(C1443&lt;Outliers!$E$8,"Low",IF(C1443&gt;Outliers!$F$8,"High",""))</f>
        <v/>
      </c>
      <c r="L1443" s="6" t="str">
        <f aca="false">A1443&amp;";"&amp;B1443&amp;";"&amp;C1443</f>
        <v>27.84492803;26.47844429;12.0671073544637</v>
      </c>
      <c r="M1443" s="6" t="n">
        <f aca="false">IF(COUNTIF($L$2:$L$2201,L1443)&gt;1,1,0)</f>
        <v>0</v>
      </c>
      <c r="N1443" s="6" t="str">
        <f aca="false">IF(AND(C1443&lt;Assumptions!$B$9,B1443&lt;Assumptions!$B$10),"Irrigate Now",IF(AND(C1443&gt;=Assumptions!$B$11,B1443&gt;=Assumptions!$B$12),"No Irrigation Needed","Monitor"))</f>
        <v>Irrigate Now</v>
      </c>
      <c r="O1443" s="6" t="n">
        <f aca="false">IF(N1443=G1443,1,0)</f>
        <v>1</v>
      </c>
    </row>
    <row r="1444" customFormat="false" ht="15" hidden="false" customHeight="false" outlineLevel="0" collapsed="false">
      <c r="A1444" s="16" t="n">
        <v>29.03157242</v>
      </c>
      <c r="B1444" s="16" t="n">
        <v>24.93861254</v>
      </c>
      <c r="C1444" s="16" t="n">
        <v>11.5219767397152</v>
      </c>
      <c r="D1444" s="6" t="s">
        <v>57</v>
      </c>
      <c r="E1444" s="6" t="s">
        <v>23</v>
      </c>
      <c r="F1444" s="6" t="s">
        <v>24</v>
      </c>
      <c r="G1444" s="6" t="s">
        <v>64</v>
      </c>
      <c r="H1444" s="6" t="s">
        <v>65</v>
      </c>
      <c r="I1444" s="6" t="str">
        <f aca="false">IF(A1444&lt;Outliers!$E$6,"Low",IF(A1444&gt;Outliers!$F$6,"High",""))</f>
        <v/>
      </c>
      <c r="J1444" s="6" t="str">
        <f aca="false">IF(B1444&lt;Outliers!$E$7,"Low",IF(B1444&gt;Outliers!$F$7,"High",""))</f>
        <v/>
      </c>
      <c r="K1444" s="6" t="str">
        <f aca="false">IF(C1444&lt;Outliers!$E$8,"Low",IF(C1444&gt;Outliers!$F$8,"High",""))</f>
        <v/>
      </c>
      <c r="L1444" s="6" t="str">
        <f aca="false">A1444&amp;";"&amp;B1444&amp;";"&amp;C1444</f>
        <v>29.03157242;24.93861254;11.5219767397152</v>
      </c>
      <c r="M1444" s="6" t="n">
        <f aca="false">IF(COUNTIF($L$2:$L$2201,L1444)&gt;1,1,0)</f>
        <v>0</v>
      </c>
      <c r="N1444" s="6" t="str">
        <f aca="false">IF(AND(C1444&lt;Assumptions!$B$9,B1444&lt;Assumptions!$B$10),"Irrigate Now",IF(AND(C1444&gt;=Assumptions!$B$11,B1444&gt;=Assumptions!$B$12),"No Irrigation Needed","Monitor"))</f>
        <v>Irrigate Now</v>
      </c>
      <c r="O1444" s="6" t="n">
        <f aca="false">IF(N1444=G1444,1,0)</f>
        <v>1</v>
      </c>
    </row>
    <row r="1445" customFormat="false" ht="15" hidden="false" customHeight="false" outlineLevel="0" collapsed="false">
      <c r="A1445" s="16" t="n">
        <v>27.82424457</v>
      </c>
      <c r="B1445" s="16" t="n">
        <v>21.19014526</v>
      </c>
      <c r="C1445" s="16" t="n">
        <v>13.6585926033683</v>
      </c>
      <c r="D1445" s="6" t="s">
        <v>57</v>
      </c>
      <c r="E1445" s="6" t="s">
        <v>23</v>
      </c>
      <c r="F1445" s="6" t="s">
        <v>24</v>
      </c>
      <c r="G1445" s="6" t="s">
        <v>64</v>
      </c>
      <c r="H1445" s="6" t="s">
        <v>65</v>
      </c>
      <c r="I1445" s="6" t="str">
        <f aca="false">IF(A1445&lt;Outliers!$E$6,"Low",IF(A1445&gt;Outliers!$F$6,"High",""))</f>
        <v/>
      </c>
      <c r="J1445" s="6" t="str">
        <f aca="false">IF(B1445&lt;Outliers!$E$7,"Low",IF(B1445&gt;Outliers!$F$7,"High",""))</f>
        <v/>
      </c>
      <c r="K1445" s="6" t="str">
        <f aca="false">IF(C1445&lt;Outliers!$E$8,"Low",IF(C1445&gt;Outliers!$F$8,"High",""))</f>
        <v/>
      </c>
      <c r="L1445" s="6" t="str">
        <f aca="false">A1445&amp;";"&amp;B1445&amp;";"&amp;C1445</f>
        <v>27.82424457;21.19014526;13.6585926033683</v>
      </c>
      <c r="M1445" s="6" t="n">
        <f aca="false">IF(COUNTIF($L$2:$L$2201,L1445)&gt;1,1,0)</f>
        <v>0</v>
      </c>
      <c r="N1445" s="6" t="str">
        <f aca="false">IF(AND(C1445&lt;Assumptions!$B$9,B1445&lt;Assumptions!$B$10),"Irrigate Now",IF(AND(C1445&gt;=Assumptions!$B$11,B1445&gt;=Assumptions!$B$12),"No Irrigation Needed","Monitor"))</f>
        <v>Irrigate Now</v>
      </c>
      <c r="O1445" s="6" t="n">
        <f aca="false">IF(N1445=G1445,1,0)</f>
        <v>1</v>
      </c>
    </row>
    <row r="1446" customFormat="false" ht="15" hidden="false" customHeight="false" outlineLevel="0" collapsed="false">
      <c r="A1446" s="16" t="n">
        <v>27.72653142</v>
      </c>
      <c r="B1446" s="16" t="n">
        <v>20.21126747</v>
      </c>
      <c r="C1446" s="16" t="n">
        <v>28.6330484669651</v>
      </c>
      <c r="D1446" s="6" t="s">
        <v>57</v>
      </c>
      <c r="E1446" s="6" t="s">
        <v>23</v>
      </c>
      <c r="F1446" s="6" t="s">
        <v>23</v>
      </c>
      <c r="G1446" s="6" t="s">
        <v>61</v>
      </c>
      <c r="H1446" s="6" t="s">
        <v>63</v>
      </c>
      <c r="I1446" s="6" t="str">
        <f aca="false">IF(A1446&lt;Outliers!$E$6,"Low",IF(A1446&gt;Outliers!$F$6,"High",""))</f>
        <v/>
      </c>
      <c r="J1446" s="6" t="str">
        <f aca="false">IF(B1446&lt;Outliers!$E$7,"Low",IF(B1446&gt;Outliers!$F$7,"High",""))</f>
        <v/>
      </c>
      <c r="K1446" s="6" t="str">
        <f aca="false">IF(C1446&lt;Outliers!$E$8,"Low",IF(C1446&gt;Outliers!$F$8,"High",""))</f>
        <v/>
      </c>
      <c r="L1446" s="6" t="str">
        <f aca="false">A1446&amp;";"&amp;B1446&amp;";"&amp;C1446</f>
        <v>27.72653142;20.21126747;28.6330484669651</v>
      </c>
      <c r="M1446" s="6" t="n">
        <f aca="false">IF(COUNTIF($L$2:$L$2201,L1446)&gt;1,1,0)</f>
        <v>0</v>
      </c>
      <c r="N1446" s="6" t="str">
        <f aca="false">IF(AND(C1446&lt;Assumptions!$B$9,B1446&lt;Assumptions!$B$10),"Irrigate Now",IF(AND(C1446&gt;=Assumptions!$B$11,B1446&gt;=Assumptions!$B$12),"No Irrigation Needed","Monitor"))</f>
        <v>Monitor</v>
      </c>
      <c r="O1446" s="6" t="n">
        <f aca="false">IF(N1446=G1446,1,0)</f>
        <v>1</v>
      </c>
    </row>
    <row r="1447" customFormat="false" ht="15" hidden="false" customHeight="false" outlineLevel="0" collapsed="false">
      <c r="A1447" s="16" t="n">
        <v>28.69708334</v>
      </c>
      <c r="B1447" s="16" t="n">
        <v>22.21807088</v>
      </c>
      <c r="C1447" s="16" t="n">
        <v>24.1912729615604</v>
      </c>
      <c r="D1447" s="6" t="s">
        <v>57</v>
      </c>
      <c r="E1447" s="6" t="s">
        <v>23</v>
      </c>
      <c r="F1447" s="6" t="s">
        <v>60</v>
      </c>
      <c r="G1447" s="6" t="s">
        <v>61</v>
      </c>
      <c r="H1447" s="6" t="s">
        <v>63</v>
      </c>
      <c r="I1447" s="6" t="str">
        <f aca="false">IF(A1447&lt;Outliers!$E$6,"Low",IF(A1447&gt;Outliers!$F$6,"High",""))</f>
        <v/>
      </c>
      <c r="J1447" s="6" t="str">
        <f aca="false">IF(B1447&lt;Outliers!$E$7,"Low",IF(B1447&gt;Outliers!$F$7,"High",""))</f>
        <v/>
      </c>
      <c r="K1447" s="6" t="str">
        <f aca="false">IF(C1447&lt;Outliers!$E$8,"Low",IF(C1447&gt;Outliers!$F$8,"High",""))</f>
        <v/>
      </c>
      <c r="L1447" s="6" t="str">
        <f aca="false">A1447&amp;";"&amp;B1447&amp;";"&amp;C1447</f>
        <v>28.69708334;22.21807088;24.1912729615604</v>
      </c>
      <c r="M1447" s="6" t="n">
        <f aca="false">IF(COUNTIF($L$2:$L$2201,L1447)&gt;1,1,0)</f>
        <v>0</v>
      </c>
      <c r="N1447" s="6" t="str">
        <f aca="false">IF(AND(C1447&lt;Assumptions!$B$9,B1447&lt;Assumptions!$B$10),"Irrigate Now",IF(AND(C1447&gt;=Assumptions!$B$11,B1447&gt;=Assumptions!$B$12),"No Irrigation Needed","Monitor"))</f>
        <v>Monitor</v>
      </c>
      <c r="O1447" s="6" t="n">
        <f aca="false">IF(N1447=G1447,1,0)</f>
        <v>1</v>
      </c>
    </row>
    <row r="1448" customFormat="false" ht="15" hidden="false" customHeight="false" outlineLevel="0" collapsed="false">
      <c r="A1448" s="16" t="n">
        <v>29.73019662</v>
      </c>
      <c r="B1448" s="16" t="n">
        <v>20.49035619</v>
      </c>
      <c r="C1448" s="16" t="n">
        <v>14.3234978046539</v>
      </c>
      <c r="D1448" s="6" t="s">
        <v>57</v>
      </c>
      <c r="E1448" s="6" t="s">
        <v>23</v>
      </c>
      <c r="F1448" s="6" t="s">
        <v>24</v>
      </c>
      <c r="G1448" s="6" t="s">
        <v>64</v>
      </c>
      <c r="H1448" s="6" t="s">
        <v>65</v>
      </c>
      <c r="I1448" s="6" t="str">
        <f aca="false">IF(A1448&lt;Outliers!$E$6,"Low",IF(A1448&gt;Outliers!$F$6,"High",""))</f>
        <v/>
      </c>
      <c r="J1448" s="6" t="str">
        <f aca="false">IF(B1448&lt;Outliers!$E$7,"Low",IF(B1448&gt;Outliers!$F$7,"High",""))</f>
        <v/>
      </c>
      <c r="K1448" s="6" t="str">
        <f aca="false">IF(C1448&lt;Outliers!$E$8,"Low",IF(C1448&gt;Outliers!$F$8,"High",""))</f>
        <v/>
      </c>
      <c r="L1448" s="6" t="str">
        <f aca="false">A1448&amp;";"&amp;B1448&amp;";"&amp;C1448</f>
        <v>29.73019662;20.49035619;14.3234978046539</v>
      </c>
      <c r="M1448" s="6" t="n">
        <f aca="false">IF(COUNTIF($L$2:$L$2201,L1448)&gt;1,1,0)</f>
        <v>0</v>
      </c>
      <c r="N1448" s="6" t="str">
        <f aca="false">IF(AND(C1448&lt;Assumptions!$B$9,B1448&lt;Assumptions!$B$10),"Irrigate Now",IF(AND(C1448&gt;=Assumptions!$B$11,B1448&gt;=Assumptions!$B$12),"No Irrigation Needed","Monitor"))</f>
        <v>Irrigate Now</v>
      </c>
      <c r="O1448" s="6" t="n">
        <f aca="false">IF(N1448=G1448,1,0)</f>
        <v>1</v>
      </c>
    </row>
    <row r="1449" customFormat="false" ht="15" hidden="false" customHeight="false" outlineLevel="0" collapsed="false">
      <c r="A1449" s="16" t="n">
        <v>29.54097171</v>
      </c>
      <c r="B1449" s="16" t="n">
        <v>21.9653077</v>
      </c>
      <c r="C1449" s="16" t="n">
        <v>21.139083686717</v>
      </c>
      <c r="D1449" s="6" t="s">
        <v>57</v>
      </c>
      <c r="E1449" s="6" t="s">
        <v>23</v>
      </c>
      <c r="F1449" s="6" t="s">
        <v>60</v>
      </c>
      <c r="G1449" s="6" t="s">
        <v>61</v>
      </c>
      <c r="H1449" s="6" t="s">
        <v>63</v>
      </c>
      <c r="I1449" s="6" t="str">
        <f aca="false">IF(A1449&lt;Outliers!$E$6,"Low",IF(A1449&gt;Outliers!$F$6,"High",""))</f>
        <v/>
      </c>
      <c r="J1449" s="6" t="str">
        <f aca="false">IF(B1449&lt;Outliers!$E$7,"Low",IF(B1449&gt;Outliers!$F$7,"High",""))</f>
        <v/>
      </c>
      <c r="K1449" s="6" t="str">
        <f aca="false">IF(C1449&lt;Outliers!$E$8,"Low",IF(C1449&gt;Outliers!$F$8,"High",""))</f>
        <v/>
      </c>
      <c r="L1449" s="6" t="str">
        <f aca="false">A1449&amp;";"&amp;B1449&amp;";"&amp;C1449</f>
        <v>29.54097171;21.9653077;21.139083686717</v>
      </c>
      <c r="M1449" s="6" t="n">
        <f aca="false">IF(COUNTIF($L$2:$L$2201,L1449)&gt;1,1,0)</f>
        <v>0</v>
      </c>
      <c r="N1449" s="6" t="str">
        <f aca="false">IF(AND(C1449&lt;Assumptions!$B$9,B1449&lt;Assumptions!$B$10),"Irrigate Now",IF(AND(C1449&gt;=Assumptions!$B$11,B1449&gt;=Assumptions!$B$12),"No Irrigation Needed","Monitor"))</f>
        <v>Monitor</v>
      </c>
      <c r="O1449" s="6" t="n">
        <f aca="false">IF(N1449=G1449,1,0)</f>
        <v>1</v>
      </c>
    </row>
    <row r="1450" customFormat="false" ht="15" hidden="false" customHeight="false" outlineLevel="0" collapsed="false">
      <c r="A1450" s="16" t="n">
        <v>28.80311922</v>
      </c>
      <c r="B1450" s="16" t="n">
        <v>25.16359891</v>
      </c>
      <c r="C1450" s="16" t="n">
        <v>20.7676458319194</v>
      </c>
      <c r="D1450" s="6" t="s">
        <v>57</v>
      </c>
      <c r="E1450" s="6" t="s">
        <v>23</v>
      </c>
      <c r="F1450" s="6" t="s">
        <v>60</v>
      </c>
      <c r="G1450" s="6" t="s">
        <v>61</v>
      </c>
      <c r="H1450" s="6" t="s">
        <v>63</v>
      </c>
      <c r="I1450" s="6" t="str">
        <f aca="false">IF(A1450&lt;Outliers!$E$6,"Low",IF(A1450&gt;Outliers!$F$6,"High",""))</f>
        <v/>
      </c>
      <c r="J1450" s="6" t="str">
        <f aca="false">IF(B1450&lt;Outliers!$E$7,"Low",IF(B1450&gt;Outliers!$F$7,"High",""))</f>
        <v/>
      </c>
      <c r="K1450" s="6" t="str">
        <f aca="false">IF(C1450&lt;Outliers!$E$8,"Low",IF(C1450&gt;Outliers!$F$8,"High",""))</f>
        <v/>
      </c>
      <c r="L1450" s="6" t="str">
        <f aca="false">A1450&amp;";"&amp;B1450&amp;";"&amp;C1450</f>
        <v>28.80311922;25.16359891;20.7676458319194</v>
      </c>
      <c r="M1450" s="6" t="n">
        <f aca="false">IF(COUNTIF($L$2:$L$2201,L1450)&gt;1,1,0)</f>
        <v>0</v>
      </c>
      <c r="N1450" s="6" t="str">
        <f aca="false">IF(AND(C1450&lt;Assumptions!$B$9,B1450&lt;Assumptions!$B$10),"Irrigate Now",IF(AND(C1450&gt;=Assumptions!$B$11,B1450&gt;=Assumptions!$B$12),"No Irrigation Needed","Monitor"))</f>
        <v>Monitor</v>
      </c>
      <c r="O1450" s="6" t="n">
        <f aca="false">IF(N1450=G1450,1,0)</f>
        <v>1</v>
      </c>
    </row>
    <row r="1451" customFormat="false" ht="15" hidden="false" customHeight="false" outlineLevel="0" collapsed="false">
      <c r="A1451" s="16" t="n">
        <v>27.29035669</v>
      </c>
      <c r="B1451" s="16" t="n">
        <v>23.49535234</v>
      </c>
      <c r="C1451" s="16" t="n">
        <v>24.4076635278902</v>
      </c>
      <c r="D1451" s="6" t="s">
        <v>57</v>
      </c>
      <c r="E1451" s="6" t="s">
        <v>23</v>
      </c>
      <c r="F1451" s="6" t="s">
        <v>60</v>
      </c>
      <c r="G1451" s="6" t="s">
        <v>61</v>
      </c>
      <c r="H1451" s="6" t="s">
        <v>63</v>
      </c>
      <c r="I1451" s="6" t="str">
        <f aca="false">IF(A1451&lt;Outliers!$E$6,"Low",IF(A1451&gt;Outliers!$F$6,"High",""))</f>
        <v/>
      </c>
      <c r="J1451" s="6" t="str">
        <f aca="false">IF(B1451&lt;Outliers!$E$7,"Low",IF(B1451&gt;Outliers!$F$7,"High",""))</f>
        <v/>
      </c>
      <c r="K1451" s="6" t="str">
        <f aca="false">IF(C1451&lt;Outliers!$E$8,"Low",IF(C1451&gt;Outliers!$F$8,"High",""))</f>
        <v/>
      </c>
      <c r="L1451" s="6" t="str">
        <f aca="false">A1451&amp;";"&amp;B1451&amp;";"&amp;C1451</f>
        <v>27.29035669;23.49535234;24.4076635278902</v>
      </c>
      <c r="M1451" s="6" t="n">
        <f aca="false">IF(COUNTIF($L$2:$L$2201,L1451)&gt;1,1,0)</f>
        <v>0</v>
      </c>
      <c r="N1451" s="6" t="str">
        <f aca="false">IF(AND(C1451&lt;Assumptions!$B$9,B1451&lt;Assumptions!$B$10),"Irrigate Now",IF(AND(C1451&gt;=Assumptions!$B$11,B1451&gt;=Assumptions!$B$12),"No Irrigation Needed","Monitor"))</f>
        <v>Monitor</v>
      </c>
      <c r="O1451" s="6" t="n">
        <f aca="false">IF(N1451=G1451,1,0)</f>
        <v>1</v>
      </c>
    </row>
    <row r="1452" customFormat="false" ht="15" hidden="false" customHeight="false" outlineLevel="0" collapsed="false">
      <c r="A1452" s="16" t="n">
        <v>27.46583649</v>
      </c>
      <c r="B1452" s="16" t="n">
        <v>27.27899847</v>
      </c>
      <c r="C1452" s="16" t="n">
        <v>23.3946661538714</v>
      </c>
      <c r="D1452" s="6" t="s">
        <v>57</v>
      </c>
      <c r="E1452" s="6" t="s">
        <v>23</v>
      </c>
      <c r="F1452" s="6" t="s">
        <v>60</v>
      </c>
      <c r="G1452" s="6" t="s">
        <v>61</v>
      </c>
      <c r="H1452" s="6" t="s">
        <v>63</v>
      </c>
      <c r="I1452" s="6" t="str">
        <f aca="false">IF(A1452&lt;Outliers!$E$6,"Low",IF(A1452&gt;Outliers!$F$6,"High",""))</f>
        <v/>
      </c>
      <c r="J1452" s="6" t="str">
        <f aca="false">IF(B1452&lt;Outliers!$E$7,"Low",IF(B1452&gt;Outliers!$F$7,"High",""))</f>
        <v/>
      </c>
      <c r="K1452" s="6" t="str">
        <f aca="false">IF(C1452&lt;Outliers!$E$8,"Low",IF(C1452&gt;Outliers!$F$8,"High",""))</f>
        <v/>
      </c>
      <c r="L1452" s="6" t="str">
        <f aca="false">A1452&amp;";"&amp;B1452&amp;";"&amp;C1452</f>
        <v>27.46583649;27.27899847;23.3946661538714</v>
      </c>
      <c r="M1452" s="6" t="n">
        <f aca="false">IF(COUNTIF($L$2:$L$2201,L1452)&gt;1,1,0)</f>
        <v>0</v>
      </c>
      <c r="N1452" s="6" t="str">
        <f aca="false">IF(AND(C1452&lt;Assumptions!$B$9,B1452&lt;Assumptions!$B$10),"Irrigate Now",IF(AND(C1452&gt;=Assumptions!$B$11,B1452&gt;=Assumptions!$B$12),"No Irrigation Needed","Monitor"))</f>
        <v>Monitor</v>
      </c>
      <c r="O1452" s="6" t="n">
        <f aca="false">IF(N1452=G1452,1,0)</f>
        <v>1</v>
      </c>
    </row>
    <row r="1453" customFormat="false" ht="15" hidden="false" customHeight="false" outlineLevel="0" collapsed="false">
      <c r="A1453" s="16" t="n">
        <v>29.49401389</v>
      </c>
      <c r="B1453" s="16" t="n">
        <v>26.30820876</v>
      </c>
      <c r="C1453" s="16" t="n">
        <v>10.9990540412664</v>
      </c>
      <c r="D1453" s="6" t="s">
        <v>57</v>
      </c>
      <c r="E1453" s="6" t="s">
        <v>23</v>
      </c>
      <c r="F1453" s="6" t="s">
        <v>24</v>
      </c>
      <c r="G1453" s="6" t="s">
        <v>64</v>
      </c>
      <c r="H1453" s="6" t="s">
        <v>65</v>
      </c>
      <c r="I1453" s="6" t="str">
        <f aca="false">IF(A1453&lt;Outliers!$E$6,"Low",IF(A1453&gt;Outliers!$F$6,"High",""))</f>
        <v/>
      </c>
      <c r="J1453" s="6" t="str">
        <f aca="false">IF(B1453&lt;Outliers!$E$7,"Low",IF(B1453&gt;Outliers!$F$7,"High",""))</f>
        <v/>
      </c>
      <c r="K1453" s="6" t="str">
        <f aca="false">IF(C1453&lt;Outliers!$E$8,"Low",IF(C1453&gt;Outliers!$F$8,"High",""))</f>
        <v/>
      </c>
      <c r="L1453" s="6" t="str">
        <f aca="false">A1453&amp;";"&amp;B1453&amp;";"&amp;C1453</f>
        <v>29.49401389;26.30820876;10.9990540412664</v>
      </c>
      <c r="M1453" s="6" t="n">
        <f aca="false">IF(COUNTIF($L$2:$L$2201,L1453)&gt;1,1,0)</f>
        <v>0</v>
      </c>
      <c r="N1453" s="6" t="str">
        <f aca="false">IF(AND(C1453&lt;Assumptions!$B$9,B1453&lt;Assumptions!$B$10),"Irrigate Now",IF(AND(C1453&gt;=Assumptions!$B$11,B1453&gt;=Assumptions!$B$12),"No Irrigation Needed","Monitor"))</f>
        <v>Irrigate Now</v>
      </c>
      <c r="O1453" s="6" t="n">
        <f aca="false">IF(N1453=G1453,1,0)</f>
        <v>1</v>
      </c>
    </row>
    <row r="1454" customFormat="false" ht="15" hidden="false" customHeight="false" outlineLevel="0" collapsed="false">
      <c r="A1454" s="16" t="n">
        <v>27.79161808</v>
      </c>
      <c r="B1454" s="16" t="n">
        <v>26.85422624</v>
      </c>
      <c r="C1454" s="16" t="n">
        <v>14.3615870830631</v>
      </c>
      <c r="D1454" s="6" t="s">
        <v>57</v>
      </c>
      <c r="E1454" s="6" t="s">
        <v>23</v>
      </c>
      <c r="F1454" s="6" t="s">
        <v>24</v>
      </c>
      <c r="G1454" s="6" t="s">
        <v>64</v>
      </c>
      <c r="H1454" s="6" t="s">
        <v>65</v>
      </c>
      <c r="I1454" s="6" t="str">
        <f aca="false">IF(A1454&lt;Outliers!$E$6,"Low",IF(A1454&gt;Outliers!$F$6,"High",""))</f>
        <v/>
      </c>
      <c r="J1454" s="6" t="str">
        <f aca="false">IF(B1454&lt;Outliers!$E$7,"Low",IF(B1454&gt;Outliers!$F$7,"High",""))</f>
        <v/>
      </c>
      <c r="K1454" s="6" t="str">
        <f aca="false">IF(C1454&lt;Outliers!$E$8,"Low",IF(C1454&gt;Outliers!$F$8,"High",""))</f>
        <v/>
      </c>
      <c r="L1454" s="6" t="str">
        <f aca="false">A1454&amp;";"&amp;B1454&amp;";"&amp;C1454</f>
        <v>27.79161808;26.85422624;14.3615870830631</v>
      </c>
      <c r="M1454" s="6" t="n">
        <f aca="false">IF(COUNTIF($L$2:$L$2201,L1454)&gt;1,1,0)</f>
        <v>0</v>
      </c>
      <c r="N1454" s="6" t="str">
        <f aca="false">IF(AND(C1454&lt;Assumptions!$B$9,B1454&lt;Assumptions!$B$10),"Irrigate Now",IF(AND(C1454&gt;=Assumptions!$B$11,B1454&gt;=Assumptions!$B$12),"No Irrigation Needed","Monitor"))</f>
        <v>Irrigate Now</v>
      </c>
      <c r="O1454" s="6" t="n">
        <f aca="false">IF(N1454=G1454,1,0)</f>
        <v>1</v>
      </c>
    </row>
    <row r="1455" customFormat="false" ht="15" hidden="false" customHeight="false" outlineLevel="0" collapsed="false">
      <c r="A1455" s="16" t="n">
        <v>29.12533739</v>
      </c>
      <c r="B1455" s="16" t="n">
        <v>21.90440445</v>
      </c>
      <c r="C1455" s="16" t="n">
        <v>18.5999558383134</v>
      </c>
      <c r="D1455" s="6" t="s">
        <v>57</v>
      </c>
      <c r="E1455" s="6" t="s">
        <v>23</v>
      </c>
      <c r="F1455" s="6" t="s">
        <v>24</v>
      </c>
      <c r="G1455" s="6" t="s">
        <v>61</v>
      </c>
      <c r="H1455" s="6" t="s">
        <v>63</v>
      </c>
      <c r="I1455" s="6" t="str">
        <f aca="false">IF(A1455&lt;Outliers!$E$6,"Low",IF(A1455&gt;Outliers!$F$6,"High",""))</f>
        <v/>
      </c>
      <c r="J1455" s="6" t="str">
        <f aca="false">IF(B1455&lt;Outliers!$E$7,"Low",IF(B1455&gt;Outliers!$F$7,"High",""))</f>
        <v/>
      </c>
      <c r="K1455" s="6" t="str">
        <f aca="false">IF(C1455&lt;Outliers!$E$8,"Low",IF(C1455&gt;Outliers!$F$8,"High",""))</f>
        <v/>
      </c>
      <c r="L1455" s="6" t="str">
        <f aca="false">A1455&amp;";"&amp;B1455&amp;";"&amp;C1455</f>
        <v>29.12533739;21.90440445;18.5999558383134</v>
      </c>
      <c r="M1455" s="6" t="n">
        <f aca="false">IF(COUNTIF($L$2:$L$2201,L1455)&gt;1,1,0)</f>
        <v>0</v>
      </c>
      <c r="N1455" s="6" t="str">
        <f aca="false">IF(AND(C1455&lt;Assumptions!$B$9,B1455&lt;Assumptions!$B$10),"Irrigate Now",IF(AND(C1455&gt;=Assumptions!$B$11,B1455&gt;=Assumptions!$B$12),"No Irrigation Needed","Monitor"))</f>
        <v>Monitor</v>
      </c>
      <c r="O1455" s="6" t="n">
        <f aca="false">IF(N1455=G1455,1,0)</f>
        <v>1</v>
      </c>
    </row>
    <row r="1456" customFormat="false" ht="15" hidden="false" customHeight="false" outlineLevel="0" collapsed="false">
      <c r="A1456" s="16" t="n">
        <v>27.93114233</v>
      </c>
      <c r="B1456" s="16" t="n">
        <v>20.66127836</v>
      </c>
      <c r="C1456" s="16" t="n">
        <v>27.9543290171377</v>
      </c>
      <c r="D1456" s="6" t="s">
        <v>57</v>
      </c>
      <c r="E1456" s="6" t="s">
        <v>23</v>
      </c>
      <c r="F1456" s="6" t="s">
        <v>23</v>
      </c>
      <c r="G1456" s="6" t="s">
        <v>61</v>
      </c>
      <c r="H1456" s="6" t="s">
        <v>63</v>
      </c>
      <c r="I1456" s="6" t="str">
        <f aca="false">IF(A1456&lt;Outliers!$E$6,"Low",IF(A1456&gt;Outliers!$F$6,"High",""))</f>
        <v/>
      </c>
      <c r="J1456" s="6" t="str">
        <f aca="false">IF(B1456&lt;Outliers!$E$7,"Low",IF(B1456&gt;Outliers!$F$7,"High",""))</f>
        <v/>
      </c>
      <c r="K1456" s="6" t="str">
        <f aca="false">IF(C1456&lt;Outliers!$E$8,"Low",IF(C1456&gt;Outliers!$F$8,"High",""))</f>
        <v/>
      </c>
      <c r="L1456" s="6" t="str">
        <f aca="false">A1456&amp;";"&amp;B1456&amp;";"&amp;C1456</f>
        <v>27.93114233;20.66127836;27.9543290171377</v>
      </c>
      <c r="M1456" s="6" t="n">
        <f aca="false">IF(COUNTIF($L$2:$L$2201,L1456)&gt;1,1,0)</f>
        <v>0</v>
      </c>
      <c r="N1456" s="6" t="str">
        <f aca="false">IF(AND(C1456&lt;Assumptions!$B$9,B1456&lt;Assumptions!$B$10),"Irrigate Now",IF(AND(C1456&gt;=Assumptions!$B$11,B1456&gt;=Assumptions!$B$12),"No Irrigation Needed","Monitor"))</f>
        <v>Monitor</v>
      </c>
      <c r="O1456" s="6" t="n">
        <f aca="false">IF(N1456=G1456,1,0)</f>
        <v>1</v>
      </c>
    </row>
    <row r="1457" customFormat="false" ht="15" hidden="false" customHeight="false" outlineLevel="0" collapsed="false">
      <c r="A1457" s="16" t="n">
        <v>29.45771748</v>
      </c>
      <c r="B1457" s="16" t="n">
        <v>20.76212031</v>
      </c>
      <c r="C1457" s="16" t="n">
        <v>13.5809521950161</v>
      </c>
      <c r="D1457" s="6" t="s">
        <v>57</v>
      </c>
      <c r="E1457" s="6" t="s">
        <v>23</v>
      </c>
      <c r="F1457" s="6" t="s">
        <v>24</v>
      </c>
      <c r="G1457" s="6" t="s">
        <v>64</v>
      </c>
      <c r="H1457" s="6" t="s">
        <v>65</v>
      </c>
      <c r="I1457" s="6" t="str">
        <f aca="false">IF(A1457&lt;Outliers!$E$6,"Low",IF(A1457&gt;Outliers!$F$6,"High",""))</f>
        <v/>
      </c>
      <c r="J1457" s="6" t="str">
        <f aca="false">IF(B1457&lt;Outliers!$E$7,"Low",IF(B1457&gt;Outliers!$F$7,"High",""))</f>
        <v/>
      </c>
      <c r="K1457" s="6" t="str">
        <f aca="false">IF(C1457&lt;Outliers!$E$8,"Low",IF(C1457&gt;Outliers!$F$8,"High",""))</f>
        <v/>
      </c>
      <c r="L1457" s="6" t="str">
        <f aca="false">A1457&amp;";"&amp;B1457&amp;";"&amp;C1457</f>
        <v>29.45771748;20.76212031;13.5809521950161</v>
      </c>
      <c r="M1457" s="6" t="n">
        <f aca="false">IF(COUNTIF($L$2:$L$2201,L1457)&gt;1,1,0)</f>
        <v>0</v>
      </c>
      <c r="N1457" s="6" t="str">
        <f aca="false">IF(AND(C1457&lt;Assumptions!$B$9,B1457&lt;Assumptions!$B$10),"Irrigate Now",IF(AND(C1457&gt;=Assumptions!$B$11,B1457&gt;=Assumptions!$B$12),"No Irrigation Needed","Monitor"))</f>
        <v>Irrigate Now</v>
      </c>
      <c r="O1457" s="6" t="n">
        <f aca="false">IF(N1457=G1457,1,0)</f>
        <v>1</v>
      </c>
    </row>
    <row r="1458" customFormat="false" ht="15" hidden="false" customHeight="false" outlineLevel="0" collapsed="false">
      <c r="A1458" s="16" t="n">
        <v>27.96872279</v>
      </c>
      <c r="B1458" s="16" t="n">
        <v>28.94766949</v>
      </c>
      <c r="C1458" s="16" t="n">
        <v>21.2028457798859</v>
      </c>
      <c r="D1458" s="6" t="s">
        <v>57</v>
      </c>
      <c r="E1458" s="6" t="s">
        <v>23</v>
      </c>
      <c r="F1458" s="6" t="s">
        <v>60</v>
      </c>
      <c r="G1458" s="6" t="s">
        <v>61</v>
      </c>
      <c r="H1458" s="6" t="s">
        <v>63</v>
      </c>
      <c r="I1458" s="6" t="str">
        <f aca="false">IF(A1458&lt;Outliers!$E$6,"Low",IF(A1458&gt;Outliers!$F$6,"High",""))</f>
        <v/>
      </c>
      <c r="J1458" s="6" t="str">
        <f aca="false">IF(B1458&lt;Outliers!$E$7,"Low",IF(B1458&gt;Outliers!$F$7,"High",""))</f>
        <v/>
      </c>
      <c r="K1458" s="6" t="str">
        <f aca="false">IF(C1458&lt;Outliers!$E$8,"Low",IF(C1458&gt;Outliers!$F$8,"High",""))</f>
        <v/>
      </c>
      <c r="L1458" s="6" t="str">
        <f aca="false">A1458&amp;";"&amp;B1458&amp;";"&amp;C1458</f>
        <v>27.96872279;28.94766949;21.2028457798859</v>
      </c>
      <c r="M1458" s="6" t="n">
        <f aca="false">IF(COUNTIF($L$2:$L$2201,L1458)&gt;1,1,0)</f>
        <v>0</v>
      </c>
      <c r="N1458" s="6" t="str">
        <f aca="false">IF(AND(C1458&lt;Assumptions!$B$9,B1458&lt;Assumptions!$B$10),"Irrigate Now",IF(AND(C1458&gt;=Assumptions!$B$11,B1458&gt;=Assumptions!$B$12),"No Irrigation Needed","Monitor"))</f>
        <v>Monitor</v>
      </c>
      <c r="O1458" s="6" t="n">
        <f aca="false">IF(N1458=G1458,1,0)</f>
        <v>1</v>
      </c>
    </row>
    <row r="1459" customFormat="false" ht="15" hidden="false" customHeight="false" outlineLevel="0" collapsed="false">
      <c r="A1459" s="16" t="n">
        <v>29.48882958</v>
      </c>
      <c r="B1459" s="16" t="n">
        <v>26.01909355</v>
      </c>
      <c r="C1459" s="16" t="n">
        <v>13.5742015383175</v>
      </c>
      <c r="D1459" s="6" t="s">
        <v>57</v>
      </c>
      <c r="E1459" s="6" t="s">
        <v>23</v>
      </c>
      <c r="F1459" s="6" t="s">
        <v>24</v>
      </c>
      <c r="G1459" s="6" t="s">
        <v>64</v>
      </c>
      <c r="H1459" s="6" t="s">
        <v>65</v>
      </c>
      <c r="I1459" s="6" t="str">
        <f aca="false">IF(A1459&lt;Outliers!$E$6,"Low",IF(A1459&gt;Outliers!$F$6,"High",""))</f>
        <v/>
      </c>
      <c r="J1459" s="6" t="str">
        <f aca="false">IF(B1459&lt;Outliers!$E$7,"Low",IF(B1459&gt;Outliers!$F$7,"High",""))</f>
        <v/>
      </c>
      <c r="K1459" s="6" t="str">
        <f aca="false">IF(C1459&lt;Outliers!$E$8,"Low",IF(C1459&gt;Outliers!$F$8,"High",""))</f>
        <v/>
      </c>
      <c r="L1459" s="6" t="str">
        <f aca="false">A1459&amp;";"&amp;B1459&amp;";"&amp;C1459</f>
        <v>29.48882958;26.01909355;13.5742015383175</v>
      </c>
      <c r="M1459" s="6" t="n">
        <f aca="false">IF(COUNTIF($L$2:$L$2201,L1459)&gt;1,1,0)</f>
        <v>0</v>
      </c>
      <c r="N1459" s="6" t="str">
        <f aca="false">IF(AND(C1459&lt;Assumptions!$B$9,B1459&lt;Assumptions!$B$10),"Irrigate Now",IF(AND(C1459&gt;=Assumptions!$B$11,B1459&gt;=Assumptions!$B$12),"No Irrigation Needed","Monitor"))</f>
        <v>Irrigate Now</v>
      </c>
      <c r="O1459" s="6" t="n">
        <f aca="false">IF(N1459=G1459,1,0)</f>
        <v>1</v>
      </c>
    </row>
    <row r="1460" customFormat="false" ht="15" hidden="false" customHeight="false" outlineLevel="0" collapsed="false">
      <c r="A1460" s="16" t="n">
        <v>29.47156259</v>
      </c>
      <c r="B1460" s="16" t="n">
        <v>28.75226067</v>
      </c>
      <c r="C1460" s="16" t="n">
        <v>29.6692126565785</v>
      </c>
      <c r="D1460" s="6" t="s">
        <v>57</v>
      </c>
      <c r="E1460" s="6" t="s">
        <v>23</v>
      </c>
      <c r="F1460" s="6" t="s">
        <v>23</v>
      </c>
      <c r="G1460" s="6" t="s">
        <v>61</v>
      </c>
      <c r="H1460" s="6" t="s">
        <v>63</v>
      </c>
      <c r="I1460" s="6" t="str">
        <f aca="false">IF(A1460&lt;Outliers!$E$6,"Low",IF(A1460&gt;Outliers!$F$6,"High",""))</f>
        <v/>
      </c>
      <c r="J1460" s="6" t="str">
        <f aca="false">IF(B1460&lt;Outliers!$E$7,"Low",IF(B1460&gt;Outliers!$F$7,"High",""))</f>
        <v/>
      </c>
      <c r="K1460" s="6" t="str">
        <f aca="false">IF(C1460&lt;Outliers!$E$8,"Low",IF(C1460&gt;Outliers!$F$8,"High",""))</f>
        <v/>
      </c>
      <c r="L1460" s="6" t="str">
        <f aca="false">A1460&amp;";"&amp;B1460&amp;";"&amp;C1460</f>
        <v>29.47156259;28.75226067;29.6692126565785</v>
      </c>
      <c r="M1460" s="6" t="n">
        <f aca="false">IF(COUNTIF($L$2:$L$2201,L1460)&gt;1,1,0)</f>
        <v>0</v>
      </c>
      <c r="N1460" s="6" t="str">
        <f aca="false">IF(AND(C1460&lt;Assumptions!$B$9,B1460&lt;Assumptions!$B$10),"Irrigate Now",IF(AND(C1460&gt;=Assumptions!$B$11,B1460&gt;=Assumptions!$B$12),"No Irrigation Needed","Monitor"))</f>
        <v>Monitor</v>
      </c>
      <c r="O1460" s="6" t="n">
        <f aca="false">IF(N1460=G1460,1,0)</f>
        <v>1</v>
      </c>
    </row>
    <row r="1461" customFormat="false" ht="15" hidden="false" customHeight="false" outlineLevel="0" collapsed="false">
      <c r="A1461" s="16" t="n">
        <v>27.0767265</v>
      </c>
      <c r="B1461" s="16" t="n">
        <v>24.4514648</v>
      </c>
      <c r="C1461" s="16" t="n">
        <v>22.9977977688472</v>
      </c>
      <c r="D1461" s="6" t="s">
        <v>57</v>
      </c>
      <c r="E1461" s="6" t="s">
        <v>23</v>
      </c>
      <c r="F1461" s="6" t="s">
        <v>60</v>
      </c>
      <c r="G1461" s="6" t="s">
        <v>61</v>
      </c>
      <c r="H1461" s="6" t="s">
        <v>63</v>
      </c>
      <c r="I1461" s="6" t="str">
        <f aca="false">IF(A1461&lt;Outliers!$E$6,"Low",IF(A1461&gt;Outliers!$F$6,"High",""))</f>
        <v/>
      </c>
      <c r="J1461" s="6" t="str">
        <f aca="false">IF(B1461&lt;Outliers!$E$7,"Low",IF(B1461&gt;Outliers!$F$7,"High",""))</f>
        <v/>
      </c>
      <c r="K1461" s="6" t="str">
        <f aca="false">IF(C1461&lt;Outliers!$E$8,"Low",IF(C1461&gt;Outliers!$F$8,"High",""))</f>
        <v/>
      </c>
      <c r="L1461" s="6" t="str">
        <f aca="false">A1461&amp;";"&amp;B1461&amp;";"&amp;C1461</f>
        <v>27.0767265;24.4514648;22.9977977688472</v>
      </c>
      <c r="M1461" s="6" t="n">
        <f aca="false">IF(COUNTIF($L$2:$L$2201,L1461)&gt;1,1,0)</f>
        <v>0</v>
      </c>
      <c r="N1461" s="6" t="str">
        <f aca="false">IF(AND(C1461&lt;Assumptions!$B$9,B1461&lt;Assumptions!$B$10),"Irrigate Now",IF(AND(C1461&gt;=Assumptions!$B$11,B1461&gt;=Assumptions!$B$12),"No Irrigation Needed","Monitor"))</f>
        <v>Monitor</v>
      </c>
      <c r="O1461" s="6" t="n">
        <f aca="false">IF(N1461=G1461,1,0)</f>
        <v>1</v>
      </c>
    </row>
    <row r="1462" customFormat="false" ht="15" hidden="false" customHeight="false" outlineLevel="0" collapsed="false">
      <c r="A1462" s="16" t="n">
        <v>27.30008597</v>
      </c>
      <c r="B1462" s="16" t="n">
        <v>25.09484511</v>
      </c>
      <c r="C1462" s="16" t="n">
        <v>29.0172966985492</v>
      </c>
      <c r="D1462" s="6" t="s">
        <v>57</v>
      </c>
      <c r="E1462" s="6" t="s">
        <v>23</v>
      </c>
      <c r="F1462" s="6" t="s">
        <v>23</v>
      </c>
      <c r="G1462" s="6" t="s">
        <v>61</v>
      </c>
      <c r="H1462" s="6" t="s">
        <v>63</v>
      </c>
      <c r="I1462" s="6" t="str">
        <f aca="false">IF(A1462&lt;Outliers!$E$6,"Low",IF(A1462&gt;Outliers!$F$6,"High",""))</f>
        <v/>
      </c>
      <c r="J1462" s="6" t="str">
        <f aca="false">IF(B1462&lt;Outliers!$E$7,"Low",IF(B1462&gt;Outliers!$F$7,"High",""))</f>
        <v/>
      </c>
      <c r="K1462" s="6" t="str">
        <f aca="false">IF(C1462&lt;Outliers!$E$8,"Low",IF(C1462&gt;Outliers!$F$8,"High",""))</f>
        <v/>
      </c>
      <c r="L1462" s="6" t="str">
        <f aca="false">A1462&amp;";"&amp;B1462&amp;";"&amp;C1462</f>
        <v>27.30008597;25.09484511;29.0172966985492</v>
      </c>
      <c r="M1462" s="6" t="n">
        <f aca="false">IF(COUNTIF($L$2:$L$2201,L1462)&gt;1,1,0)</f>
        <v>0</v>
      </c>
      <c r="N1462" s="6" t="str">
        <f aca="false">IF(AND(C1462&lt;Assumptions!$B$9,B1462&lt;Assumptions!$B$10),"Irrigate Now",IF(AND(C1462&gt;=Assumptions!$B$11,B1462&gt;=Assumptions!$B$12),"No Irrigation Needed","Monitor"))</f>
        <v>Monitor</v>
      </c>
      <c r="O1462" s="6" t="n">
        <f aca="false">IF(N1462=G1462,1,0)</f>
        <v>1</v>
      </c>
    </row>
    <row r="1463" customFormat="false" ht="15" hidden="false" customHeight="false" outlineLevel="0" collapsed="false">
      <c r="A1463" s="16" t="n">
        <v>29.82729394</v>
      </c>
      <c r="B1463" s="16" t="n">
        <v>22.84203589</v>
      </c>
      <c r="C1463" s="16" t="n">
        <v>26.2990413569801</v>
      </c>
      <c r="D1463" s="6" t="s">
        <v>57</v>
      </c>
      <c r="E1463" s="6" t="s">
        <v>23</v>
      </c>
      <c r="F1463" s="6" t="s">
        <v>60</v>
      </c>
      <c r="G1463" s="6" t="s">
        <v>61</v>
      </c>
      <c r="H1463" s="6" t="s">
        <v>63</v>
      </c>
      <c r="I1463" s="6" t="str">
        <f aca="false">IF(A1463&lt;Outliers!$E$6,"Low",IF(A1463&gt;Outliers!$F$6,"High",""))</f>
        <v/>
      </c>
      <c r="J1463" s="6" t="str">
        <f aca="false">IF(B1463&lt;Outliers!$E$7,"Low",IF(B1463&gt;Outliers!$F$7,"High",""))</f>
        <v/>
      </c>
      <c r="K1463" s="6" t="str">
        <f aca="false">IF(C1463&lt;Outliers!$E$8,"Low",IF(C1463&gt;Outliers!$F$8,"High",""))</f>
        <v/>
      </c>
      <c r="L1463" s="6" t="str">
        <f aca="false">A1463&amp;";"&amp;B1463&amp;";"&amp;C1463</f>
        <v>29.82729394;22.84203589;26.2990413569801</v>
      </c>
      <c r="M1463" s="6" t="n">
        <f aca="false">IF(COUNTIF($L$2:$L$2201,L1463)&gt;1,1,0)</f>
        <v>0</v>
      </c>
      <c r="N1463" s="6" t="str">
        <f aca="false">IF(AND(C1463&lt;Assumptions!$B$9,B1463&lt;Assumptions!$B$10),"Irrigate Now",IF(AND(C1463&gt;=Assumptions!$B$11,B1463&gt;=Assumptions!$B$12),"No Irrigation Needed","Monitor"))</f>
        <v>Monitor</v>
      </c>
      <c r="O1463" s="6" t="n">
        <f aca="false">IF(N1463=G1463,1,0)</f>
        <v>1</v>
      </c>
    </row>
    <row r="1464" customFormat="false" ht="15" hidden="false" customHeight="false" outlineLevel="0" collapsed="false">
      <c r="A1464" s="16" t="n">
        <v>29.93061247</v>
      </c>
      <c r="B1464" s="16" t="n">
        <v>24.34814338</v>
      </c>
      <c r="C1464" s="16" t="n">
        <v>10.9771659955865</v>
      </c>
      <c r="D1464" s="6" t="s">
        <v>57</v>
      </c>
      <c r="E1464" s="6" t="s">
        <v>23</v>
      </c>
      <c r="F1464" s="6" t="s">
        <v>24</v>
      </c>
      <c r="G1464" s="6" t="s">
        <v>64</v>
      </c>
      <c r="H1464" s="6" t="s">
        <v>65</v>
      </c>
      <c r="I1464" s="6" t="str">
        <f aca="false">IF(A1464&lt;Outliers!$E$6,"Low",IF(A1464&gt;Outliers!$F$6,"High",""))</f>
        <v/>
      </c>
      <c r="J1464" s="6" t="str">
        <f aca="false">IF(B1464&lt;Outliers!$E$7,"Low",IF(B1464&gt;Outliers!$F$7,"High",""))</f>
        <v/>
      </c>
      <c r="K1464" s="6" t="str">
        <f aca="false">IF(C1464&lt;Outliers!$E$8,"Low",IF(C1464&gt;Outliers!$F$8,"High",""))</f>
        <v/>
      </c>
      <c r="L1464" s="6" t="str">
        <f aca="false">A1464&amp;";"&amp;B1464&amp;";"&amp;C1464</f>
        <v>29.93061247;24.34814338;10.9771659955865</v>
      </c>
      <c r="M1464" s="6" t="n">
        <f aca="false">IF(COUNTIF($L$2:$L$2201,L1464)&gt;1,1,0)</f>
        <v>0</v>
      </c>
      <c r="N1464" s="6" t="str">
        <f aca="false">IF(AND(C1464&lt;Assumptions!$B$9,B1464&lt;Assumptions!$B$10),"Irrigate Now",IF(AND(C1464&gt;=Assumptions!$B$11,B1464&gt;=Assumptions!$B$12),"No Irrigation Needed","Monitor"))</f>
        <v>Irrigate Now</v>
      </c>
      <c r="O1464" s="6" t="n">
        <f aca="false">IF(N1464=G1464,1,0)</f>
        <v>1</v>
      </c>
    </row>
    <row r="1465" customFormat="false" ht="15" hidden="false" customHeight="false" outlineLevel="0" collapsed="false">
      <c r="A1465" s="16" t="n">
        <v>29.94349168</v>
      </c>
      <c r="B1465" s="16" t="n">
        <v>20.39020503</v>
      </c>
      <c r="C1465" s="16" t="n">
        <v>13.9681734145585</v>
      </c>
      <c r="D1465" s="6" t="s">
        <v>57</v>
      </c>
      <c r="E1465" s="6" t="s">
        <v>23</v>
      </c>
      <c r="F1465" s="6" t="s">
        <v>24</v>
      </c>
      <c r="G1465" s="6" t="s">
        <v>64</v>
      </c>
      <c r="H1465" s="6" t="s">
        <v>65</v>
      </c>
      <c r="I1465" s="6" t="str">
        <f aca="false">IF(A1465&lt;Outliers!$E$6,"Low",IF(A1465&gt;Outliers!$F$6,"High",""))</f>
        <v/>
      </c>
      <c r="J1465" s="6" t="str">
        <f aca="false">IF(B1465&lt;Outliers!$E$7,"Low",IF(B1465&gt;Outliers!$F$7,"High",""))</f>
        <v/>
      </c>
      <c r="K1465" s="6" t="str">
        <f aca="false">IF(C1465&lt;Outliers!$E$8,"Low",IF(C1465&gt;Outliers!$F$8,"High",""))</f>
        <v/>
      </c>
      <c r="L1465" s="6" t="str">
        <f aca="false">A1465&amp;";"&amp;B1465&amp;";"&amp;C1465</f>
        <v>29.94349168;20.39020503;13.9681734145585</v>
      </c>
      <c r="M1465" s="6" t="n">
        <f aca="false">IF(COUNTIF($L$2:$L$2201,L1465)&gt;1,1,0)</f>
        <v>0</v>
      </c>
      <c r="N1465" s="6" t="str">
        <f aca="false">IF(AND(C1465&lt;Assumptions!$B$9,B1465&lt;Assumptions!$B$10),"Irrigate Now",IF(AND(C1465&gt;=Assumptions!$B$11,B1465&gt;=Assumptions!$B$12),"No Irrigation Needed","Monitor"))</f>
        <v>Irrigate Now</v>
      </c>
      <c r="O1465" s="6" t="n">
        <f aca="false">IF(N1465=G1465,1,0)</f>
        <v>1</v>
      </c>
    </row>
    <row r="1466" customFormat="false" ht="15" hidden="false" customHeight="false" outlineLevel="0" collapsed="false">
      <c r="A1466" s="16" t="n">
        <v>28.03306461</v>
      </c>
      <c r="B1466" s="16" t="n">
        <v>21.17924769</v>
      </c>
      <c r="C1466" s="16" t="n">
        <v>29.7188026626041</v>
      </c>
      <c r="D1466" s="6" t="s">
        <v>57</v>
      </c>
      <c r="E1466" s="6" t="s">
        <v>23</v>
      </c>
      <c r="F1466" s="6" t="s">
        <v>23</v>
      </c>
      <c r="G1466" s="6" t="s">
        <v>61</v>
      </c>
      <c r="H1466" s="6" t="s">
        <v>63</v>
      </c>
      <c r="I1466" s="6" t="str">
        <f aca="false">IF(A1466&lt;Outliers!$E$6,"Low",IF(A1466&gt;Outliers!$F$6,"High",""))</f>
        <v/>
      </c>
      <c r="J1466" s="6" t="str">
        <f aca="false">IF(B1466&lt;Outliers!$E$7,"Low",IF(B1466&gt;Outliers!$F$7,"High",""))</f>
        <v/>
      </c>
      <c r="K1466" s="6" t="str">
        <f aca="false">IF(C1466&lt;Outliers!$E$8,"Low",IF(C1466&gt;Outliers!$F$8,"High",""))</f>
        <v/>
      </c>
      <c r="L1466" s="6" t="str">
        <f aca="false">A1466&amp;";"&amp;B1466&amp;";"&amp;C1466</f>
        <v>28.03306461;21.17924769;29.7188026626041</v>
      </c>
      <c r="M1466" s="6" t="n">
        <f aca="false">IF(COUNTIF($L$2:$L$2201,L1466)&gt;1,1,0)</f>
        <v>0</v>
      </c>
      <c r="N1466" s="6" t="str">
        <f aca="false">IF(AND(C1466&lt;Assumptions!$B$9,B1466&lt;Assumptions!$B$10),"Irrigate Now",IF(AND(C1466&gt;=Assumptions!$B$11,B1466&gt;=Assumptions!$B$12),"No Irrigation Needed","Monitor"))</f>
        <v>Monitor</v>
      </c>
      <c r="O1466" s="6" t="n">
        <f aca="false">IF(N1466=G1466,1,0)</f>
        <v>1</v>
      </c>
    </row>
    <row r="1467" customFormat="false" ht="15" hidden="false" customHeight="false" outlineLevel="0" collapsed="false">
      <c r="A1467" s="16" t="n">
        <v>29.8843055</v>
      </c>
      <c r="B1467" s="16" t="n">
        <v>21.0000988</v>
      </c>
      <c r="C1467" s="16" t="n">
        <v>28.7663593667302</v>
      </c>
      <c r="D1467" s="6" t="s">
        <v>57</v>
      </c>
      <c r="E1467" s="6" t="s">
        <v>23</v>
      </c>
      <c r="F1467" s="6" t="s">
        <v>23</v>
      </c>
      <c r="G1467" s="6" t="s">
        <v>61</v>
      </c>
      <c r="H1467" s="6" t="s">
        <v>63</v>
      </c>
      <c r="I1467" s="6" t="str">
        <f aca="false">IF(A1467&lt;Outliers!$E$6,"Low",IF(A1467&gt;Outliers!$F$6,"High",""))</f>
        <v/>
      </c>
      <c r="J1467" s="6" t="str">
        <f aca="false">IF(B1467&lt;Outliers!$E$7,"Low",IF(B1467&gt;Outliers!$F$7,"High",""))</f>
        <v/>
      </c>
      <c r="K1467" s="6" t="str">
        <f aca="false">IF(C1467&lt;Outliers!$E$8,"Low",IF(C1467&gt;Outliers!$F$8,"High",""))</f>
        <v/>
      </c>
      <c r="L1467" s="6" t="str">
        <f aca="false">A1467&amp;";"&amp;B1467&amp;";"&amp;C1467</f>
        <v>29.8843055;21.0000988;28.7663593667302</v>
      </c>
      <c r="M1467" s="6" t="n">
        <f aca="false">IF(COUNTIF($L$2:$L$2201,L1467)&gt;1,1,0)</f>
        <v>0</v>
      </c>
      <c r="N1467" s="6" t="str">
        <f aca="false">IF(AND(C1467&lt;Assumptions!$B$9,B1467&lt;Assumptions!$B$10),"Irrigate Now",IF(AND(C1467&gt;=Assumptions!$B$11,B1467&gt;=Assumptions!$B$12),"No Irrigation Needed","Monitor"))</f>
        <v>Monitor</v>
      </c>
      <c r="O1467" s="6" t="n">
        <f aca="false">IF(N1467=G1467,1,0)</f>
        <v>1</v>
      </c>
    </row>
    <row r="1468" customFormat="false" ht="15" hidden="false" customHeight="false" outlineLevel="0" collapsed="false">
      <c r="A1468" s="16" t="n">
        <v>27.7058373</v>
      </c>
      <c r="B1468" s="16" t="n">
        <v>22.06207161</v>
      </c>
      <c r="C1468" s="16" t="n">
        <v>13.8905497740797</v>
      </c>
      <c r="D1468" s="6" t="s">
        <v>57</v>
      </c>
      <c r="E1468" s="6" t="s">
        <v>23</v>
      </c>
      <c r="F1468" s="6" t="s">
        <v>24</v>
      </c>
      <c r="G1468" s="6" t="s">
        <v>64</v>
      </c>
      <c r="H1468" s="6" t="s">
        <v>65</v>
      </c>
      <c r="I1468" s="6" t="str">
        <f aca="false">IF(A1468&lt;Outliers!$E$6,"Low",IF(A1468&gt;Outliers!$F$6,"High",""))</f>
        <v/>
      </c>
      <c r="J1468" s="6" t="str">
        <f aca="false">IF(B1468&lt;Outliers!$E$7,"Low",IF(B1468&gt;Outliers!$F$7,"High",""))</f>
        <v/>
      </c>
      <c r="K1468" s="6" t="str">
        <f aca="false">IF(C1468&lt;Outliers!$E$8,"Low",IF(C1468&gt;Outliers!$F$8,"High",""))</f>
        <v/>
      </c>
      <c r="L1468" s="6" t="str">
        <f aca="false">A1468&amp;";"&amp;B1468&amp;";"&amp;C1468</f>
        <v>27.7058373;22.06207161;13.8905497740797</v>
      </c>
      <c r="M1468" s="6" t="n">
        <f aca="false">IF(COUNTIF($L$2:$L$2201,L1468)&gt;1,1,0)</f>
        <v>0</v>
      </c>
      <c r="N1468" s="6" t="str">
        <f aca="false">IF(AND(C1468&lt;Assumptions!$B$9,B1468&lt;Assumptions!$B$10),"Irrigate Now",IF(AND(C1468&gt;=Assumptions!$B$11,B1468&gt;=Assumptions!$B$12),"No Irrigation Needed","Monitor"))</f>
        <v>Irrigate Now</v>
      </c>
      <c r="O1468" s="6" t="n">
        <f aca="false">IF(N1468=G1468,1,0)</f>
        <v>1</v>
      </c>
    </row>
    <row r="1469" customFormat="false" ht="15" hidden="false" customHeight="false" outlineLevel="0" collapsed="false">
      <c r="A1469" s="16" t="n">
        <v>29.78714005</v>
      </c>
      <c r="B1469" s="16" t="n">
        <v>27.8659442</v>
      </c>
      <c r="C1469" s="16" t="n">
        <v>15.3042694631633</v>
      </c>
      <c r="D1469" s="6" t="s">
        <v>57</v>
      </c>
      <c r="E1469" s="6" t="s">
        <v>23</v>
      </c>
      <c r="F1469" s="6" t="s">
        <v>24</v>
      </c>
      <c r="G1469" s="6" t="s">
        <v>64</v>
      </c>
      <c r="H1469" s="6" t="s">
        <v>65</v>
      </c>
      <c r="I1469" s="6" t="str">
        <f aca="false">IF(A1469&lt;Outliers!$E$6,"Low",IF(A1469&gt;Outliers!$F$6,"High",""))</f>
        <v/>
      </c>
      <c r="J1469" s="6" t="str">
        <f aca="false">IF(B1469&lt;Outliers!$E$7,"Low",IF(B1469&gt;Outliers!$F$7,"High",""))</f>
        <v/>
      </c>
      <c r="K1469" s="6" t="str">
        <f aca="false">IF(C1469&lt;Outliers!$E$8,"Low",IF(C1469&gt;Outliers!$F$8,"High",""))</f>
        <v/>
      </c>
      <c r="L1469" s="6" t="str">
        <f aca="false">A1469&amp;";"&amp;B1469&amp;";"&amp;C1469</f>
        <v>29.78714005;27.8659442;15.3042694631633</v>
      </c>
      <c r="M1469" s="6" t="n">
        <f aca="false">IF(COUNTIF($L$2:$L$2201,L1469)&gt;1,1,0)</f>
        <v>0</v>
      </c>
      <c r="N1469" s="6" t="str">
        <f aca="false">IF(AND(C1469&lt;Assumptions!$B$9,B1469&lt;Assumptions!$B$10),"Irrigate Now",IF(AND(C1469&gt;=Assumptions!$B$11,B1469&gt;=Assumptions!$B$12),"No Irrigation Needed","Monitor"))</f>
        <v>Irrigate Now</v>
      </c>
      <c r="O1469" s="6" t="n">
        <f aca="false">IF(N1469=G1469,1,0)</f>
        <v>1</v>
      </c>
    </row>
    <row r="1470" customFormat="false" ht="15" hidden="false" customHeight="false" outlineLevel="0" collapsed="false">
      <c r="A1470" s="16" t="n">
        <v>28.57819995</v>
      </c>
      <c r="B1470" s="16" t="n">
        <v>27.5987178</v>
      </c>
      <c r="C1470" s="16" t="n">
        <v>25.1738914115425</v>
      </c>
      <c r="D1470" s="6" t="s">
        <v>57</v>
      </c>
      <c r="E1470" s="6" t="s">
        <v>23</v>
      </c>
      <c r="F1470" s="6" t="s">
        <v>60</v>
      </c>
      <c r="G1470" s="6" t="s">
        <v>61</v>
      </c>
      <c r="H1470" s="6" t="s">
        <v>63</v>
      </c>
      <c r="I1470" s="6" t="str">
        <f aca="false">IF(A1470&lt;Outliers!$E$6,"Low",IF(A1470&gt;Outliers!$F$6,"High",""))</f>
        <v/>
      </c>
      <c r="J1470" s="6" t="str">
        <f aca="false">IF(B1470&lt;Outliers!$E$7,"Low",IF(B1470&gt;Outliers!$F$7,"High",""))</f>
        <v/>
      </c>
      <c r="K1470" s="6" t="str">
        <f aca="false">IF(C1470&lt;Outliers!$E$8,"Low",IF(C1470&gt;Outliers!$F$8,"High",""))</f>
        <v/>
      </c>
      <c r="L1470" s="6" t="str">
        <f aca="false">A1470&amp;";"&amp;B1470&amp;";"&amp;C1470</f>
        <v>28.57819995;27.5987178;25.1738914115425</v>
      </c>
      <c r="M1470" s="6" t="n">
        <f aca="false">IF(COUNTIF($L$2:$L$2201,L1470)&gt;1,1,0)</f>
        <v>0</v>
      </c>
      <c r="N1470" s="6" t="str">
        <f aca="false">IF(AND(C1470&lt;Assumptions!$B$9,B1470&lt;Assumptions!$B$10),"Irrigate Now",IF(AND(C1470&gt;=Assumptions!$B$11,B1470&gt;=Assumptions!$B$12),"No Irrigation Needed","Monitor"))</f>
        <v>Monitor</v>
      </c>
      <c r="O1470" s="6" t="n">
        <f aca="false">IF(N1470=G1470,1,0)</f>
        <v>1</v>
      </c>
    </row>
    <row r="1471" customFormat="false" ht="15" hidden="false" customHeight="false" outlineLevel="0" collapsed="false">
      <c r="A1471" s="16" t="n">
        <v>29.48069921</v>
      </c>
      <c r="B1471" s="16" t="n">
        <v>26.0365768</v>
      </c>
      <c r="C1471" s="16" t="n">
        <v>10.1832671830731</v>
      </c>
      <c r="D1471" s="6" t="s">
        <v>57</v>
      </c>
      <c r="E1471" s="6" t="s">
        <v>23</v>
      </c>
      <c r="F1471" s="6" t="s">
        <v>24</v>
      </c>
      <c r="G1471" s="6" t="s">
        <v>64</v>
      </c>
      <c r="H1471" s="6" t="s">
        <v>65</v>
      </c>
      <c r="I1471" s="6" t="str">
        <f aca="false">IF(A1471&lt;Outliers!$E$6,"Low",IF(A1471&gt;Outliers!$F$6,"High",""))</f>
        <v/>
      </c>
      <c r="J1471" s="6" t="str">
        <f aca="false">IF(B1471&lt;Outliers!$E$7,"Low",IF(B1471&gt;Outliers!$F$7,"High",""))</f>
        <v/>
      </c>
      <c r="K1471" s="6" t="str">
        <f aca="false">IF(C1471&lt;Outliers!$E$8,"Low",IF(C1471&gt;Outliers!$F$8,"High",""))</f>
        <v/>
      </c>
      <c r="L1471" s="6" t="str">
        <f aca="false">A1471&amp;";"&amp;B1471&amp;";"&amp;C1471</f>
        <v>29.48069921;26.0365768;10.1832671830731</v>
      </c>
      <c r="M1471" s="6" t="n">
        <f aca="false">IF(COUNTIF($L$2:$L$2201,L1471)&gt;1,1,0)</f>
        <v>0</v>
      </c>
      <c r="N1471" s="6" t="str">
        <f aca="false">IF(AND(C1471&lt;Assumptions!$B$9,B1471&lt;Assumptions!$B$10),"Irrigate Now",IF(AND(C1471&gt;=Assumptions!$B$11,B1471&gt;=Assumptions!$B$12),"No Irrigation Needed","Monitor"))</f>
        <v>Irrigate Now</v>
      </c>
      <c r="O1471" s="6" t="n">
        <f aca="false">IF(N1471=G1471,1,0)</f>
        <v>1</v>
      </c>
    </row>
    <row r="1472" customFormat="false" ht="15" hidden="false" customHeight="false" outlineLevel="0" collapsed="false">
      <c r="A1472" s="16" t="n">
        <v>27.51492243</v>
      </c>
      <c r="B1472" s="16" t="n">
        <v>21.01796432</v>
      </c>
      <c r="C1472" s="16" t="n">
        <v>15.2017411800594</v>
      </c>
      <c r="D1472" s="6" t="s">
        <v>57</v>
      </c>
      <c r="E1472" s="6" t="s">
        <v>23</v>
      </c>
      <c r="F1472" s="6" t="s">
        <v>24</v>
      </c>
      <c r="G1472" s="6" t="s">
        <v>64</v>
      </c>
      <c r="H1472" s="6" t="s">
        <v>65</v>
      </c>
      <c r="I1472" s="6" t="str">
        <f aca="false">IF(A1472&lt;Outliers!$E$6,"Low",IF(A1472&gt;Outliers!$F$6,"High",""))</f>
        <v/>
      </c>
      <c r="J1472" s="6" t="str">
        <f aca="false">IF(B1472&lt;Outliers!$E$7,"Low",IF(B1472&gt;Outliers!$F$7,"High",""))</f>
        <v/>
      </c>
      <c r="K1472" s="6" t="str">
        <f aca="false">IF(C1472&lt;Outliers!$E$8,"Low",IF(C1472&gt;Outliers!$F$8,"High",""))</f>
        <v/>
      </c>
      <c r="L1472" s="6" t="str">
        <f aca="false">A1472&amp;";"&amp;B1472&amp;";"&amp;C1472</f>
        <v>27.51492243;21.01796432;15.2017411800594</v>
      </c>
      <c r="M1472" s="6" t="n">
        <f aca="false">IF(COUNTIF($L$2:$L$2201,L1472)&gt;1,1,0)</f>
        <v>0</v>
      </c>
      <c r="N1472" s="6" t="str">
        <f aca="false">IF(AND(C1472&lt;Assumptions!$B$9,B1472&lt;Assumptions!$B$10),"Irrigate Now",IF(AND(C1472&gt;=Assumptions!$B$11,B1472&gt;=Assumptions!$B$12),"No Irrigation Needed","Monitor"))</f>
        <v>Irrigate Now</v>
      </c>
      <c r="O1472" s="6" t="n">
        <f aca="false">IF(N1472=G1472,1,0)</f>
        <v>1</v>
      </c>
    </row>
    <row r="1473" customFormat="false" ht="15" hidden="false" customHeight="false" outlineLevel="0" collapsed="false">
      <c r="A1473" s="16" t="n">
        <v>28.05457761</v>
      </c>
      <c r="B1473" s="16" t="n">
        <v>21.84869328</v>
      </c>
      <c r="C1473" s="16" t="n">
        <v>27.4423569188191</v>
      </c>
      <c r="D1473" s="6" t="s">
        <v>57</v>
      </c>
      <c r="E1473" s="6" t="s">
        <v>23</v>
      </c>
      <c r="F1473" s="6" t="s">
        <v>23</v>
      </c>
      <c r="G1473" s="6" t="s">
        <v>61</v>
      </c>
      <c r="H1473" s="6" t="s">
        <v>63</v>
      </c>
      <c r="I1473" s="6" t="str">
        <f aca="false">IF(A1473&lt;Outliers!$E$6,"Low",IF(A1473&gt;Outliers!$F$6,"High",""))</f>
        <v/>
      </c>
      <c r="J1473" s="6" t="str">
        <f aca="false">IF(B1473&lt;Outliers!$E$7,"Low",IF(B1473&gt;Outliers!$F$7,"High",""))</f>
        <v/>
      </c>
      <c r="K1473" s="6" t="str">
        <f aca="false">IF(C1473&lt;Outliers!$E$8,"Low",IF(C1473&gt;Outliers!$F$8,"High",""))</f>
        <v/>
      </c>
      <c r="L1473" s="6" t="str">
        <f aca="false">A1473&amp;";"&amp;B1473&amp;";"&amp;C1473</f>
        <v>28.05457761;21.84869328;27.4423569188191</v>
      </c>
      <c r="M1473" s="6" t="n">
        <f aca="false">IF(COUNTIF($L$2:$L$2201,L1473)&gt;1,1,0)</f>
        <v>0</v>
      </c>
      <c r="N1473" s="6" t="str">
        <f aca="false">IF(AND(C1473&lt;Assumptions!$B$9,B1473&lt;Assumptions!$B$10),"Irrigate Now",IF(AND(C1473&gt;=Assumptions!$B$11,B1473&gt;=Assumptions!$B$12),"No Irrigation Needed","Monitor"))</f>
        <v>Monitor</v>
      </c>
      <c r="O1473" s="6" t="n">
        <f aca="false">IF(N1473=G1473,1,0)</f>
        <v>1</v>
      </c>
    </row>
    <row r="1474" customFormat="false" ht="15" hidden="false" customHeight="false" outlineLevel="0" collapsed="false">
      <c r="A1474" s="16" t="n">
        <v>29.03167341</v>
      </c>
      <c r="B1474" s="16" t="n">
        <v>24.15591199</v>
      </c>
      <c r="C1474" s="16" t="n">
        <v>19.507391937078</v>
      </c>
      <c r="D1474" s="6" t="s">
        <v>57</v>
      </c>
      <c r="E1474" s="6" t="s">
        <v>23</v>
      </c>
      <c r="F1474" s="6" t="s">
        <v>24</v>
      </c>
      <c r="G1474" s="6" t="s">
        <v>61</v>
      </c>
      <c r="H1474" s="6" t="s">
        <v>63</v>
      </c>
      <c r="I1474" s="6" t="str">
        <f aca="false">IF(A1474&lt;Outliers!$E$6,"Low",IF(A1474&gt;Outliers!$F$6,"High",""))</f>
        <v/>
      </c>
      <c r="J1474" s="6" t="str">
        <f aca="false">IF(B1474&lt;Outliers!$E$7,"Low",IF(B1474&gt;Outliers!$F$7,"High",""))</f>
        <v/>
      </c>
      <c r="K1474" s="6" t="str">
        <f aca="false">IF(C1474&lt;Outliers!$E$8,"Low",IF(C1474&gt;Outliers!$F$8,"High",""))</f>
        <v/>
      </c>
      <c r="L1474" s="6" t="str">
        <f aca="false">A1474&amp;";"&amp;B1474&amp;";"&amp;C1474</f>
        <v>29.03167341;24.15591199;19.507391937078</v>
      </c>
      <c r="M1474" s="6" t="n">
        <f aca="false">IF(COUNTIF($L$2:$L$2201,L1474)&gt;1,1,0)</f>
        <v>0</v>
      </c>
      <c r="N1474" s="6" t="str">
        <f aca="false">IF(AND(C1474&lt;Assumptions!$B$9,B1474&lt;Assumptions!$B$10),"Irrigate Now",IF(AND(C1474&gt;=Assumptions!$B$11,B1474&gt;=Assumptions!$B$12),"No Irrigation Needed","Monitor"))</f>
        <v>Monitor</v>
      </c>
      <c r="O1474" s="6" t="n">
        <f aca="false">IF(N1474=G1474,1,0)</f>
        <v>1</v>
      </c>
    </row>
    <row r="1475" customFormat="false" ht="15" hidden="false" customHeight="false" outlineLevel="0" collapsed="false">
      <c r="A1475" s="16" t="n">
        <v>28.5854649</v>
      </c>
      <c r="B1475" s="16" t="n">
        <v>26.88372572</v>
      </c>
      <c r="C1475" s="16" t="n">
        <v>27.222030667554</v>
      </c>
      <c r="D1475" s="6" t="s">
        <v>57</v>
      </c>
      <c r="E1475" s="6" t="s">
        <v>23</v>
      </c>
      <c r="F1475" s="6" t="s">
        <v>23</v>
      </c>
      <c r="G1475" s="6" t="s">
        <v>61</v>
      </c>
      <c r="H1475" s="6" t="s">
        <v>63</v>
      </c>
      <c r="I1475" s="6" t="str">
        <f aca="false">IF(A1475&lt;Outliers!$E$6,"Low",IF(A1475&gt;Outliers!$F$6,"High",""))</f>
        <v/>
      </c>
      <c r="J1475" s="6" t="str">
        <f aca="false">IF(B1475&lt;Outliers!$E$7,"Low",IF(B1475&gt;Outliers!$F$7,"High",""))</f>
        <v/>
      </c>
      <c r="K1475" s="6" t="str">
        <f aca="false">IF(C1475&lt;Outliers!$E$8,"Low",IF(C1475&gt;Outliers!$F$8,"High",""))</f>
        <v/>
      </c>
      <c r="L1475" s="6" t="str">
        <f aca="false">A1475&amp;";"&amp;B1475&amp;";"&amp;C1475</f>
        <v>28.5854649;26.88372572;27.222030667554</v>
      </c>
      <c r="M1475" s="6" t="n">
        <f aca="false">IF(COUNTIF($L$2:$L$2201,L1475)&gt;1,1,0)</f>
        <v>0</v>
      </c>
      <c r="N1475" s="6" t="str">
        <f aca="false">IF(AND(C1475&lt;Assumptions!$B$9,B1475&lt;Assumptions!$B$10),"Irrigate Now",IF(AND(C1475&gt;=Assumptions!$B$11,B1475&gt;=Assumptions!$B$12),"No Irrigation Needed","Monitor"))</f>
        <v>Monitor</v>
      </c>
      <c r="O1475" s="6" t="n">
        <f aca="false">IF(N1475=G1475,1,0)</f>
        <v>1</v>
      </c>
    </row>
    <row r="1476" customFormat="false" ht="15" hidden="false" customHeight="false" outlineLevel="0" collapsed="false">
      <c r="A1476" s="16" t="n">
        <v>27.08808014</v>
      </c>
      <c r="B1476" s="16" t="n">
        <v>25.32159689</v>
      </c>
      <c r="C1476" s="16" t="n">
        <v>25.9186448901405</v>
      </c>
      <c r="D1476" s="6" t="s">
        <v>57</v>
      </c>
      <c r="E1476" s="6" t="s">
        <v>23</v>
      </c>
      <c r="F1476" s="6" t="s">
        <v>60</v>
      </c>
      <c r="G1476" s="6" t="s">
        <v>61</v>
      </c>
      <c r="H1476" s="6" t="s">
        <v>63</v>
      </c>
      <c r="I1476" s="6" t="str">
        <f aca="false">IF(A1476&lt;Outliers!$E$6,"Low",IF(A1476&gt;Outliers!$F$6,"High",""))</f>
        <v/>
      </c>
      <c r="J1476" s="6" t="str">
        <f aca="false">IF(B1476&lt;Outliers!$E$7,"Low",IF(B1476&gt;Outliers!$F$7,"High",""))</f>
        <v/>
      </c>
      <c r="K1476" s="6" t="str">
        <f aca="false">IF(C1476&lt;Outliers!$E$8,"Low",IF(C1476&gt;Outliers!$F$8,"High",""))</f>
        <v/>
      </c>
      <c r="L1476" s="6" t="str">
        <f aca="false">A1476&amp;";"&amp;B1476&amp;";"&amp;C1476</f>
        <v>27.08808014;25.32159689;25.9186448901405</v>
      </c>
      <c r="M1476" s="6" t="n">
        <f aca="false">IF(COUNTIF($L$2:$L$2201,L1476)&gt;1,1,0)</f>
        <v>0</v>
      </c>
      <c r="N1476" s="6" t="str">
        <f aca="false">IF(AND(C1476&lt;Assumptions!$B$9,B1476&lt;Assumptions!$B$10),"Irrigate Now",IF(AND(C1476&gt;=Assumptions!$B$11,B1476&gt;=Assumptions!$B$12),"No Irrigation Needed","Monitor"))</f>
        <v>Monitor</v>
      </c>
      <c r="O1476" s="6" t="n">
        <f aca="false">IF(N1476=G1476,1,0)</f>
        <v>1</v>
      </c>
    </row>
    <row r="1477" customFormat="false" ht="15" hidden="false" customHeight="false" outlineLevel="0" collapsed="false">
      <c r="A1477" s="16" t="n">
        <v>27.99611732</v>
      </c>
      <c r="B1477" s="16" t="n">
        <v>21.61893763</v>
      </c>
      <c r="C1477" s="16" t="n">
        <v>20.1616258769632</v>
      </c>
      <c r="D1477" s="6" t="s">
        <v>57</v>
      </c>
      <c r="E1477" s="6" t="s">
        <v>23</v>
      </c>
      <c r="F1477" s="6" t="s">
        <v>24</v>
      </c>
      <c r="G1477" s="6" t="s">
        <v>61</v>
      </c>
      <c r="H1477" s="6" t="s">
        <v>63</v>
      </c>
      <c r="I1477" s="6" t="str">
        <f aca="false">IF(A1477&lt;Outliers!$E$6,"Low",IF(A1477&gt;Outliers!$F$6,"High",""))</f>
        <v/>
      </c>
      <c r="J1477" s="6" t="str">
        <f aca="false">IF(B1477&lt;Outliers!$E$7,"Low",IF(B1477&gt;Outliers!$F$7,"High",""))</f>
        <v/>
      </c>
      <c r="K1477" s="6" t="str">
        <f aca="false">IF(C1477&lt;Outliers!$E$8,"Low",IF(C1477&gt;Outliers!$F$8,"High",""))</f>
        <v/>
      </c>
      <c r="L1477" s="6" t="str">
        <f aca="false">A1477&amp;";"&amp;B1477&amp;";"&amp;C1477</f>
        <v>27.99611732;21.61893763;20.1616258769632</v>
      </c>
      <c r="M1477" s="6" t="n">
        <f aca="false">IF(COUNTIF($L$2:$L$2201,L1477)&gt;1,1,0)</f>
        <v>0</v>
      </c>
      <c r="N1477" s="6" t="str">
        <f aca="false">IF(AND(C1477&lt;Assumptions!$B$9,B1477&lt;Assumptions!$B$10),"Irrigate Now",IF(AND(C1477&gt;=Assumptions!$B$11,B1477&gt;=Assumptions!$B$12),"No Irrigation Needed","Monitor"))</f>
        <v>Monitor</v>
      </c>
      <c r="O1477" s="6" t="n">
        <f aca="false">IF(N1477=G1477,1,0)</f>
        <v>1</v>
      </c>
    </row>
    <row r="1478" customFormat="false" ht="15" hidden="false" customHeight="false" outlineLevel="0" collapsed="false">
      <c r="A1478" s="16" t="n">
        <v>27.87317436</v>
      </c>
      <c r="B1478" s="16" t="n">
        <v>24.05207925</v>
      </c>
      <c r="C1478" s="16" t="n">
        <v>14.7841019747861</v>
      </c>
      <c r="D1478" s="6" t="s">
        <v>57</v>
      </c>
      <c r="E1478" s="6" t="s">
        <v>23</v>
      </c>
      <c r="F1478" s="6" t="s">
        <v>24</v>
      </c>
      <c r="G1478" s="6" t="s">
        <v>64</v>
      </c>
      <c r="H1478" s="6" t="s">
        <v>65</v>
      </c>
      <c r="I1478" s="6" t="str">
        <f aca="false">IF(A1478&lt;Outliers!$E$6,"Low",IF(A1478&gt;Outliers!$F$6,"High",""))</f>
        <v/>
      </c>
      <c r="J1478" s="6" t="str">
        <f aca="false">IF(B1478&lt;Outliers!$E$7,"Low",IF(B1478&gt;Outliers!$F$7,"High",""))</f>
        <v/>
      </c>
      <c r="K1478" s="6" t="str">
        <f aca="false">IF(C1478&lt;Outliers!$E$8,"Low",IF(C1478&gt;Outliers!$F$8,"High",""))</f>
        <v/>
      </c>
      <c r="L1478" s="6" t="str">
        <f aca="false">A1478&amp;";"&amp;B1478&amp;";"&amp;C1478</f>
        <v>27.87317436;24.05207925;14.7841019747861</v>
      </c>
      <c r="M1478" s="6" t="n">
        <f aca="false">IF(COUNTIF($L$2:$L$2201,L1478)&gt;1,1,0)</f>
        <v>0</v>
      </c>
      <c r="N1478" s="6" t="str">
        <f aca="false">IF(AND(C1478&lt;Assumptions!$B$9,B1478&lt;Assumptions!$B$10),"Irrigate Now",IF(AND(C1478&gt;=Assumptions!$B$11,B1478&gt;=Assumptions!$B$12),"No Irrigation Needed","Monitor"))</f>
        <v>Irrigate Now</v>
      </c>
      <c r="O1478" s="6" t="n">
        <f aca="false">IF(N1478=G1478,1,0)</f>
        <v>1</v>
      </c>
    </row>
    <row r="1479" customFormat="false" ht="15" hidden="false" customHeight="false" outlineLevel="0" collapsed="false">
      <c r="A1479" s="16" t="n">
        <v>28.96586565</v>
      </c>
      <c r="B1479" s="16" t="n">
        <v>22.25838137</v>
      </c>
      <c r="C1479" s="16" t="n">
        <v>16.4714614986238</v>
      </c>
      <c r="D1479" s="6" t="s">
        <v>57</v>
      </c>
      <c r="E1479" s="6" t="s">
        <v>23</v>
      </c>
      <c r="F1479" s="6" t="s">
        <v>24</v>
      </c>
      <c r="G1479" s="6" t="s">
        <v>64</v>
      </c>
      <c r="H1479" s="6" t="s">
        <v>65</v>
      </c>
      <c r="I1479" s="6" t="str">
        <f aca="false">IF(A1479&lt;Outliers!$E$6,"Low",IF(A1479&gt;Outliers!$F$6,"High",""))</f>
        <v/>
      </c>
      <c r="J1479" s="6" t="str">
        <f aca="false">IF(B1479&lt;Outliers!$E$7,"Low",IF(B1479&gt;Outliers!$F$7,"High",""))</f>
        <v/>
      </c>
      <c r="K1479" s="6" t="str">
        <f aca="false">IF(C1479&lt;Outliers!$E$8,"Low",IF(C1479&gt;Outliers!$F$8,"High",""))</f>
        <v/>
      </c>
      <c r="L1479" s="6" t="str">
        <f aca="false">A1479&amp;";"&amp;B1479&amp;";"&amp;C1479</f>
        <v>28.96586565;22.25838137;16.4714614986238</v>
      </c>
      <c r="M1479" s="6" t="n">
        <f aca="false">IF(COUNTIF($L$2:$L$2201,L1479)&gt;1,1,0)</f>
        <v>0</v>
      </c>
      <c r="N1479" s="6" t="str">
        <f aca="false">IF(AND(C1479&lt;Assumptions!$B$9,B1479&lt;Assumptions!$B$10),"Irrigate Now",IF(AND(C1479&gt;=Assumptions!$B$11,B1479&gt;=Assumptions!$B$12),"No Irrigation Needed","Monitor"))</f>
        <v>Irrigate Now</v>
      </c>
      <c r="O1479" s="6" t="n">
        <f aca="false">IF(N1479=G1479,1,0)</f>
        <v>1</v>
      </c>
    </row>
    <row r="1480" customFormat="false" ht="15" hidden="false" customHeight="false" outlineLevel="0" collapsed="false">
      <c r="A1480" s="16" t="n">
        <v>28.87726019</v>
      </c>
      <c r="B1480" s="16" t="n">
        <v>24.44267592</v>
      </c>
      <c r="C1480" s="16" t="n">
        <v>13.2698246530785</v>
      </c>
      <c r="D1480" s="6" t="s">
        <v>57</v>
      </c>
      <c r="E1480" s="6" t="s">
        <v>23</v>
      </c>
      <c r="F1480" s="6" t="s">
        <v>24</v>
      </c>
      <c r="G1480" s="6" t="s">
        <v>64</v>
      </c>
      <c r="H1480" s="6" t="s">
        <v>65</v>
      </c>
      <c r="I1480" s="6" t="str">
        <f aca="false">IF(A1480&lt;Outliers!$E$6,"Low",IF(A1480&gt;Outliers!$F$6,"High",""))</f>
        <v/>
      </c>
      <c r="J1480" s="6" t="str">
        <f aca="false">IF(B1480&lt;Outliers!$E$7,"Low",IF(B1480&gt;Outliers!$F$7,"High",""))</f>
        <v/>
      </c>
      <c r="K1480" s="6" t="str">
        <f aca="false">IF(C1480&lt;Outliers!$E$8,"Low",IF(C1480&gt;Outliers!$F$8,"High",""))</f>
        <v/>
      </c>
      <c r="L1480" s="6" t="str">
        <f aca="false">A1480&amp;";"&amp;B1480&amp;";"&amp;C1480</f>
        <v>28.87726019;24.44267592;13.2698246530785</v>
      </c>
      <c r="M1480" s="6" t="n">
        <f aca="false">IF(COUNTIF($L$2:$L$2201,L1480)&gt;1,1,0)</f>
        <v>0</v>
      </c>
      <c r="N1480" s="6" t="str">
        <f aca="false">IF(AND(C1480&lt;Assumptions!$B$9,B1480&lt;Assumptions!$B$10),"Irrigate Now",IF(AND(C1480&gt;=Assumptions!$B$11,B1480&gt;=Assumptions!$B$12),"No Irrigation Needed","Monitor"))</f>
        <v>Irrigate Now</v>
      </c>
      <c r="O1480" s="6" t="n">
        <f aca="false">IF(N1480=G1480,1,0)</f>
        <v>1</v>
      </c>
    </row>
    <row r="1481" customFormat="false" ht="15" hidden="false" customHeight="false" outlineLevel="0" collapsed="false">
      <c r="A1481" s="16" t="n">
        <v>29.17052093</v>
      </c>
      <c r="B1481" s="16" t="n">
        <v>22.06994464</v>
      </c>
      <c r="C1481" s="16" t="n">
        <v>10.4665106793197</v>
      </c>
      <c r="D1481" s="6" t="s">
        <v>57</v>
      </c>
      <c r="E1481" s="6" t="s">
        <v>23</v>
      </c>
      <c r="F1481" s="6" t="s">
        <v>24</v>
      </c>
      <c r="G1481" s="6" t="s">
        <v>64</v>
      </c>
      <c r="H1481" s="6" t="s">
        <v>65</v>
      </c>
      <c r="I1481" s="6" t="str">
        <f aca="false">IF(A1481&lt;Outliers!$E$6,"Low",IF(A1481&gt;Outliers!$F$6,"High",""))</f>
        <v/>
      </c>
      <c r="J1481" s="6" t="str">
        <f aca="false">IF(B1481&lt;Outliers!$E$7,"Low",IF(B1481&gt;Outliers!$F$7,"High",""))</f>
        <v/>
      </c>
      <c r="K1481" s="6" t="str">
        <f aca="false">IF(C1481&lt;Outliers!$E$8,"Low",IF(C1481&gt;Outliers!$F$8,"High",""))</f>
        <v/>
      </c>
      <c r="L1481" s="6" t="str">
        <f aca="false">A1481&amp;";"&amp;B1481&amp;";"&amp;C1481</f>
        <v>29.17052093;22.06994464;10.4665106793197</v>
      </c>
      <c r="M1481" s="6" t="n">
        <f aca="false">IF(COUNTIF($L$2:$L$2201,L1481)&gt;1,1,0)</f>
        <v>0</v>
      </c>
      <c r="N1481" s="6" t="str">
        <f aca="false">IF(AND(C1481&lt;Assumptions!$B$9,B1481&lt;Assumptions!$B$10),"Irrigate Now",IF(AND(C1481&gt;=Assumptions!$B$11,B1481&gt;=Assumptions!$B$12),"No Irrigation Needed","Monitor"))</f>
        <v>Irrigate Now</v>
      </c>
      <c r="O1481" s="6" t="n">
        <f aca="false">IF(N1481=G1481,1,0)</f>
        <v>1</v>
      </c>
    </row>
    <row r="1482" customFormat="false" ht="15" hidden="false" customHeight="false" outlineLevel="0" collapsed="false">
      <c r="A1482" s="16" t="n">
        <v>29.34033587</v>
      </c>
      <c r="B1482" s="16" t="n">
        <v>21.44532907</v>
      </c>
      <c r="C1482" s="16" t="n">
        <v>22.5440997138488</v>
      </c>
      <c r="D1482" s="6" t="s">
        <v>57</v>
      </c>
      <c r="E1482" s="6" t="s">
        <v>23</v>
      </c>
      <c r="F1482" s="6" t="s">
        <v>60</v>
      </c>
      <c r="G1482" s="6" t="s">
        <v>61</v>
      </c>
      <c r="H1482" s="6" t="s">
        <v>63</v>
      </c>
      <c r="I1482" s="6" t="str">
        <f aca="false">IF(A1482&lt;Outliers!$E$6,"Low",IF(A1482&gt;Outliers!$F$6,"High",""))</f>
        <v/>
      </c>
      <c r="J1482" s="6" t="str">
        <f aca="false">IF(B1482&lt;Outliers!$E$7,"Low",IF(B1482&gt;Outliers!$F$7,"High",""))</f>
        <v/>
      </c>
      <c r="K1482" s="6" t="str">
        <f aca="false">IF(C1482&lt;Outliers!$E$8,"Low",IF(C1482&gt;Outliers!$F$8,"High",""))</f>
        <v/>
      </c>
      <c r="L1482" s="6" t="str">
        <f aca="false">A1482&amp;";"&amp;B1482&amp;";"&amp;C1482</f>
        <v>29.34033587;21.44532907;22.5440997138488</v>
      </c>
      <c r="M1482" s="6" t="n">
        <f aca="false">IF(COUNTIF($L$2:$L$2201,L1482)&gt;1,1,0)</f>
        <v>0</v>
      </c>
      <c r="N1482" s="6" t="str">
        <f aca="false">IF(AND(C1482&lt;Assumptions!$B$9,B1482&lt;Assumptions!$B$10),"Irrigate Now",IF(AND(C1482&gt;=Assumptions!$B$11,B1482&gt;=Assumptions!$B$12),"No Irrigation Needed","Monitor"))</f>
        <v>Monitor</v>
      </c>
      <c r="O1482" s="6" t="n">
        <f aca="false">IF(N1482=G1482,1,0)</f>
        <v>1</v>
      </c>
    </row>
    <row r="1483" customFormat="false" ht="15" hidden="false" customHeight="false" outlineLevel="0" collapsed="false">
      <c r="A1483" s="16" t="n">
        <v>29.07265321</v>
      </c>
      <c r="B1483" s="16" t="n">
        <v>28.83568362</v>
      </c>
      <c r="C1483" s="16" t="n">
        <v>13.3802210534572</v>
      </c>
      <c r="D1483" s="6" t="s">
        <v>57</v>
      </c>
      <c r="E1483" s="6" t="s">
        <v>23</v>
      </c>
      <c r="F1483" s="6" t="s">
        <v>24</v>
      </c>
      <c r="G1483" s="6" t="s">
        <v>64</v>
      </c>
      <c r="H1483" s="6" t="s">
        <v>65</v>
      </c>
      <c r="I1483" s="6" t="str">
        <f aca="false">IF(A1483&lt;Outliers!$E$6,"Low",IF(A1483&gt;Outliers!$F$6,"High",""))</f>
        <v/>
      </c>
      <c r="J1483" s="6" t="str">
        <f aca="false">IF(B1483&lt;Outliers!$E$7,"Low",IF(B1483&gt;Outliers!$F$7,"High",""))</f>
        <v/>
      </c>
      <c r="K1483" s="6" t="str">
        <f aca="false">IF(C1483&lt;Outliers!$E$8,"Low",IF(C1483&gt;Outliers!$F$8,"High",""))</f>
        <v/>
      </c>
      <c r="L1483" s="6" t="str">
        <f aca="false">A1483&amp;";"&amp;B1483&amp;";"&amp;C1483</f>
        <v>29.07265321;28.83568362;13.3802210534572</v>
      </c>
      <c r="M1483" s="6" t="n">
        <f aca="false">IF(COUNTIF($L$2:$L$2201,L1483)&gt;1,1,0)</f>
        <v>0</v>
      </c>
      <c r="N1483" s="6" t="str">
        <f aca="false">IF(AND(C1483&lt;Assumptions!$B$9,B1483&lt;Assumptions!$B$10),"Irrigate Now",IF(AND(C1483&gt;=Assumptions!$B$11,B1483&gt;=Assumptions!$B$12),"No Irrigation Needed","Monitor"))</f>
        <v>Irrigate Now</v>
      </c>
      <c r="O1483" s="6" t="n">
        <f aca="false">IF(N1483=G1483,1,0)</f>
        <v>1</v>
      </c>
    </row>
    <row r="1484" customFormat="false" ht="15" hidden="false" customHeight="false" outlineLevel="0" collapsed="false">
      <c r="A1484" s="16" t="n">
        <v>28.68275966</v>
      </c>
      <c r="B1484" s="16" t="n">
        <v>29.11187663</v>
      </c>
      <c r="C1484" s="16" t="n">
        <v>15.3619991948588</v>
      </c>
      <c r="D1484" s="6" t="s">
        <v>57</v>
      </c>
      <c r="E1484" s="6" t="s">
        <v>23</v>
      </c>
      <c r="F1484" s="6" t="s">
        <v>24</v>
      </c>
      <c r="G1484" s="6" t="s">
        <v>64</v>
      </c>
      <c r="H1484" s="6" t="s">
        <v>65</v>
      </c>
      <c r="I1484" s="6" t="str">
        <f aca="false">IF(A1484&lt;Outliers!$E$6,"Low",IF(A1484&gt;Outliers!$F$6,"High",""))</f>
        <v/>
      </c>
      <c r="J1484" s="6" t="str">
        <f aca="false">IF(B1484&lt;Outliers!$E$7,"Low",IF(B1484&gt;Outliers!$F$7,"High",""))</f>
        <v/>
      </c>
      <c r="K1484" s="6" t="str">
        <f aca="false">IF(C1484&lt;Outliers!$E$8,"Low",IF(C1484&gt;Outliers!$F$8,"High",""))</f>
        <v/>
      </c>
      <c r="L1484" s="6" t="str">
        <f aca="false">A1484&amp;";"&amp;B1484&amp;";"&amp;C1484</f>
        <v>28.68275966;29.11187663;15.3619991948588</v>
      </c>
      <c r="M1484" s="6" t="n">
        <f aca="false">IF(COUNTIF($L$2:$L$2201,L1484)&gt;1,1,0)</f>
        <v>0</v>
      </c>
      <c r="N1484" s="6" t="str">
        <f aca="false">IF(AND(C1484&lt;Assumptions!$B$9,B1484&lt;Assumptions!$B$10),"Irrigate Now",IF(AND(C1484&gt;=Assumptions!$B$11,B1484&gt;=Assumptions!$B$12),"No Irrigation Needed","Monitor"))</f>
        <v>Irrigate Now</v>
      </c>
      <c r="O1484" s="6" t="n">
        <f aca="false">IF(N1484=G1484,1,0)</f>
        <v>1</v>
      </c>
    </row>
    <row r="1485" customFormat="false" ht="15" hidden="false" customHeight="false" outlineLevel="0" collapsed="false">
      <c r="A1485" s="16" t="n">
        <v>28.92705913</v>
      </c>
      <c r="B1485" s="16" t="n">
        <v>23.20076686</v>
      </c>
      <c r="C1485" s="16" t="n">
        <v>22.5622060939348</v>
      </c>
      <c r="D1485" s="6" t="s">
        <v>57</v>
      </c>
      <c r="E1485" s="6" t="s">
        <v>23</v>
      </c>
      <c r="F1485" s="6" t="s">
        <v>60</v>
      </c>
      <c r="G1485" s="6" t="s">
        <v>61</v>
      </c>
      <c r="H1485" s="6" t="s">
        <v>63</v>
      </c>
      <c r="I1485" s="6" t="str">
        <f aca="false">IF(A1485&lt;Outliers!$E$6,"Low",IF(A1485&gt;Outliers!$F$6,"High",""))</f>
        <v/>
      </c>
      <c r="J1485" s="6" t="str">
        <f aca="false">IF(B1485&lt;Outliers!$E$7,"Low",IF(B1485&gt;Outliers!$F$7,"High",""))</f>
        <v/>
      </c>
      <c r="K1485" s="6" t="str">
        <f aca="false">IF(C1485&lt;Outliers!$E$8,"Low",IF(C1485&gt;Outliers!$F$8,"High",""))</f>
        <v/>
      </c>
      <c r="L1485" s="6" t="str">
        <f aca="false">A1485&amp;";"&amp;B1485&amp;";"&amp;C1485</f>
        <v>28.92705913;23.20076686;22.5622060939348</v>
      </c>
      <c r="M1485" s="6" t="n">
        <f aca="false">IF(COUNTIF($L$2:$L$2201,L1485)&gt;1,1,0)</f>
        <v>0</v>
      </c>
      <c r="N1485" s="6" t="str">
        <f aca="false">IF(AND(C1485&lt;Assumptions!$B$9,B1485&lt;Assumptions!$B$10),"Irrigate Now",IF(AND(C1485&gt;=Assumptions!$B$11,B1485&gt;=Assumptions!$B$12),"No Irrigation Needed","Monitor"))</f>
        <v>Monitor</v>
      </c>
      <c r="O1485" s="6" t="n">
        <f aca="false">IF(N1485=G1485,1,0)</f>
        <v>1</v>
      </c>
    </row>
    <row r="1486" customFormat="false" ht="15" hidden="false" customHeight="false" outlineLevel="0" collapsed="false">
      <c r="A1486" s="16" t="n">
        <v>27.99901833</v>
      </c>
      <c r="B1486" s="16" t="n">
        <v>23.28618248</v>
      </c>
      <c r="C1486" s="16" t="n">
        <v>27.2116798946262</v>
      </c>
      <c r="D1486" s="6" t="s">
        <v>57</v>
      </c>
      <c r="E1486" s="6" t="s">
        <v>23</v>
      </c>
      <c r="F1486" s="6" t="s">
        <v>60</v>
      </c>
      <c r="G1486" s="6" t="s">
        <v>61</v>
      </c>
      <c r="H1486" s="6" t="s">
        <v>63</v>
      </c>
      <c r="I1486" s="6" t="str">
        <f aca="false">IF(A1486&lt;Outliers!$E$6,"Low",IF(A1486&gt;Outliers!$F$6,"High",""))</f>
        <v/>
      </c>
      <c r="J1486" s="6" t="str">
        <f aca="false">IF(B1486&lt;Outliers!$E$7,"Low",IF(B1486&gt;Outliers!$F$7,"High",""))</f>
        <v/>
      </c>
      <c r="K1486" s="6" t="str">
        <f aca="false">IF(C1486&lt;Outliers!$E$8,"Low",IF(C1486&gt;Outliers!$F$8,"High",""))</f>
        <v/>
      </c>
      <c r="L1486" s="6" t="str">
        <f aca="false">A1486&amp;";"&amp;B1486&amp;";"&amp;C1486</f>
        <v>27.99901833;23.28618248;27.2116798946262</v>
      </c>
      <c r="M1486" s="6" t="n">
        <f aca="false">IF(COUNTIF($L$2:$L$2201,L1486)&gt;1,1,0)</f>
        <v>0</v>
      </c>
      <c r="N1486" s="6" t="str">
        <f aca="false">IF(AND(C1486&lt;Assumptions!$B$9,B1486&lt;Assumptions!$B$10),"Irrigate Now",IF(AND(C1486&gt;=Assumptions!$B$11,B1486&gt;=Assumptions!$B$12),"No Irrigation Needed","Monitor"))</f>
        <v>Monitor</v>
      </c>
      <c r="O1486" s="6" t="n">
        <f aca="false">IF(N1486=G1486,1,0)</f>
        <v>1</v>
      </c>
    </row>
    <row r="1487" customFormat="false" ht="15" hidden="false" customHeight="false" outlineLevel="0" collapsed="false">
      <c r="A1487" s="16" t="n">
        <v>27.59350075</v>
      </c>
      <c r="B1487" s="16" t="n">
        <v>24.84266123</v>
      </c>
      <c r="C1487" s="16" t="n">
        <v>24.9930838104043</v>
      </c>
      <c r="D1487" s="6" t="s">
        <v>57</v>
      </c>
      <c r="E1487" s="6" t="s">
        <v>23</v>
      </c>
      <c r="F1487" s="6" t="s">
        <v>60</v>
      </c>
      <c r="G1487" s="6" t="s">
        <v>61</v>
      </c>
      <c r="H1487" s="6" t="s">
        <v>63</v>
      </c>
      <c r="I1487" s="6" t="str">
        <f aca="false">IF(A1487&lt;Outliers!$E$6,"Low",IF(A1487&gt;Outliers!$F$6,"High",""))</f>
        <v/>
      </c>
      <c r="J1487" s="6" t="str">
        <f aca="false">IF(B1487&lt;Outliers!$E$7,"Low",IF(B1487&gt;Outliers!$F$7,"High",""))</f>
        <v/>
      </c>
      <c r="K1487" s="6" t="str">
        <f aca="false">IF(C1487&lt;Outliers!$E$8,"Low",IF(C1487&gt;Outliers!$F$8,"High",""))</f>
        <v/>
      </c>
      <c r="L1487" s="6" t="str">
        <f aca="false">A1487&amp;";"&amp;B1487&amp;";"&amp;C1487</f>
        <v>27.59350075;24.84266123;24.9930838104043</v>
      </c>
      <c r="M1487" s="6" t="n">
        <f aca="false">IF(COUNTIF($L$2:$L$2201,L1487)&gt;1,1,0)</f>
        <v>0</v>
      </c>
      <c r="N1487" s="6" t="str">
        <f aca="false">IF(AND(C1487&lt;Assumptions!$B$9,B1487&lt;Assumptions!$B$10),"Irrigate Now",IF(AND(C1487&gt;=Assumptions!$B$11,B1487&gt;=Assumptions!$B$12),"No Irrigation Needed","Monitor"))</f>
        <v>Monitor</v>
      </c>
      <c r="O1487" s="6" t="n">
        <f aca="false">IF(N1487=G1487,1,0)</f>
        <v>1</v>
      </c>
    </row>
    <row r="1488" customFormat="false" ht="15" hidden="false" customHeight="false" outlineLevel="0" collapsed="false">
      <c r="A1488" s="16" t="n">
        <v>29.87331077</v>
      </c>
      <c r="B1488" s="16" t="n">
        <v>24.69720481</v>
      </c>
      <c r="C1488" s="16" t="n">
        <v>13.2501368569469</v>
      </c>
      <c r="D1488" s="6" t="s">
        <v>57</v>
      </c>
      <c r="E1488" s="6" t="s">
        <v>23</v>
      </c>
      <c r="F1488" s="6" t="s">
        <v>24</v>
      </c>
      <c r="G1488" s="6" t="s">
        <v>64</v>
      </c>
      <c r="H1488" s="6" t="s">
        <v>65</v>
      </c>
      <c r="I1488" s="6" t="str">
        <f aca="false">IF(A1488&lt;Outliers!$E$6,"Low",IF(A1488&gt;Outliers!$F$6,"High",""))</f>
        <v/>
      </c>
      <c r="J1488" s="6" t="str">
        <f aca="false">IF(B1488&lt;Outliers!$E$7,"Low",IF(B1488&gt;Outliers!$F$7,"High",""))</f>
        <v/>
      </c>
      <c r="K1488" s="6" t="str">
        <f aca="false">IF(C1488&lt;Outliers!$E$8,"Low",IF(C1488&gt;Outliers!$F$8,"High",""))</f>
        <v/>
      </c>
      <c r="L1488" s="6" t="str">
        <f aca="false">A1488&amp;";"&amp;B1488&amp;";"&amp;C1488</f>
        <v>29.87331077;24.69720481;13.2501368569469</v>
      </c>
      <c r="M1488" s="6" t="n">
        <f aca="false">IF(COUNTIF($L$2:$L$2201,L1488)&gt;1,1,0)</f>
        <v>0</v>
      </c>
      <c r="N1488" s="6" t="str">
        <f aca="false">IF(AND(C1488&lt;Assumptions!$B$9,B1488&lt;Assumptions!$B$10),"Irrigate Now",IF(AND(C1488&gt;=Assumptions!$B$11,B1488&gt;=Assumptions!$B$12),"No Irrigation Needed","Monitor"))</f>
        <v>Irrigate Now</v>
      </c>
      <c r="O1488" s="6" t="n">
        <f aca="false">IF(N1488=G1488,1,0)</f>
        <v>1</v>
      </c>
    </row>
    <row r="1489" customFormat="false" ht="15" hidden="false" customHeight="false" outlineLevel="0" collapsed="false">
      <c r="A1489" s="16" t="n">
        <v>28.55852465</v>
      </c>
      <c r="B1489" s="16" t="n">
        <v>27.26588346</v>
      </c>
      <c r="C1489" s="16" t="n">
        <v>26.2946485101471</v>
      </c>
      <c r="D1489" s="6" t="s">
        <v>57</v>
      </c>
      <c r="E1489" s="6" t="s">
        <v>23</v>
      </c>
      <c r="F1489" s="6" t="s">
        <v>60</v>
      </c>
      <c r="G1489" s="6" t="s">
        <v>61</v>
      </c>
      <c r="H1489" s="6" t="s">
        <v>63</v>
      </c>
      <c r="I1489" s="6" t="str">
        <f aca="false">IF(A1489&lt;Outliers!$E$6,"Low",IF(A1489&gt;Outliers!$F$6,"High",""))</f>
        <v/>
      </c>
      <c r="J1489" s="6" t="str">
        <f aca="false">IF(B1489&lt;Outliers!$E$7,"Low",IF(B1489&gt;Outliers!$F$7,"High",""))</f>
        <v/>
      </c>
      <c r="K1489" s="6" t="str">
        <f aca="false">IF(C1489&lt;Outliers!$E$8,"Low",IF(C1489&gt;Outliers!$F$8,"High",""))</f>
        <v/>
      </c>
      <c r="L1489" s="6" t="str">
        <f aca="false">A1489&amp;";"&amp;B1489&amp;";"&amp;C1489</f>
        <v>28.55852465;27.26588346;26.2946485101471</v>
      </c>
      <c r="M1489" s="6" t="n">
        <f aca="false">IF(COUNTIF($L$2:$L$2201,L1489)&gt;1,1,0)</f>
        <v>0</v>
      </c>
      <c r="N1489" s="6" t="str">
        <f aca="false">IF(AND(C1489&lt;Assumptions!$B$9,B1489&lt;Assumptions!$B$10),"Irrigate Now",IF(AND(C1489&gt;=Assumptions!$B$11,B1489&gt;=Assumptions!$B$12),"No Irrigation Needed","Monitor"))</f>
        <v>Monitor</v>
      </c>
      <c r="O1489" s="6" t="n">
        <f aca="false">IF(N1489=G1489,1,0)</f>
        <v>1</v>
      </c>
    </row>
    <row r="1490" customFormat="false" ht="15" hidden="false" customHeight="false" outlineLevel="0" collapsed="false">
      <c r="A1490" s="16" t="n">
        <v>29.19378695</v>
      </c>
      <c r="B1490" s="16" t="n">
        <v>26.48240255</v>
      </c>
      <c r="C1490" s="16" t="n">
        <v>25.928223604828</v>
      </c>
      <c r="D1490" s="6" t="s">
        <v>57</v>
      </c>
      <c r="E1490" s="6" t="s">
        <v>23</v>
      </c>
      <c r="F1490" s="6" t="s">
        <v>60</v>
      </c>
      <c r="G1490" s="6" t="s">
        <v>61</v>
      </c>
      <c r="H1490" s="6" t="s">
        <v>63</v>
      </c>
      <c r="I1490" s="6" t="str">
        <f aca="false">IF(A1490&lt;Outliers!$E$6,"Low",IF(A1490&gt;Outliers!$F$6,"High",""))</f>
        <v/>
      </c>
      <c r="J1490" s="6" t="str">
        <f aca="false">IF(B1490&lt;Outliers!$E$7,"Low",IF(B1490&gt;Outliers!$F$7,"High",""))</f>
        <v/>
      </c>
      <c r="K1490" s="6" t="str">
        <f aca="false">IF(C1490&lt;Outliers!$E$8,"Low",IF(C1490&gt;Outliers!$F$8,"High",""))</f>
        <v/>
      </c>
      <c r="L1490" s="6" t="str">
        <f aca="false">A1490&amp;";"&amp;B1490&amp;";"&amp;C1490</f>
        <v>29.19378695;26.48240255;25.928223604828</v>
      </c>
      <c r="M1490" s="6" t="n">
        <f aca="false">IF(COUNTIF($L$2:$L$2201,L1490)&gt;1,1,0)</f>
        <v>0</v>
      </c>
      <c r="N1490" s="6" t="str">
        <f aca="false">IF(AND(C1490&lt;Assumptions!$B$9,B1490&lt;Assumptions!$B$10),"Irrigate Now",IF(AND(C1490&gt;=Assumptions!$B$11,B1490&gt;=Assumptions!$B$12),"No Irrigation Needed","Monitor"))</f>
        <v>Monitor</v>
      </c>
      <c r="O1490" s="6" t="n">
        <f aca="false">IF(N1490=G1490,1,0)</f>
        <v>1</v>
      </c>
    </row>
    <row r="1491" customFormat="false" ht="15" hidden="false" customHeight="false" outlineLevel="0" collapsed="false">
      <c r="A1491" s="16" t="n">
        <v>27.98780984</v>
      </c>
      <c r="B1491" s="16" t="n">
        <v>27.14509034</v>
      </c>
      <c r="C1491" s="16" t="n">
        <v>28.4810072187531</v>
      </c>
      <c r="D1491" s="6" t="s">
        <v>57</v>
      </c>
      <c r="E1491" s="6" t="s">
        <v>23</v>
      </c>
      <c r="F1491" s="6" t="s">
        <v>23</v>
      </c>
      <c r="G1491" s="6" t="s">
        <v>61</v>
      </c>
      <c r="H1491" s="6" t="s">
        <v>63</v>
      </c>
      <c r="I1491" s="6" t="str">
        <f aca="false">IF(A1491&lt;Outliers!$E$6,"Low",IF(A1491&gt;Outliers!$F$6,"High",""))</f>
        <v/>
      </c>
      <c r="J1491" s="6" t="str">
        <f aca="false">IF(B1491&lt;Outliers!$E$7,"Low",IF(B1491&gt;Outliers!$F$7,"High",""))</f>
        <v/>
      </c>
      <c r="K1491" s="6" t="str">
        <f aca="false">IF(C1491&lt;Outliers!$E$8,"Low",IF(C1491&gt;Outliers!$F$8,"High",""))</f>
        <v/>
      </c>
      <c r="L1491" s="6" t="str">
        <f aca="false">A1491&amp;";"&amp;B1491&amp;";"&amp;C1491</f>
        <v>27.98780984;27.14509034;28.4810072187531</v>
      </c>
      <c r="M1491" s="6" t="n">
        <f aca="false">IF(COUNTIF($L$2:$L$2201,L1491)&gt;1,1,0)</f>
        <v>0</v>
      </c>
      <c r="N1491" s="6" t="str">
        <f aca="false">IF(AND(C1491&lt;Assumptions!$B$9,B1491&lt;Assumptions!$B$10),"Irrigate Now",IF(AND(C1491&gt;=Assumptions!$B$11,B1491&gt;=Assumptions!$B$12),"No Irrigation Needed","Monitor"))</f>
        <v>Monitor</v>
      </c>
      <c r="O1491" s="6" t="n">
        <f aca="false">IF(N1491=G1491,1,0)</f>
        <v>1</v>
      </c>
    </row>
    <row r="1492" customFormat="false" ht="15" hidden="false" customHeight="false" outlineLevel="0" collapsed="false">
      <c r="A1492" s="16" t="n">
        <v>28.05380704</v>
      </c>
      <c r="B1492" s="16" t="n">
        <v>20.76582087</v>
      </c>
      <c r="C1492" s="16" t="n">
        <v>18.2257966985934</v>
      </c>
      <c r="D1492" s="6" t="s">
        <v>57</v>
      </c>
      <c r="E1492" s="6" t="s">
        <v>23</v>
      </c>
      <c r="F1492" s="6" t="s">
        <v>24</v>
      </c>
      <c r="G1492" s="6" t="s">
        <v>61</v>
      </c>
      <c r="H1492" s="6" t="s">
        <v>63</v>
      </c>
      <c r="I1492" s="6" t="str">
        <f aca="false">IF(A1492&lt;Outliers!$E$6,"Low",IF(A1492&gt;Outliers!$F$6,"High",""))</f>
        <v/>
      </c>
      <c r="J1492" s="6" t="str">
        <f aca="false">IF(B1492&lt;Outliers!$E$7,"Low",IF(B1492&gt;Outliers!$F$7,"High",""))</f>
        <v/>
      </c>
      <c r="K1492" s="6" t="str">
        <f aca="false">IF(C1492&lt;Outliers!$E$8,"Low",IF(C1492&gt;Outliers!$F$8,"High",""))</f>
        <v/>
      </c>
      <c r="L1492" s="6" t="str">
        <f aca="false">A1492&amp;";"&amp;B1492&amp;";"&amp;C1492</f>
        <v>28.05380704;20.76582087;18.2257966985934</v>
      </c>
      <c r="M1492" s="6" t="n">
        <f aca="false">IF(COUNTIF($L$2:$L$2201,L1492)&gt;1,1,0)</f>
        <v>0</v>
      </c>
      <c r="N1492" s="6" t="str">
        <f aca="false">IF(AND(C1492&lt;Assumptions!$B$9,B1492&lt;Assumptions!$B$10),"Irrigate Now",IF(AND(C1492&gt;=Assumptions!$B$11,B1492&gt;=Assumptions!$B$12),"No Irrigation Needed","Monitor"))</f>
        <v>Monitor</v>
      </c>
      <c r="O1492" s="6" t="n">
        <f aca="false">IF(N1492=G1492,1,0)</f>
        <v>1</v>
      </c>
    </row>
    <row r="1493" customFormat="false" ht="15" hidden="false" customHeight="false" outlineLevel="0" collapsed="false">
      <c r="A1493" s="16" t="n">
        <v>27.3506296</v>
      </c>
      <c r="B1493" s="16" t="n">
        <v>27.21244021</v>
      </c>
      <c r="C1493" s="16" t="n">
        <v>20.6055199594548</v>
      </c>
      <c r="D1493" s="6" t="s">
        <v>57</v>
      </c>
      <c r="E1493" s="6" t="s">
        <v>23</v>
      </c>
      <c r="F1493" s="6" t="s">
        <v>60</v>
      </c>
      <c r="G1493" s="6" t="s">
        <v>61</v>
      </c>
      <c r="H1493" s="6" t="s">
        <v>63</v>
      </c>
      <c r="I1493" s="6" t="str">
        <f aca="false">IF(A1493&lt;Outliers!$E$6,"Low",IF(A1493&gt;Outliers!$F$6,"High",""))</f>
        <v/>
      </c>
      <c r="J1493" s="6" t="str">
        <f aca="false">IF(B1493&lt;Outliers!$E$7,"Low",IF(B1493&gt;Outliers!$F$7,"High",""))</f>
        <v/>
      </c>
      <c r="K1493" s="6" t="str">
        <f aca="false">IF(C1493&lt;Outliers!$E$8,"Low",IF(C1493&gt;Outliers!$F$8,"High",""))</f>
        <v/>
      </c>
      <c r="L1493" s="6" t="str">
        <f aca="false">A1493&amp;";"&amp;B1493&amp;";"&amp;C1493</f>
        <v>27.3506296;27.21244021;20.6055199594548</v>
      </c>
      <c r="M1493" s="6" t="n">
        <f aca="false">IF(COUNTIF($L$2:$L$2201,L1493)&gt;1,1,0)</f>
        <v>0</v>
      </c>
      <c r="N1493" s="6" t="str">
        <f aca="false">IF(AND(C1493&lt;Assumptions!$B$9,B1493&lt;Assumptions!$B$10),"Irrigate Now",IF(AND(C1493&gt;=Assumptions!$B$11,B1493&gt;=Assumptions!$B$12),"No Irrigation Needed","Monitor"))</f>
        <v>Monitor</v>
      </c>
      <c r="O1493" s="6" t="n">
        <f aca="false">IF(N1493=G1493,1,0)</f>
        <v>1</v>
      </c>
    </row>
    <row r="1494" customFormat="false" ht="15" hidden="false" customHeight="false" outlineLevel="0" collapsed="false">
      <c r="A1494" s="16" t="n">
        <v>29.34081108</v>
      </c>
      <c r="B1494" s="16" t="n">
        <v>28.22908103</v>
      </c>
      <c r="C1494" s="16" t="n">
        <v>18.8415569589577</v>
      </c>
      <c r="D1494" s="6" t="s">
        <v>57</v>
      </c>
      <c r="E1494" s="6" t="s">
        <v>23</v>
      </c>
      <c r="F1494" s="6" t="s">
        <v>24</v>
      </c>
      <c r="G1494" s="6" t="s">
        <v>61</v>
      </c>
      <c r="H1494" s="6" t="s">
        <v>63</v>
      </c>
      <c r="I1494" s="6" t="str">
        <f aca="false">IF(A1494&lt;Outliers!$E$6,"Low",IF(A1494&gt;Outliers!$F$6,"High",""))</f>
        <v/>
      </c>
      <c r="J1494" s="6" t="str">
        <f aca="false">IF(B1494&lt;Outliers!$E$7,"Low",IF(B1494&gt;Outliers!$F$7,"High",""))</f>
        <v/>
      </c>
      <c r="K1494" s="6" t="str">
        <f aca="false">IF(C1494&lt;Outliers!$E$8,"Low",IF(C1494&gt;Outliers!$F$8,"High",""))</f>
        <v/>
      </c>
      <c r="L1494" s="6" t="str">
        <f aca="false">A1494&amp;";"&amp;B1494&amp;";"&amp;C1494</f>
        <v>29.34081108;28.22908103;18.8415569589577</v>
      </c>
      <c r="M1494" s="6" t="n">
        <f aca="false">IF(COUNTIF($L$2:$L$2201,L1494)&gt;1,1,0)</f>
        <v>0</v>
      </c>
      <c r="N1494" s="6" t="str">
        <f aca="false">IF(AND(C1494&lt;Assumptions!$B$9,B1494&lt;Assumptions!$B$10),"Irrigate Now",IF(AND(C1494&gt;=Assumptions!$B$11,B1494&gt;=Assumptions!$B$12),"No Irrigation Needed","Monitor"))</f>
        <v>Monitor</v>
      </c>
      <c r="O1494" s="6" t="n">
        <f aca="false">IF(N1494=G1494,1,0)</f>
        <v>1</v>
      </c>
    </row>
    <row r="1495" customFormat="false" ht="15" hidden="false" customHeight="false" outlineLevel="0" collapsed="false">
      <c r="A1495" s="16" t="n">
        <v>28.61475136</v>
      </c>
      <c r="B1495" s="16" t="n">
        <v>28.98574189</v>
      </c>
      <c r="C1495" s="16" t="n">
        <v>22.4500007648046</v>
      </c>
      <c r="D1495" s="6" t="s">
        <v>57</v>
      </c>
      <c r="E1495" s="6" t="s">
        <v>23</v>
      </c>
      <c r="F1495" s="6" t="s">
        <v>60</v>
      </c>
      <c r="G1495" s="6" t="s">
        <v>61</v>
      </c>
      <c r="H1495" s="6" t="s">
        <v>63</v>
      </c>
      <c r="I1495" s="6" t="str">
        <f aca="false">IF(A1495&lt;Outliers!$E$6,"Low",IF(A1495&gt;Outliers!$F$6,"High",""))</f>
        <v/>
      </c>
      <c r="J1495" s="6" t="str">
        <f aca="false">IF(B1495&lt;Outliers!$E$7,"Low",IF(B1495&gt;Outliers!$F$7,"High",""))</f>
        <v/>
      </c>
      <c r="K1495" s="6" t="str">
        <f aca="false">IF(C1495&lt;Outliers!$E$8,"Low",IF(C1495&gt;Outliers!$F$8,"High",""))</f>
        <v/>
      </c>
      <c r="L1495" s="6" t="str">
        <f aca="false">A1495&amp;";"&amp;B1495&amp;";"&amp;C1495</f>
        <v>28.61475136;28.98574189;22.4500007648046</v>
      </c>
      <c r="M1495" s="6" t="n">
        <f aca="false">IF(COUNTIF($L$2:$L$2201,L1495)&gt;1,1,0)</f>
        <v>0</v>
      </c>
      <c r="N1495" s="6" t="str">
        <f aca="false">IF(AND(C1495&lt;Assumptions!$B$9,B1495&lt;Assumptions!$B$10),"Irrigate Now",IF(AND(C1495&gt;=Assumptions!$B$11,B1495&gt;=Assumptions!$B$12),"No Irrigation Needed","Monitor"))</f>
        <v>Monitor</v>
      </c>
      <c r="O1495" s="6" t="n">
        <f aca="false">IF(N1495=G1495,1,0)</f>
        <v>1</v>
      </c>
    </row>
    <row r="1496" customFormat="false" ht="15" hidden="false" customHeight="false" outlineLevel="0" collapsed="false">
      <c r="A1496" s="16" t="n">
        <v>27.04863538</v>
      </c>
      <c r="B1496" s="16" t="n">
        <v>25.08146686</v>
      </c>
      <c r="C1496" s="16" t="n">
        <v>26.6358160898596</v>
      </c>
      <c r="D1496" s="6" t="s">
        <v>57</v>
      </c>
      <c r="E1496" s="6" t="s">
        <v>23</v>
      </c>
      <c r="F1496" s="6" t="s">
        <v>60</v>
      </c>
      <c r="G1496" s="6" t="s">
        <v>61</v>
      </c>
      <c r="H1496" s="6" t="s">
        <v>63</v>
      </c>
      <c r="I1496" s="6" t="str">
        <f aca="false">IF(A1496&lt;Outliers!$E$6,"Low",IF(A1496&gt;Outliers!$F$6,"High",""))</f>
        <v/>
      </c>
      <c r="J1496" s="6" t="str">
        <f aca="false">IF(B1496&lt;Outliers!$E$7,"Low",IF(B1496&gt;Outliers!$F$7,"High",""))</f>
        <v/>
      </c>
      <c r="K1496" s="6" t="str">
        <f aca="false">IF(C1496&lt;Outliers!$E$8,"Low",IF(C1496&gt;Outliers!$F$8,"High",""))</f>
        <v/>
      </c>
      <c r="L1496" s="6" t="str">
        <f aca="false">A1496&amp;";"&amp;B1496&amp;";"&amp;C1496</f>
        <v>27.04863538;25.08146686;26.6358160898596</v>
      </c>
      <c r="M1496" s="6" t="n">
        <f aca="false">IF(COUNTIF($L$2:$L$2201,L1496)&gt;1,1,0)</f>
        <v>0</v>
      </c>
      <c r="N1496" s="6" t="str">
        <f aca="false">IF(AND(C1496&lt;Assumptions!$B$9,B1496&lt;Assumptions!$B$10),"Irrigate Now",IF(AND(C1496&gt;=Assumptions!$B$11,B1496&gt;=Assumptions!$B$12),"No Irrigation Needed","Monitor"))</f>
        <v>Monitor</v>
      </c>
      <c r="O1496" s="6" t="n">
        <f aca="false">IF(N1496=G1496,1,0)</f>
        <v>1</v>
      </c>
    </row>
    <row r="1497" customFormat="false" ht="15" hidden="false" customHeight="false" outlineLevel="0" collapsed="false">
      <c r="A1497" s="16" t="n">
        <v>29.5275305</v>
      </c>
      <c r="B1497" s="16" t="n">
        <v>21.13545688</v>
      </c>
      <c r="C1497" s="16" t="n">
        <v>16.8492348996904</v>
      </c>
      <c r="D1497" s="6" t="s">
        <v>57</v>
      </c>
      <c r="E1497" s="6" t="s">
        <v>23</v>
      </c>
      <c r="F1497" s="6" t="s">
        <v>24</v>
      </c>
      <c r="G1497" s="6" t="s">
        <v>64</v>
      </c>
      <c r="H1497" s="6" t="s">
        <v>65</v>
      </c>
      <c r="I1497" s="6" t="str">
        <f aca="false">IF(A1497&lt;Outliers!$E$6,"Low",IF(A1497&gt;Outliers!$F$6,"High",""))</f>
        <v/>
      </c>
      <c r="J1497" s="6" t="str">
        <f aca="false">IF(B1497&lt;Outliers!$E$7,"Low",IF(B1497&gt;Outliers!$F$7,"High",""))</f>
        <v/>
      </c>
      <c r="K1497" s="6" t="str">
        <f aca="false">IF(C1497&lt;Outliers!$E$8,"Low",IF(C1497&gt;Outliers!$F$8,"High",""))</f>
        <v/>
      </c>
      <c r="L1497" s="6" t="str">
        <f aca="false">A1497&amp;";"&amp;B1497&amp;";"&amp;C1497</f>
        <v>29.5275305;21.13545688;16.8492348996904</v>
      </c>
      <c r="M1497" s="6" t="n">
        <f aca="false">IF(COUNTIF($L$2:$L$2201,L1497)&gt;1,1,0)</f>
        <v>0</v>
      </c>
      <c r="N1497" s="6" t="str">
        <f aca="false">IF(AND(C1497&lt;Assumptions!$B$9,B1497&lt;Assumptions!$B$10),"Irrigate Now",IF(AND(C1497&gt;=Assumptions!$B$11,B1497&gt;=Assumptions!$B$12),"No Irrigation Needed","Monitor"))</f>
        <v>Irrigate Now</v>
      </c>
      <c r="O1497" s="6" t="n">
        <f aca="false">IF(N1497=G1497,1,0)</f>
        <v>1</v>
      </c>
    </row>
    <row r="1498" customFormat="false" ht="15" hidden="false" customHeight="false" outlineLevel="0" collapsed="false">
      <c r="A1498" s="16" t="n">
        <v>28.50416396</v>
      </c>
      <c r="B1498" s="16" t="n">
        <v>24.20007242</v>
      </c>
      <c r="C1498" s="16" t="n">
        <v>15.6574216697212</v>
      </c>
      <c r="D1498" s="6" t="s">
        <v>57</v>
      </c>
      <c r="E1498" s="6" t="s">
        <v>23</v>
      </c>
      <c r="F1498" s="6" t="s">
        <v>24</v>
      </c>
      <c r="G1498" s="6" t="s">
        <v>64</v>
      </c>
      <c r="H1498" s="6" t="s">
        <v>65</v>
      </c>
      <c r="I1498" s="6" t="str">
        <f aca="false">IF(A1498&lt;Outliers!$E$6,"Low",IF(A1498&gt;Outliers!$F$6,"High",""))</f>
        <v/>
      </c>
      <c r="J1498" s="6" t="str">
        <f aca="false">IF(B1498&lt;Outliers!$E$7,"Low",IF(B1498&gt;Outliers!$F$7,"High",""))</f>
        <v/>
      </c>
      <c r="K1498" s="6" t="str">
        <f aca="false">IF(C1498&lt;Outliers!$E$8,"Low",IF(C1498&gt;Outliers!$F$8,"High",""))</f>
        <v/>
      </c>
      <c r="L1498" s="6" t="str">
        <f aca="false">A1498&amp;";"&amp;B1498&amp;";"&amp;C1498</f>
        <v>28.50416396;24.20007242;15.6574216697212</v>
      </c>
      <c r="M1498" s="6" t="n">
        <f aca="false">IF(COUNTIF($L$2:$L$2201,L1498)&gt;1,1,0)</f>
        <v>0</v>
      </c>
      <c r="N1498" s="6" t="str">
        <f aca="false">IF(AND(C1498&lt;Assumptions!$B$9,B1498&lt;Assumptions!$B$10),"Irrigate Now",IF(AND(C1498&gt;=Assumptions!$B$11,B1498&gt;=Assumptions!$B$12),"No Irrigation Needed","Monitor"))</f>
        <v>Irrigate Now</v>
      </c>
      <c r="O1498" s="6" t="n">
        <f aca="false">IF(N1498=G1498,1,0)</f>
        <v>1</v>
      </c>
    </row>
    <row r="1499" customFormat="false" ht="15" hidden="false" customHeight="false" outlineLevel="0" collapsed="false">
      <c r="A1499" s="16" t="n">
        <v>28.89578588</v>
      </c>
      <c r="B1499" s="16" t="n">
        <v>23.0362503</v>
      </c>
      <c r="C1499" s="16" t="n">
        <v>15.4820038686993</v>
      </c>
      <c r="D1499" s="6" t="s">
        <v>57</v>
      </c>
      <c r="E1499" s="6" t="s">
        <v>23</v>
      </c>
      <c r="F1499" s="6" t="s">
        <v>24</v>
      </c>
      <c r="G1499" s="6" t="s">
        <v>64</v>
      </c>
      <c r="H1499" s="6" t="s">
        <v>65</v>
      </c>
      <c r="I1499" s="6" t="str">
        <f aca="false">IF(A1499&lt;Outliers!$E$6,"Low",IF(A1499&gt;Outliers!$F$6,"High",""))</f>
        <v/>
      </c>
      <c r="J1499" s="6" t="str">
        <f aca="false">IF(B1499&lt;Outliers!$E$7,"Low",IF(B1499&gt;Outliers!$F$7,"High",""))</f>
        <v/>
      </c>
      <c r="K1499" s="6" t="str">
        <f aca="false">IF(C1499&lt;Outliers!$E$8,"Low",IF(C1499&gt;Outliers!$F$8,"High",""))</f>
        <v/>
      </c>
      <c r="L1499" s="6" t="str">
        <f aca="false">A1499&amp;";"&amp;B1499&amp;";"&amp;C1499</f>
        <v>28.89578588;23.0362503;15.4820038686993</v>
      </c>
      <c r="M1499" s="6" t="n">
        <f aca="false">IF(COUNTIF($L$2:$L$2201,L1499)&gt;1,1,0)</f>
        <v>0</v>
      </c>
      <c r="N1499" s="6" t="str">
        <f aca="false">IF(AND(C1499&lt;Assumptions!$B$9,B1499&lt;Assumptions!$B$10),"Irrigate Now",IF(AND(C1499&gt;=Assumptions!$B$11,B1499&gt;=Assumptions!$B$12),"No Irrigation Needed","Monitor"))</f>
        <v>Irrigate Now</v>
      </c>
      <c r="O1499" s="6" t="n">
        <f aca="false">IF(N1499=G1499,1,0)</f>
        <v>1</v>
      </c>
    </row>
    <row r="1500" customFormat="false" ht="15" hidden="false" customHeight="false" outlineLevel="0" collapsed="false">
      <c r="A1500" s="16" t="n">
        <v>27.04927452</v>
      </c>
      <c r="B1500" s="16" t="n">
        <v>23.65747461</v>
      </c>
      <c r="C1500" s="16" t="n">
        <v>11.7414062304905</v>
      </c>
      <c r="D1500" s="6" t="s">
        <v>57</v>
      </c>
      <c r="E1500" s="6" t="s">
        <v>23</v>
      </c>
      <c r="F1500" s="6" t="s">
        <v>24</v>
      </c>
      <c r="G1500" s="6" t="s">
        <v>64</v>
      </c>
      <c r="H1500" s="6" t="s">
        <v>65</v>
      </c>
      <c r="I1500" s="6" t="str">
        <f aca="false">IF(A1500&lt;Outliers!$E$6,"Low",IF(A1500&gt;Outliers!$F$6,"High",""))</f>
        <v/>
      </c>
      <c r="J1500" s="6" t="str">
        <f aca="false">IF(B1500&lt;Outliers!$E$7,"Low",IF(B1500&gt;Outliers!$F$7,"High",""))</f>
        <v/>
      </c>
      <c r="K1500" s="6" t="str">
        <f aca="false">IF(C1500&lt;Outliers!$E$8,"Low",IF(C1500&gt;Outliers!$F$8,"High",""))</f>
        <v/>
      </c>
      <c r="L1500" s="6" t="str">
        <f aca="false">A1500&amp;";"&amp;B1500&amp;";"&amp;C1500</f>
        <v>27.04927452;23.65747461;11.7414062304905</v>
      </c>
      <c r="M1500" s="6" t="n">
        <f aca="false">IF(COUNTIF($L$2:$L$2201,L1500)&gt;1,1,0)</f>
        <v>0</v>
      </c>
      <c r="N1500" s="6" t="str">
        <f aca="false">IF(AND(C1500&lt;Assumptions!$B$9,B1500&lt;Assumptions!$B$10),"Irrigate Now",IF(AND(C1500&gt;=Assumptions!$B$11,B1500&gt;=Assumptions!$B$12),"No Irrigation Needed","Monitor"))</f>
        <v>Irrigate Now</v>
      </c>
      <c r="O1500" s="6" t="n">
        <f aca="false">IF(N1500=G1500,1,0)</f>
        <v>1</v>
      </c>
    </row>
    <row r="1501" customFormat="false" ht="15" hidden="false" customHeight="false" outlineLevel="0" collapsed="false">
      <c r="A1501" s="16" t="n">
        <v>28.96017885</v>
      </c>
      <c r="B1501" s="16" t="n">
        <v>24.7458198</v>
      </c>
      <c r="C1501" s="16" t="n">
        <v>29.9219225744585</v>
      </c>
      <c r="D1501" s="6" t="s">
        <v>57</v>
      </c>
      <c r="E1501" s="6" t="s">
        <v>23</v>
      </c>
      <c r="F1501" s="6" t="s">
        <v>23</v>
      </c>
      <c r="G1501" s="6" t="s">
        <v>61</v>
      </c>
      <c r="H1501" s="6" t="s">
        <v>63</v>
      </c>
      <c r="I1501" s="6" t="str">
        <f aca="false">IF(A1501&lt;Outliers!$E$6,"Low",IF(A1501&gt;Outliers!$F$6,"High",""))</f>
        <v/>
      </c>
      <c r="J1501" s="6" t="str">
        <f aca="false">IF(B1501&lt;Outliers!$E$7,"Low",IF(B1501&gt;Outliers!$F$7,"High",""))</f>
        <v/>
      </c>
      <c r="K1501" s="6" t="str">
        <f aca="false">IF(C1501&lt;Outliers!$E$8,"Low",IF(C1501&gt;Outliers!$F$8,"High",""))</f>
        <v/>
      </c>
      <c r="L1501" s="6" t="str">
        <f aca="false">A1501&amp;";"&amp;B1501&amp;";"&amp;C1501</f>
        <v>28.96017885;24.7458198;29.9219225744585</v>
      </c>
      <c r="M1501" s="6" t="n">
        <f aca="false">IF(COUNTIF($L$2:$L$2201,L1501)&gt;1,1,0)</f>
        <v>0</v>
      </c>
      <c r="N1501" s="6" t="str">
        <f aca="false">IF(AND(C1501&lt;Assumptions!$B$9,B1501&lt;Assumptions!$B$10),"Irrigate Now",IF(AND(C1501&gt;=Assumptions!$B$11,B1501&gt;=Assumptions!$B$12),"No Irrigation Needed","Monitor"))</f>
        <v>Monitor</v>
      </c>
      <c r="O1501" s="6" t="n">
        <f aca="false">IF(N1501=G1501,1,0)</f>
        <v>1</v>
      </c>
    </row>
    <row r="1502" customFormat="false" ht="15" hidden="false" customHeight="false" outlineLevel="0" collapsed="false">
      <c r="A1502" s="16" t="n">
        <v>22.75088787</v>
      </c>
      <c r="B1502" s="16" t="n">
        <v>110.4317855</v>
      </c>
      <c r="C1502" s="16" t="n">
        <v>26.1134090781044</v>
      </c>
      <c r="D1502" s="6" t="s">
        <v>57</v>
      </c>
      <c r="E1502" s="6" t="s">
        <v>57</v>
      </c>
      <c r="F1502" s="6" t="s">
        <v>23</v>
      </c>
      <c r="G1502" s="6" t="s">
        <v>58</v>
      </c>
      <c r="H1502" s="6" t="s">
        <v>59</v>
      </c>
      <c r="I1502" s="6" t="str">
        <f aca="false">IF(A1502&lt;Outliers!$E$6,"Low",IF(A1502&gt;Outliers!$F$6,"High",""))</f>
        <v/>
      </c>
      <c r="J1502" s="6" t="str">
        <f aca="false">IF(B1502&lt;Outliers!$E$7,"Low",IF(B1502&gt;Outliers!$F$7,"High",""))</f>
        <v/>
      </c>
      <c r="K1502" s="6" t="str">
        <f aca="false">IF(C1502&lt;Outliers!$E$8,"Low",IF(C1502&gt;Outliers!$F$8,"High",""))</f>
        <v/>
      </c>
      <c r="L1502" s="6" t="str">
        <f aca="false">A1502&amp;";"&amp;B1502&amp;";"&amp;C1502</f>
        <v>22.75088787;110.4317855;26.1134090781044</v>
      </c>
      <c r="M1502" s="6" t="n">
        <f aca="false">IF(COUNTIF($L$2:$L$2201,L1502)&gt;1,1,0)</f>
        <v>0</v>
      </c>
      <c r="N1502" s="6" t="str">
        <f aca="false">IF(AND(C1502&lt;Assumptions!$B$9,B1502&lt;Assumptions!$B$10),"Irrigate Now",IF(AND(C1502&gt;=Assumptions!$B$11,B1502&gt;=Assumptions!$B$12),"No Irrigation Needed","Monitor"))</f>
        <v>No Irrigation Needed</v>
      </c>
      <c r="O1502" s="6" t="n">
        <f aca="false">IF(N1502=G1502,1,0)</f>
        <v>1</v>
      </c>
    </row>
    <row r="1503" customFormat="false" ht="15" hidden="false" customHeight="false" outlineLevel="0" collapsed="false">
      <c r="A1503" s="16" t="n">
        <v>23.8494014</v>
      </c>
      <c r="B1503" s="16" t="n">
        <v>114.0512495</v>
      </c>
      <c r="C1503" s="16" t="n">
        <v>21.6286179307526</v>
      </c>
      <c r="D1503" s="6" t="s">
        <v>57</v>
      </c>
      <c r="E1503" s="6" t="s">
        <v>57</v>
      </c>
      <c r="F1503" s="6" t="s">
        <v>60</v>
      </c>
      <c r="G1503" s="6" t="s">
        <v>61</v>
      </c>
      <c r="H1503" s="6" t="s">
        <v>63</v>
      </c>
      <c r="I1503" s="6" t="str">
        <f aca="false">IF(A1503&lt;Outliers!$E$6,"Low",IF(A1503&gt;Outliers!$F$6,"High",""))</f>
        <v/>
      </c>
      <c r="J1503" s="6" t="str">
        <f aca="false">IF(B1503&lt;Outliers!$E$7,"Low",IF(B1503&gt;Outliers!$F$7,"High",""))</f>
        <v/>
      </c>
      <c r="K1503" s="6" t="str">
        <f aca="false">IF(C1503&lt;Outliers!$E$8,"Low",IF(C1503&gt;Outliers!$F$8,"High",""))</f>
        <v/>
      </c>
      <c r="L1503" s="6" t="str">
        <f aca="false">A1503&amp;";"&amp;B1503&amp;";"&amp;C1503</f>
        <v>23.8494014;114.0512495;21.6286179307526</v>
      </c>
      <c r="M1503" s="6" t="n">
        <f aca="false">IF(COUNTIF($L$2:$L$2201,L1503)&gt;1,1,0)</f>
        <v>0</v>
      </c>
      <c r="N1503" s="6" t="str">
        <f aca="false">IF(AND(C1503&lt;Assumptions!$B$9,B1503&lt;Assumptions!$B$10),"Irrigate Now",IF(AND(C1503&gt;=Assumptions!$B$11,B1503&gt;=Assumptions!$B$12),"No Irrigation Needed","Monitor"))</f>
        <v>Monitor</v>
      </c>
      <c r="O1503" s="6" t="n">
        <f aca="false">IF(N1503=G1503,1,0)</f>
        <v>1</v>
      </c>
    </row>
    <row r="1504" customFormat="false" ht="15" hidden="false" customHeight="false" outlineLevel="0" collapsed="false">
      <c r="A1504" s="16" t="n">
        <v>22.60800988</v>
      </c>
      <c r="B1504" s="16" t="n">
        <v>116.0396587</v>
      </c>
      <c r="C1504" s="16" t="n">
        <v>21.303978869624</v>
      </c>
      <c r="D1504" s="6" t="s">
        <v>57</v>
      </c>
      <c r="E1504" s="6" t="s">
        <v>57</v>
      </c>
      <c r="F1504" s="6" t="s">
        <v>60</v>
      </c>
      <c r="G1504" s="6" t="s">
        <v>61</v>
      </c>
      <c r="H1504" s="6" t="s">
        <v>63</v>
      </c>
      <c r="I1504" s="6" t="str">
        <f aca="false">IF(A1504&lt;Outliers!$E$6,"Low",IF(A1504&gt;Outliers!$F$6,"High",""))</f>
        <v/>
      </c>
      <c r="J1504" s="6" t="str">
        <f aca="false">IF(B1504&lt;Outliers!$E$7,"Low",IF(B1504&gt;Outliers!$F$7,"High",""))</f>
        <v/>
      </c>
      <c r="K1504" s="6" t="str">
        <f aca="false">IF(C1504&lt;Outliers!$E$8,"Low",IF(C1504&gt;Outliers!$F$8,"High",""))</f>
        <v/>
      </c>
      <c r="L1504" s="6" t="str">
        <f aca="false">A1504&amp;";"&amp;B1504&amp;";"&amp;C1504</f>
        <v>22.60800988;116.0396587;21.303978869624</v>
      </c>
      <c r="M1504" s="6" t="n">
        <f aca="false">IF(COUNTIF($L$2:$L$2201,L1504)&gt;1,1,0)</f>
        <v>0</v>
      </c>
      <c r="N1504" s="6" t="str">
        <f aca="false">IF(AND(C1504&lt;Assumptions!$B$9,B1504&lt;Assumptions!$B$10),"Irrigate Now",IF(AND(C1504&gt;=Assumptions!$B$11,B1504&gt;=Assumptions!$B$12),"No Irrigation Needed","Monitor"))</f>
        <v>Monitor</v>
      </c>
      <c r="O1504" s="6" t="n">
        <f aca="false">IF(N1504=G1504,1,0)</f>
        <v>1</v>
      </c>
    </row>
    <row r="1505" customFormat="false" ht="15" hidden="false" customHeight="false" outlineLevel="0" collapsed="false">
      <c r="A1505" s="16" t="n">
        <v>21.18667419</v>
      </c>
      <c r="B1505" s="16" t="n">
        <v>122.233323</v>
      </c>
      <c r="C1505" s="16" t="n">
        <v>11.0029619847069</v>
      </c>
      <c r="D1505" s="6" t="s">
        <v>57</v>
      </c>
      <c r="E1505" s="6" t="s">
        <v>57</v>
      </c>
      <c r="F1505" s="6" t="s">
        <v>24</v>
      </c>
      <c r="G1505" s="6" t="s">
        <v>61</v>
      </c>
      <c r="H1505" s="6" t="s">
        <v>63</v>
      </c>
      <c r="I1505" s="6" t="str">
        <f aca="false">IF(A1505&lt;Outliers!$E$6,"Low",IF(A1505&gt;Outliers!$F$6,"High",""))</f>
        <v/>
      </c>
      <c r="J1505" s="6" t="str">
        <f aca="false">IF(B1505&lt;Outliers!$E$7,"Low",IF(B1505&gt;Outliers!$F$7,"High",""))</f>
        <v/>
      </c>
      <c r="K1505" s="6" t="str">
        <f aca="false">IF(C1505&lt;Outliers!$E$8,"Low",IF(C1505&gt;Outliers!$F$8,"High",""))</f>
        <v/>
      </c>
      <c r="L1505" s="6" t="str">
        <f aca="false">A1505&amp;";"&amp;B1505&amp;";"&amp;C1505</f>
        <v>21.18667419;122.233323;11.0029619847069</v>
      </c>
      <c r="M1505" s="6" t="n">
        <f aca="false">IF(COUNTIF($L$2:$L$2201,L1505)&gt;1,1,0)</f>
        <v>0</v>
      </c>
      <c r="N1505" s="6" t="str">
        <f aca="false">IF(AND(C1505&lt;Assumptions!$B$9,B1505&lt;Assumptions!$B$10),"Irrigate Now",IF(AND(C1505&gt;=Assumptions!$B$11,B1505&gt;=Assumptions!$B$12),"No Irrigation Needed","Monitor"))</f>
        <v>Monitor</v>
      </c>
      <c r="O1505" s="6" t="n">
        <f aca="false">IF(N1505=G1505,1,0)</f>
        <v>1</v>
      </c>
    </row>
    <row r="1506" customFormat="false" ht="15" hidden="false" customHeight="false" outlineLevel="0" collapsed="false">
      <c r="A1506" s="16" t="n">
        <v>23.41044706</v>
      </c>
      <c r="B1506" s="16" t="n">
        <v>116.0777931</v>
      </c>
      <c r="C1506" s="16" t="n">
        <v>24.7911698153553</v>
      </c>
      <c r="D1506" s="6" t="s">
        <v>57</v>
      </c>
      <c r="E1506" s="6" t="s">
        <v>57</v>
      </c>
      <c r="F1506" s="6" t="s">
        <v>23</v>
      </c>
      <c r="G1506" s="6" t="s">
        <v>61</v>
      </c>
      <c r="H1506" s="6" t="s">
        <v>63</v>
      </c>
      <c r="I1506" s="6" t="str">
        <f aca="false">IF(A1506&lt;Outliers!$E$6,"Low",IF(A1506&gt;Outliers!$F$6,"High",""))</f>
        <v/>
      </c>
      <c r="J1506" s="6" t="str">
        <f aca="false">IF(B1506&lt;Outliers!$E$7,"Low",IF(B1506&gt;Outliers!$F$7,"High",""))</f>
        <v/>
      </c>
      <c r="K1506" s="6" t="str">
        <f aca="false">IF(C1506&lt;Outliers!$E$8,"Low",IF(C1506&gt;Outliers!$F$8,"High",""))</f>
        <v/>
      </c>
      <c r="L1506" s="6" t="str">
        <f aca="false">A1506&amp;";"&amp;B1506&amp;";"&amp;C1506</f>
        <v>23.41044706;116.0777931;24.7911698153553</v>
      </c>
      <c r="M1506" s="6" t="n">
        <f aca="false">IF(COUNTIF($L$2:$L$2201,L1506)&gt;1,1,0)</f>
        <v>0</v>
      </c>
      <c r="N1506" s="6" t="str">
        <f aca="false">IF(AND(C1506&lt;Assumptions!$B$9,B1506&lt;Assumptions!$B$10),"Irrigate Now",IF(AND(C1506&gt;=Assumptions!$B$11,B1506&gt;=Assumptions!$B$12),"No Irrigation Needed","Monitor"))</f>
        <v>Monitor</v>
      </c>
      <c r="O1506" s="6" t="n">
        <f aca="false">IF(N1506=G1506,1,0)</f>
        <v>1</v>
      </c>
    </row>
    <row r="1507" customFormat="false" ht="15" hidden="false" customHeight="false" outlineLevel="0" collapsed="false">
      <c r="A1507" s="16" t="n">
        <v>22.86006627</v>
      </c>
      <c r="B1507" s="16" t="n">
        <v>117.7296726</v>
      </c>
      <c r="C1507" s="16" t="n">
        <v>13.7517861667068</v>
      </c>
      <c r="D1507" s="6" t="s">
        <v>57</v>
      </c>
      <c r="E1507" s="6" t="s">
        <v>57</v>
      </c>
      <c r="F1507" s="6" t="s">
        <v>24</v>
      </c>
      <c r="G1507" s="6" t="s">
        <v>61</v>
      </c>
      <c r="H1507" s="6" t="s">
        <v>63</v>
      </c>
      <c r="I1507" s="6" t="str">
        <f aca="false">IF(A1507&lt;Outliers!$E$6,"Low",IF(A1507&gt;Outliers!$F$6,"High",""))</f>
        <v/>
      </c>
      <c r="J1507" s="6" t="str">
        <f aca="false">IF(B1507&lt;Outliers!$E$7,"Low",IF(B1507&gt;Outliers!$F$7,"High",""))</f>
        <v/>
      </c>
      <c r="K1507" s="6" t="str">
        <f aca="false">IF(C1507&lt;Outliers!$E$8,"Low",IF(C1507&gt;Outliers!$F$8,"High",""))</f>
        <v/>
      </c>
      <c r="L1507" s="6" t="str">
        <f aca="false">A1507&amp;";"&amp;B1507&amp;";"&amp;C1507</f>
        <v>22.86006627;117.7296726;13.7517861667068</v>
      </c>
      <c r="M1507" s="6" t="n">
        <f aca="false">IF(COUNTIF($L$2:$L$2201,L1507)&gt;1,1,0)</f>
        <v>0</v>
      </c>
      <c r="N1507" s="6" t="str">
        <f aca="false">IF(AND(C1507&lt;Assumptions!$B$9,B1507&lt;Assumptions!$B$10),"Irrigate Now",IF(AND(C1507&gt;=Assumptions!$B$11,B1507&gt;=Assumptions!$B$12),"No Irrigation Needed","Monitor"))</f>
        <v>Monitor</v>
      </c>
      <c r="O1507" s="6" t="n">
        <f aca="false">IF(N1507=G1507,1,0)</f>
        <v>1</v>
      </c>
    </row>
    <row r="1508" customFormat="false" ht="15" hidden="false" customHeight="false" outlineLevel="0" collapsed="false">
      <c r="A1508" s="16" t="n">
        <v>22.48403042</v>
      </c>
      <c r="B1508" s="16" t="n">
        <v>105.5473627</v>
      </c>
      <c r="C1508" s="16" t="n">
        <v>23.3640544495284</v>
      </c>
      <c r="D1508" s="6" t="s">
        <v>57</v>
      </c>
      <c r="E1508" s="6" t="s">
        <v>57</v>
      </c>
      <c r="F1508" s="6" t="s">
        <v>60</v>
      </c>
      <c r="G1508" s="6" t="s">
        <v>61</v>
      </c>
      <c r="H1508" s="6" t="s">
        <v>63</v>
      </c>
      <c r="I1508" s="6" t="str">
        <f aca="false">IF(A1508&lt;Outliers!$E$6,"Low",IF(A1508&gt;Outliers!$F$6,"High",""))</f>
        <v/>
      </c>
      <c r="J1508" s="6" t="str">
        <f aca="false">IF(B1508&lt;Outliers!$E$7,"Low",IF(B1508&gt;Outliers!$F$7,"High",""))</f>
        <v/>
      </c>
      <c r="K1508" s="6" t="str">
        <f aca="false">IF(C1508&lt;Outliers!$E$8,"Low",IF(C1508&gt;Outliers!$F$8,"High",""))</f>
        <v/>
      </c>
      <c r="L1508" s="6" t="str">
        <f aca="false">A1508&amp;";"&amp;B1508&amp;";"&amp;C1508</f>
        <v>22.48403042;105.5473627;23.3640544495284</v>
      </c>
      <c r="M1508" s="6" t="n">
        <f aca="false">IF(COUNTIF($L$2:$L$2201,L1508)&gt;1,1,0)</f>
        <v>0</v>
      </c>
      <c r="N1508" s="6" t="str">
        <f aca="false">IF(AND(C1508&lt;Assumptions!$B$9,B1508&lt;Assumptions!$B$10),"Irrigate Now",IF(AND(C1508&gt;=Assumptions!$B$11,B1508&gt;=Assumptions!$B$12),"No Irrigation Needed","Monitor"))</f>
        <v>Monitor</v>
      </c>
      <c r="O1508" s="6" t="n">
        <f aca="false">IF(N1508=G1508,1,0)</f>
        <v>1</v>
      </c>
    </row>
    <row r="1509" customFormat="false" ht="15" hidden="false" customHeight="false" outlineLevel="0" collapsed="false">
      <c r="A1509" s="16" t="n">
        <v>22.02775403</v>
      </c>
      <c r="B1509" s="16" t="n">
        <v>121.1349176</v>
      </c>
      <c r="C1509" s="16" t="n">
        <v>17.5904722853756</v>
      </c>
      <c r="D1509" s="6" t="s">
        <v>57</v>
      </c>
      <c r="E1509" s="6" t="s">
        <v>57</v>
      </c>
      <c r="F1509" s="6" t="s">
        <v>60</v>
      </c>
      <c r="G1509" s="6" t="s">
        <v>61</v>
      </c>
      <c r="H1509" s="6" t="s">
        <v>63</v>
      </c>
      <c r="I1509" s="6" t="str">
        <f aca="false">IF(A1509&lt;Outliers!$E$6,"Low",IF(A1509&gt;Outliers!$F$6,"High",""))</f>
        <v/>
      </c>
      <c r="J1509" s="6" t="str">
        <f aca="false">IF(B1509&lt;Outliers!$E$7,"Low",IF(B1509&gt;Outliers!$F$7,"High",""))</f>
        <v/>
      </c>
      <c r="K1509" s="6" t="str">
        <f aca="false">IF(C1509&lt;Outliers!$E$8,"Low",IF(C1509&gt;Outliers!$F$8,"High",""))</f>
        <v/>
      </c>
      <c r="L1509" s="6" t="str">
        <f aca="false">A1509&amp;";"&amp;B1509&amp;";"&amp;C1509</f>
        <v>22.02775403;121.1349176;17.5904722853756</v>
      </c>
      <c r="M1509" s="6" t="n">
        <f aca="false">IF(COUNTIF($L$2:$L$2201,L1509)&gt;1,1,0)</f>
        <v>0</v>
      </c>
      <c r="N1509" s="6" t="str">
        <f aca="false">IF(AND(C1509&lt;Assumptions!$B$9,B1509&lt;Assumptions!$B$10),"Irrigate Now",IF(AND(C1509&gt;=Assumptions!$B$11,B1509&gt;=Assumptions!$B$12),"No Irrigation Needed","Monitor"))</f>
        <v>Monitor</v>
      </c>
      <c r="O1509" s="6" t="n">
        <f aca="false">IF(N1509=G1509,1,0)</f>
        <v>1</v>
      </c>
    </row>
    <row r="1510" customFormat="false" ht="15" hidden="false" customHeight="false" outlineLevel="0" collapsed="false">
      <c r="A1510" s="16" t="n">
        <v>21.91191314</v>
      </c>
      <c r="B1510" s="16" t="n">
        <v>117.0761277</v>
      </c>
      <c r="C1510" s="16" t="n">
        <v>17.4078438989555</v>
      </c>
      <c r="D1510" s="6" t="s">
        <v>57</v>
      </c>
      <c r="E1510" s="6" t="s">
        <v>57</v>
      </c>
      <c r="F1510" s="6" t="s">
        <v>60</v>
      </c>
      <c r="G1510" s="6" t="s">
        <v>61</v>
      </c>
      <c r="H1510" s="6" t="s">
        <v>63</v>
      </c>
      <c r="I1510" s="6" t="str">
        <f aca="false">IF(A1510&lt;Outliers!$E$6,"Low",IF(A1510&gt;Outliers!$F$6,"High",""))</f>
        <v/>
      </c>
      <c r="J1510" s="6" t="str">
        <f aca="false">IF(B1510&lt;Outliers!$E$7,"Low",IF(B1510&gt;Outliers!$F$7,"High",""))</f>
        <v/>
      </c>
      <c r="K1510" s="6" t="str">
        <f aca="false">IF(C1510&lt;Outliers!$E$8,"Low",IF(C1510&gt;Outliers!$F$8,"High",""))</f>
        <v/>
      </c>
      <c r="L1510" s="6" t="str">
        <f aca="false">A1510&amp;";"&amp;B1510&amp;";"&amp;C1510</f>
        <v>21.91191314;117.0761277;17.4078438989555</v>
      </c>
      <c r="M1510" s="6" t="n">
        <f aca="false">IF(COUNTIF($L$2:$L$2201,L1510)&gt;1,1,0)</f>
        <v>0</v>
      </c>
      <c r="N1510" s="6" t="str">
        <f aca="false">IF(AND(C1510&lt;Assumptions!$B$9,B1510&lt;Assumptions!$B$10),"Irrigate Now",IF(AND(C1510&gt;=Assumptions!$B$11,B1510&gt;=Assumptions!$B$12),"No Irrigation Needed","Monitor"))</f>
        <v>Monitor</v>
      </c>
      <c r="O1510" s="6" t="n">
        <f aca="false">IF(N1510=G1510,1,0)</f>
        <v>1</v>
      </c>
    </row>
    <row r="1511" customFormat="false" ht="15" hidden="false" customHeight="false" outlineLevel="0" collapsed="false">
      <c r="A1511" s="16" t="n">
        <v>23.71059131</v>
      </c>
      <c r="B1511" s="16" t="n">
        <v>112.6676589</v>
      </c>
      <c r="C1511" s="16" t="n">
        <v>15.6691336632472</v>
      </c>
      <c r="D1511" s="6" t="s">
        <v>57</v>
      </c>
      <c r="E1511" s="6" t="s">
        <v>57</v>
      </c>
      <c r="F1511" s="6" t="s">
        <v>24</v>
      </c>
      <c r="G1511" s="6" t="s">
        <v>61</v>
      </c>
      <c r="H1511" s="6" t="s">
        <v>63</v>
      </c>
      <c r="I1511" s="6" t="str">
        <f aca="false">IF(A1511&lt;Outliers!$E$6,"Low",IF(A1511&gt;Outliers!$F$6,"High",""))</f>
        <v/>
      </c>
      <c r="J1511" s="6" t="str">
        <f aca="false">IF(B1511&lt;Outliers!$E$7,"Low",IF(B1511&gt;Outliers!$F$7,"High",""))</f>
        <v/>
      </c>
      <c r="K1511" s="6" t="str">
        <f aca="false">IF(C1511&lt;Outliers!$E$8,"Low",IF(C1511&gt;Outliers!$F$8,"High",""))</f>
        <v/>
      </c>
      <c r="L1511" s="6" t="str">
        <f aca="false">A1511&amp;";"&amp;B1511&amp;";"&amp;C1511</f>
        <v>23.71059131;112.6676589;15.6691336632472</v>
      </c>
      <c r="M1511" s="6" t="n">
        <f aca="false">IF(COUNTIF($L$2:$L$2201,L1511)&gt;1,1,0)</f>
        <v>0</v>
      </c>
      <c r="N1511" s="6" t="str">
        <f aca="false">IF(AND(C1511&lt;Assumptions!$B$9,B1511&lt;Assumptions!$B$10),"Irrigate Now",IF(AND(C1511&gt;=Assumptions!$B$11,B1511&gt;=Assumptions!$B$12),"No Irrigation Needed","Monitor"))</f>
        <v>Monitor</v>
      </c>
      <c r="O1511" s="6" t="n">
        <f aca="false">IF(N1511=G1511,1,0)</f>
        <v>1</v>
      </c>
    </row>
    <row r="1512" customFormat="false" ht="15" hidden="false" customHeight="false" outlineLevel="0" collapsed="false">
      <c r="A1512" s="16" t="n">
        <v>21.37784654</v>
      </c>
      <c r="B1512" s="16" t="n">
        <v>106.1417017</v>
      </c>
      <c r="C1512" s="16" t="n">
        <v>18.0397688482774</v>
      </c>
      <c r="D1512" s="6" t="s">
        <v>57</v>
      </c>
      <c r="E1512" s="6" t="s">
        <v>57</v>
      </c>
      <c r="F1512" s="6" t="s">
        <v>60</v>
      </c>
      <c r="G1512" s="6" t="s">
        <v>61</v>
      </c>
      <c r="H1512" s="6" t="s">
        <v>63</v>
      </c>
      <c r="I1512" s="6" t="str">
        <f aca="false">IF(A1512&lt;Outliers!$E$6,"Low",IF(A1512&gt;Outliers!$F$6,"High",""))</f>
        <v/>
      </c>
      <c r="J1512" s="6" t="str">
        <f aca="false">IF(B1512&lt;Outliers!$E$7,"Low",IF(B1512&gt;Outliers!$F$7,"High",""))</f>
        <v/>
      </c>
      <c r="K1512" s="6" t="str">
        <f aca="false">IF(C1512&lt;Outliers!$E$8,"Low",IF(C1512&gt;Outliers!$F$8,"High",""))</f>
        <v/>
      </c>
      <c r="L1512" s="6" t="str">
        <f aca="false">A1512&amp;";"&amp;B1512&amp;";"&amp;C1512</f>
        <v>21.37784654;106.1417017;18.0397688482774</v>
      </c>
      <c r="M1512" s="6" t="n">
        <f aca="false">IF(COUNTIF($L$2:$L$2201,L1512)&gt;1,1,0)</f>
        <v>0</v>
      </c>
      <c r="N1512" s="6" t="str">
        <f aca="false">IF(AND(C1512&lt;Assumptions!$B$9,B1512&lt;Assumptions!$B$10),"Irrigate Now",IF(AND(C1512&gt;=Assumptions!$B$11,B1512&gt;=Assumptions!$B$12),"No Irrigation Needed","Monitor"))</f>
        <v>Monitor</v>
      </c>
      <c r="O1512" s="6" t="n">
        <f aca="false">IF(N1512=G1512,1,0)</f>
        <v>1</v>
      </c>
    </row>
    <row r="1513" customFormat="false" ht="15" hidden="false" customHeight="false" outlineLevel="0" collapsed="false">
      <c r="A1513" s="16" t="n">
        <v>22.84852833</v>
      </c>
      <c r="B1513" s="16" t="n">
        <v>123.5977843</v>
      </c>
      <c r="C1513" s="16" t="n">
        <v>10.4667115013392</v>
      </c>
      <c r="D1513" s="6" t="s">
        <v>57</v>
      </c>
      <c r="E1513" s="6" t="s">
        <v>57</v>
      </c>
      <c r="F1513" s="6" t="s">
        <v>24</v>
      </c>
      <c r="G1513" s="6" t="s">
        <v>61</v>
      </c>
      <c r="H1513" s="6" t="s">
        <v>63</v>
      </c>
      <c r="I1513" s="6" t="str">
        <f aca="false">IF(A1513&lt;Outliers!$E$6,"Low",IF(A1513&gt;Outliers!$F$6,"High",""))</f>
        <v/>
      </c>
      <c r="J1513" s="6" t="str">
        <f aca="false">IF(B1513&lt;Outliers!$E$7,"Low",IF(B1513&gt;Outliers!$F$7,"High",""))</f>
        <v/>
      </c>
      <c r="K1513" s="6" t="str">
        <f aca="false">IF(C1513&lt;Outliers!$E$8,"Low",IF(C1513&gt;Outliers!$F$8,"High",""))</f>
        <v/>
      </c>
      <c r="L1513" s="6" t="str">
        <f aca="false">A1513&amp;";"&amp;B1513&amp;";"&amp;C1513</f>
        <v>22.84852833;123.5977843;10.4667115013392</v>
      </c>
      <c r="M1513" s="6" t="n">
        <f aca="false">IF(COUNTIF($L$2:$L$2201,L1513)&gt;1,1,0)</f>
        <v>0</v>
      </c>
      <c r="N1513" s="6" t="str">
        <f aca="false">IF(AND(C1513&lt;Assumptions!$B$9,B1513&lt;Assumptions!$B$10),"Irrigate Now",IF(AND(C1513&gt;=Assumptions!$B$11,B1513&gt;=Assumptions!$B$12),"No Irrigation Needed","Monitor"))</f>
        <v>Monitor</v>
      </c>
      <c r="O1513" s="6" t="n">
        <f aca="false">IF(N1513=G1513,1,0)</f>
        <v>1</v>
      </c>
    </row>
    <row r="1514" customFormat="false" ht="15" hidden="false" customHeight="false" outlineLevel="0" collapsed="false">
      <c r="A1514" s="16" t="n">
        <v>23.1094265</v>
      </c>
      <c r="B1514" s="16" t="n">
        <v>108.183792</v>
      </c>
      <c r="C1514" s="16" t="n">
        <v>24.538642736472</v>
      </c>
      <c r="D1514" s="6" t="s">
        <v>57</v>
      </c>
      <c r="E1514" s="6" t="s">
        <v>57</v>
      </c>
      <c r="F1514" s="6" t="s">
        <v>23</v>
      </c>
      <c r="G1514" s="6" t="s">
        <v>61</v>
      </c>
      <c r="H1514" s="6" t="s">
        <v>63</v>
      </c>
      <c r="I1514" s="6" t="str">
        <f aca="false">IF(A1514&lt;Outliers!$E$6,"Low",IF(A1514&gt;Outliers!$F$6,"High",""))</f>
        <v/>
      </c>
      <c r="J1514" s="6" t="str">
        <f aca="false">IF(B1514&lt;Outliers!$E$7,"Low",IF(B1514&gt;Outliers!$F$7,"High",""))</f>
        <v/>
      </c>
      <c r="K1514" s="6" t="str">
        <f aca="false">IF(C1514&lt;Outliers!$E$8,"Low",IF(C1514&gt;Outliers!$F$8,"High",""))</f>
        <v/>
      </c>
      <c r="L1514" s="6" t="str">
        <f aca="false">A1514&amp;";"&amp;B1514&amp;";"&amp;C1514</f>
        <v>23.1094265;108.183792;24.538642736472</v>
      </c>
      <c r="M1514" s="6" t="n">
        <f aca="false">IF(COUNTIF($L$2:$L$2201,L1514)&gt;1,1,0)</f>
        <v>0</v>
      </c>
      <c r="N1514" s="6" t="str">
        <f aca="false">IF(AND(C1514&lt;Assumptions!$B$9,B1514&lt;Assumptions!$B$10),"Irrigate Now",IF(AND(C1514&gt;=Assumptions!$B$11,B1514&gt;=Assumptions!$B$12),"No Irrigation Needed","Monitor"))</f>
        <v>Monitor</v>
      </c>
      <c r="O1514" s="6" t="n">
        <f aca="false">IF(N1514=G1514,1,0)</f>
        <v>1</v>
      </c>
    </row>
    <row r="1515" customFormat="false" ht="15" hidden="false" customHeight="false" outlineLevel="0" collapsed="false">
      <c r="A1515" s="16" t="n">
        <v>23.25230817</v>
      </c>
      <c r="B1515" s="16" t="n">
        <v>105.3558408</v>
      </c>
      <c r="C1515" s="16" t="n">
        <v>28.9513622277432</v>
      </c>
      <c r="D1515" s="6" t="s">
        <v>57</v>
      </c>
      <c r="E1515" s="6" t="s">
        <v>57</v>
      </c>
      <c r="F1515" s="6" t="s">
        <v>23</v>
      </c>
      <c r="G1515" s="6" t="s">
        <v>58</v>
      </c>
      <c r="H1515" s="6" t="s">
        <v>59</v>
      </c>
      <c r="I1515" s="6" t="str">
        <f aca="false">IF(A1515&lt;Outliers!$E$6,"Low",IF(A1515&gt;Outliers!$F$6,"High",""))</f>
        <v/>
      </c>
      <c r="J1515" s="6" t="str">
        <f aca="false">IF(B1515&lt;Outliers!$E$7,"Low",IF(B1515&gt;Outliers!$F$7,"High",""))</f>
        <v/>
      </c>
      <c r="K1515" s="6" t="str">
        <f aca="false">IF(C1515&lt;Outliers!$E$8,"Low",IF(C1515&gt;Outliers!$F$8,"High",""))</f>
        <v/>
      </c>
      <c r="L1515" s="6" t="str">
        <f aca="false">A1515&amp;";"&amp;B1515&amp;";"&amp;C1515</f>
        <v>23.25230817;105.3558408;28.9513622277432</v>
      </c>
      <c r="M1515" s="6" t="n">
        <f aca="false">IF(COUNTIF($L$2:$L$2201,L1515)&gt;1,1,0)</f>
        <v>0</v>
      </c>
      <c r="N1515" s="6" t="str">
        <f aca="false">IF(AND(C1515&lt;Assumptions!$B$9,B1515&lt;Assumptions!$B$10),"Irrigate Now",IF(AND(C1515&gt;=Assumptions!$B$11,B1515&gt;=Assumptions!$B$12),"No Irrigation Needed","Monitor"))</f>
        <v>No Irrigation Needed</v>
      </c>
      <c r="O1515" s="6" t="n">
        <f aca="false">IF(N1515=G1515,1,0)</f>
        <v>1</v>
      </c>
    </row>
    <row r="1516" customFormat="false" ht="15" hidden="false" customHeight="false" outlineLevel="0" collapsed="false">
      <c r="A1516" s="16" t="n">
        <v>23.67287749</v>
      </c>
      <c r="B1516" s="16" t="n">
        <v>104.2298028</v>
      </c>
      <c r="C1516" s="16" t="n">
        <v>28.8654168173677</v>
      </c>
      <c r="D1516" s="6" t="s">
        <v>57</v>
      </c>
      <c r="E1516" s="6" t="s">
        <v>57</v>
      </c>
      <c r="F1516" s="6" t="s">
        <v>23</v>
      </c>
      <c r="G1516" s="6" t="s">
        <v>58</v>
      </c>
      <c r="H1516" s="6" t="s">
        <v>59</v>
      </c>
      <c r="I1516" s="6" t="str">
        <f aca="false">IF(A1516&lt;Outliers!$E$6,"Low",IF(A1516&gt;Outliers!$F$6,"High",""))</f>
        <v/>
      </c>
      <c r="J1516" s="6" t="str">
        <f aca="false">IF(B1516&lt;Outliers!$E$7,"Low",IF(B1516&gt;Outliers!$F$7,"High",""))</f>
        <v/>
      </c>
      <c r="K1516" s="6" t="str">
        <f aca="false">IF(C1516&lt;Outliers!$E$8,"Low",IF(C1516&gt;Outliers!$F$8,"High",""))</f>
        <v/>
      </c>
      <c r="L1516" s="6" t="str">
        <f aca="false">A1516&amp;";"&amp;B1516&amp;";"&amp;C1516</f>
        <v>23.67287749;104.2298028;28.8654168173677</v>
      </c>
      <c r="M1516" s="6" t="n">
        <f aca="false">IF(COUNTIF($L$2:$L$2201,L1516)&gt;1,1,0)</f>
        <v>0</v>
      </c>
      <c r="N1516" s="6" t="str">
        <f aca="false">IF(AND(C1516&lt;Assumptions!$B$9,B1516&lt;Assumptions!$B$10),"Irrigate Now",IF(AND(C1516&gt;=Assumptions!$B$11,B1516&gt;=Assumptions!$B$12),"No Irrigation Needed","Monitor"))</f>
        <v>No Irrigation Needed</v>
      </c>
      <c r="O1516" s="6" t="n">
        <f aca="false">IF(N1516=G1516,1,0)</f>
        <v>1</v>
      </c>
    </row>
    <row r="1517" customFormat="false" ht="15" hidden="false" customHeight="false" outlineLevel="0" collapsed="false">
      <c r="A1517" s="16" t="n">
        <v>23.76881552</v>
      </c>
      <c r="B1517" s="16" t="n">
        <v>102.2648546</v>
      </c>
      <c r="C1517" s="16" t="n">
        <v>12.0789952692731</v>
      </c>
      <c r="D1517" s="6" t="s">
        <v>57</v>
      </c>
      <c r="E1517" s="6" t="s">
        <v>57</v>
      </c>
      <c r="F1517" s="6" t="s">
        <v>24</v>
      </c>
      <c r="G1517" s="6" t="s">
        <v>61</v>
      </c>
      <c r="H1517" s="6" t="s">
        <v>63</v>
      </c>
      <c r="I1517" s="6" t="str">
        <f aca="false">IF(A1517&lt;Outliers!$E$6,"Low",IF(A1517&gt;Outliers!$F$6,"High",""))</f>
        <v/>
      </c>
      <c r="J1517" s="6" t="str">
        <f aca="false">IF(B1517&lt;Outliers!$E$7,"Low",IF(B1517&gt;Outliers!$F$7,"High",""))</f>
        <v/>
      </c>
      <c r="K1517" s="6" t="str">
        <f aca="false">IF(C1517&lt;Outliers!$E$8,"Low",IF(C1517&gt;Outliers!$F$8,"High",""))</f>
        <v/>
      </c>
      <c r="L1517" s="6" t="str">
        <f aca="false">A1517&amp;";"&amp;B1517&amp;";"&amp;C1517</f>
        <v>23.76881552;102.2648546;12.0789952692731</v>
      </c>
      <c r="M1517" s="6" t="n">
        <f aca="false">IF(COUNTIF($L$2:$L$2201,L1517)&gt;1,1,0)</f>
        <v>0</v>
      </c>
      <c r="N1517" s="6" t="str">
        <f aca="false">IF(AND(C1517&lt;Assumptions!$B$9,B1517&lt;Assumptions!$B$10),"Irrigate Now",IF(AND(C1517&gt;=Assumptions!$B$11,B1517&gt;=Assumptions!$B$12),"No Irrigation Needed","Monitor"))</f>
        <v>Monitor</v>
      </c>
      <c r="O1517" s="6" t="n">
        <f aca="false">IF(N1517=G1517,1,0)</f>
        <v>1</v>
      </c>
    </row>
    <row r="1518" customFormat="false" ht="15" hidden="false" customHeight="false" outlineLevel="0" collapsed="false">
      <c r="A1518" s="16" t="n">
        <v>23.34386401</v>
      </c>
      <c r="B1518" s="16" t="n">
        <v>104.4267991</v>
      </c>
      <c r="C1518" s="16" t="n">
        <v>22.2344323142514</v>
      </c>
      <c r="D1518" s="6" t="s">
        <v>57</v>
      </c>
      <c r="E1518" s="6" t="s">
        <v>57</v>
      </c>
      <c r="F1518" s="6" t="s">
        <v>60</v>
      </c>
      <c r="G1518" s="6" t="s">
        <v>61</v>
      </c>
      <c r="H1518" s="6" t="s">
        <v>63</v>
      </c>
      <c r="I1518" s="6" t="str">
        <f aca="false">IF(A1518&lt;Outliers!$E$6,"Low",IF(A1518&gt;Outliers!$F$6,"High",""))</f>
        <v/>
      </c>
      <c r="J1518" s="6" t="str">
        <f aca="false">IF(B1518&lt;Outliers!$E$7,"Low",IF(B1518&gt;Outliers!$F$7,"High",""))</f>
        <v/>
      </c>
      <c r="K1518" s="6" t="str">
        <f aca="false">IF(C1518&lt;Outliers!$E$8,"Low",IF(C1518&gt;Outliers!$F$8,"High",""))</f>
        <v/>
      </c>
      <c r="L1518" s="6" t="str">
        <f aca="false">A1518&amp;";"&amp;B1518&amp;";"&amp;C1518</f>
        <v>23.34386401;104.4267991;22.2344323142514</v>
      </c>
      <c r="M1518" s="6" t="n">
        <f aca="false">IF(COUNTIF($L$2:$L$2201,L1518)&gt;1,1,0)</f>
        <v>0</v>
      </c>
      <c r="N1518" s="6" t="str">
        <f aca="false">IF(AND(C1518&lt;Assumptions!$B$9,B1518&lt;Assumptions!$B$10),"Irrigate Now",IF(AND(C1518&gt;=Assumptions!$B$11,B1518&gt;=Assumptions!$B$12),"No Irrigation Needed","Monitor"))</f>
        <v>Monitor</v>
      </c>
      <c r="O1518" s="6" t="n">
        <f aca="false">IF(N1518=G1518,1,0)</f>
        <v>1</v>
      </c>
    </row>
    <row r="1519" customFormat="false" ht="15" hidden="false" customHeight="false" outlineLevel="0" collapsed="false">
      <c r="A1519" s="16" t="n">
        <v>22.63946441</v>
      </c>
      <c r="B1519" s="16" t="n">
        <v>108.3405879</v>
      </c>
      <c r="C1519" s="16" t="n">
        <v>23.7100686759417</v>
      </c>
      <c r="D1519" s="6" t="s">
        <v>57</v>
      </c>
      <c r="E1519" s="6" t="s">
        <v>57</v>
      </c>
      <c r="F1519" s="6" t="s">
        <v>23</v>
      </c>
      <c r="G1519" s="6" t="s">
        <v>61</v>
      </c>
      <c r="H1519" s="6" t="s">
        <v>63</v>
      </c>
      <c r="I1519" s="6" t="str">
        <f aca="false">IF(A1519&lt;Outliers!$E$6,"Low",IF(A1519&gt;Outliers!$F$6,"High",""))</f>
        <v/>
      </c>
      <c r="J1519" s="6" t="str">
        <f aca="false">IF(B1519&lt;Outliers!$E$7,"Low",IF(B1519&gt;Outliers!$F$7,"High",""))</f>
        <v/>
      </c>
      <c r="K1519" s="6" t="str">
        <f aca="false">IF(C1519&lt;Outliers!$E$8,"Low",IF(C1519&gt;Outliers!$F$8,"High",""))</f>
        <v/>
      </c>
      <c r="L1519" s="6" t="str">
        <f aca="false">A1519&amp;";"&amp;B1519&amp;";"&amp;C1519</f>
        <v>22.63946441;108.3405879;23.7100686759417</v>
      </c>
      <c r="M1519" s="6" t="n">
        <f aca="false">IF(COUNTIF($L$2:$L$2201,L1519)&gt;1,1,0)</f>
        <v>0</v>
      </c>
      <c r="N1519" s="6" t="str">
        <f aca="false">IF(AND(C1519&lt;Assumptions!$B$9,B1519&lt;Assumptions!$B$10),"Irrigate Now",IF(AND(C1519&gt;=Assumptions!$B$11,B1519&gt;=Assumptions!$B$12),"No Irrigation Needed","Monitor"))</f>
        <v>Monitor</v>
      </c>
      <c r="O1519" s="6" t="n">
        <f aca="false">IF(N1519=G1519,1,0)</f>
        <v>1</v>
      </c>
    </row>
    <row r="1520" customFormat="false" ht="15" hidden="false" customHeight="false" outlineLevel="0" collapsed="false">
      <c r="A1520" s="16" t="n">
        <v>22.45696744</v>
      </c>
      <c r="B1520" s="16" t="n">
        <v>114.8407725</v>
      </c>
      <c r="C1520" s="16" t="n">
        <v>12.4667609325677</v>
      </c>
      <c r="D1520" s="6" t="s">
        <v>57</v>
      </c>
      <c r="E1520" s="6" t="s">
        <v>57</v>
      </c>
      <c r="F1520" s="6" t="s">
        <v>24</v>
      </c>
      <c r="G1520" s="6" t="s">
        <v>61</v>
      </c>
      <c r="H1520" s="6" t="s">
        <v>63</v>
      </c>
      <c r="I1520" s="6" t="str">
        <f aca="false">IF(A1520&lt;Outliers!$E$6,"Low",IF(A1520&gt;Outliers!$F$6,"High",""))</f>
        <v/>
      </c>
      <c r="J1520" s="6" t="str">
        <f aca="false">IF(B1520&lt;Outliers!$E$7,"Low",IF(B1520&gt;Outliers!$F$7,"High",""))</f>
        <v/>
      </c>
      <c r="K1520" s="6" t="str">
        <f aca="false">IF(C1520&lt;Outliers!$E$8,"Low",IF(C1520&gt;Outliers!$F$8,"High",""))</f>
        <v/>
      </c>
      <c r="L1520" s="6" t="str">
        <f aca="false">A1520&amp;";"&amp;B1520&amp;";"&amp;C1520</f>
        <v>22.45696744;114.8407725;12.4667609325677</v>
      </c>
      <c r="M1520" s="6" t="n">
        <f aca="false">IF(COUNTIF($L$2:$L$2201,L1520)&gt;1,1,0)</f>
        <v>0</v>
      </c>
      <c r="N1520" s="6" t="str">
        <f aca="false">IF(AND(C1520&lt;Assumptions!$B$9,B1520&lt;Assumptions!$B$10),"Irrigate Now",IF(AND(C1520&gt;=Assumptions!$B$11,B1520&gt;=Assumptions!$B$12),"No Irrigation Needed","Monitor"))</f>
        <v>Monitor</v>
      </c>
      <c r="O1520" s="6" t="n">
        <f aca="false">IF(N1520=G1520,1,0)</f>
        <v>1</v>
      </c>
    </row>
    <row r="1521" customFormat="false" ht="15" hidden="false" customHeight="false" outlineLevel="0" collapsed="false">
      <c r="A1521" s="16" t="n">
        <v>22.96388477</v>
      </c>
      <c r="B1521" s="16" t="n">
        <v>104.6472986</v>
      </c>
      <c r="C1521" s="16" t="n">
        <v>24.5281834173446</v>
      </c>
      <c r="D1521" s="6" t="s">
        <v>57</v>
      </c>
      <c r="E1521" s="6" t="s">
        <v>57</v>
      </c>
      <c r="F1521" s="6" t="s">
        <v>23</v>
      </c>
      <c r="G1521" s="6" t="s">
        <v>61</v>
      </c>
      <c r="H1521" s="6" t="s">
        <v>63</v>
      </c>
      <c r="I1521" s="6" t="str">
        <f aca="false">IF(A1521&lt;Outliers!$E$6,"Low",IF(A1521&gt;Outliers!$F$6,"High",""))</f>
        <v/>
      </c>
      <c r="J1521" s="6" t="str">
        <f aca="false">IF(B1521&lt;Outliers!$E$7,"Low",IF(B1521&gt;Outliers!$F$7,"High",""))</f>
        <v/>
      </c>
      <c r="K1521" s="6" t="str">
        <f aca="false">IF(C1521&lt;Outliers!$E$8,"Low",IF(C1521&gt;Outliers!$F$8,"High",""))</f>
        <v/>
      </c>
      <c r="L1521" s="6" t="str">
        <f aca="false">A1521&amp;";"&amp;B1521&amp;";"&amp;C1521</f>
        <v>22.96388477;104.6472986;24.5281834173446</v>
      </c>
      <c r="M1521" s="6" t="n">
        <f aca="false">IF(COUNTIF($L$2:$L$2201,L1521)&gt;1,1,0)</f>
        <v>0</v>
      </c>
      <c r="N1521" s="6" t="str">
        <f aca="false">IF(AND(C1521&lt;Assumptions!$B$9,B1521&lt;Assumptions!$B$10),"Irrigate Now",IF(AND(C1521&gt;=Assumptions!$B$11,B1521&gt;=Assumptions!$B$12),"No Irrigation Needed","Monitor"))</f>
        <v>Monitor</v>
      </c>
      <c r="O1521" s="6" t="n">
        <f aca="false">IF(N1521=G1521,1,0)</f>
        <v>1</v>
      </c>
    </row>
    <row r="1522" customFormat="false" ht="15" hidden="false" customHeight="false" outlineLevel="0" collapsed="false">
      <c r="A1522" s="16" t="n">
        <v>21.07273439</v>
      </c>
      <c r="B1522" s="16" t="n">
        <v>107.8737015</v>
      </c>
      <c r="C1522" s="16" t="n">
        <v>19.7717784806339</v>
      </c>
      <c r="D1522" s="6" t="s">
        <v>57</v>
      </c>
      <c r="E1522" s="6" t="s">
        <v>57</v>
      </c>
      <c r="F1522" s="6" t="s">
        <v>60</v>
      </c>
      <c r="G1522" s="6" t="s">
        <v>61</v>
      </c>
      <c r="H1522" s="6" t="s">
        <v>63</v>
      </c>
      <c r="I1522" s="6" t="str">
        <f aca="false">IF(A1522&lt;Outliers!$E$6,"Low",IF(A1522&gt;Outliers!$F$6,"High",""))</f>
        <v/>
      </c>
      <c r="J1522" s="6" t="str">
        <f aca="false">IF(B1522&lt;Outliers!$E$7,"Low",IF(B1522&gt;Outliers!$F$7,"High",""))</f>
        <v/>
      </c>
      <c r="K1522" s="6" t="str">
        <f aca="false">IF(C1522&lt;Outliers!$E$8,"Low",IF(C1522&gt;Outliers!$F$8,"High",""))</f>
        <v/>
      </c>
      <c r="L1522" s="6" t="str">
        <f aca="false">A1522&amp;";"&amp;B1522&amp;";"&amp;C1522</f>
        <v>21.07273439;107.8737015;19.7717784806339</v>
      </c>
      <c r="M1522" s="6" t="n">
        <f aca="false">IF(COUNTIF($L$2:$L$2201,L1522)&gt;1,1,0)</f>
        <v>0</v>
      </c>
      <c r="N1522" s="6" t="str">
        <f aca="false">IF(AND(C1522&lt;Assumptions!$B$9,B1522&lt;Assumptions!$B$10),"Irrigate Now",IF(AND(C1522&gt;=Assumptions!$B$11,B1522&gt;=Assumptions!$B$12),"No Irrigation Needed","Monitor"))</f>
        <v>Monitor</v>
      </c>
      <c r="O1522" s="6" t="n">
        <f aca="false">IF(N1522=G1522,1,0)</f>
        <v>1</v>
      </c>
    </row>
    <row r="1523" customFormat="false" ht="15" hidden="false" customHeight="false" outlineLevel="0" collapsed="false">
      <c r="A1523" s="16" t="n">
        <v>22.44075021</v>
      </c>
      <c r="B1523" s="16" t="n">
        <v>121.4977331</v>
      </c>
      <c r="C1523" s="16" t="n">
        <v>25.6964391025437</v>
      </c>
      <c r="D1523" s="6" t="s">
        <v>57</v>
      </c>
      <c r="E1523" s="6" t="s">
        <v>57</v>
      </c>
      <c r="F1523" s="6" t="s">
        <v>23</v>
      </c>
      <c r="G1523" s="6" t="s">
        <v>58</v>
      </c>
      <c r="H1523" s="6" t="s">
        <v>59</v>
      </c>
      <c r="I1523" s="6" t="str">
        <f aca="false">IF(A1523&lt;Outliers!$E$6,"Low",IF(A1523&gt;Outliers!$F$6,"High",""))</f>
        <v/>
      </c>
      <c r="J1523" s="6" t="str">
        <f aca="false">IF(B1523&lt;Outliers!$E$7,"Low",IF(B1523&gt;Outliers!$F$7,"High",""))</f>
        <v/>
      </c>
      <c r="K1523" s="6" t="str">
        <f aca="false">IF(C1523&lt;Outliers!$E$8,"Low",IF(C1523&gt;Outliers!$F$8,"High",""))</f>
        <v/>
      </c>
      <c r="L1523" s="6" t="str">
        <f aca="false">A1523&amp;";"&amp;B1523&amp;";"&amp;C1523</f>
        <v>22.44075021;121.4977331;25.6964391025437</v>
      </c>
      <c r="M1523" s="6" t="n">
        <f aca="false">IF(COUNTIF($L$2:$L$2201,L1523)&gt;1,1,0)</f>
        <v>0</v>
      </c>
      <c r="N1523" s="6" t="str">
        <f aca="false">IF(AND(C1523&lt;Assumptions!$B$9,B1523&lt;Assumptions!$B$10),"Irrigate Now",IF(AND(C1523&gt;=Assumptions!$B$11,B1523&gt;=Assumptions!$B$12),"No Irrigation Needed","Monitor"))</f>
        <v>No Irrigation Needed</v>
      </c>
      <c r="O1523" s="6" t="n">
        <f aca="false">IF(N1523=G1523,1,0)</f>
        <v>1</v>
      </c>
    </row>
    <row r="1524" customFormat="false" ht="15" hidden="false" customHeight="false" outlineLevel="0" collapsed="false">
      <c r="A1524" s="16" t="n">
        <v>22.71271308</v>
      </c>
      <c r="B1524" s="16" t="n">
        <v>109.8852597</v>
      </c>
      <c r="C1524" s="16" t="n">
        <v>10.1885385298449</v>
      </c>
      <c r="D1524" s="6" t="s">
        <v>57</v>
      </c>
      <c r="E1524" s="6" t="s">
        <v>57</v>
      </c>
      <c r="F1524" s="6" t="s">
        <v>24</v>
      </c>
      <c r="G1524" s="6" t="s">
        <v>61</v>
      </c>
      <c r="H1524" s="6" t="s">
        <v>63</v>
      </c>
      <c r="I1524" s="6" t="str">
        <f aca="false">IF(A1524&lt;Outliers!$E$6,"Low",IF(A1524&gt;Outliers!$F$6,"High",""))</f>
        <v/>
      </c>
      <c r="J1524" s="6" t="str">
        <f aca="false">IF(B1524&lt;Outliers!$E$7,"Low",IF(B1524&gt;Outliers!$F$7,"High",""))</f>
        <v/>
      </c>
      <c r="K1524" s="6" t="str">
        <f aca="false">IF(C1524&lt;Outliers!$E$8,"Low",IF(C1524&gt;Outliers!$F$8,"High",""))</f>
        <v/>
      </c>
      <c r="L1524" s="6" t="str">
        <f aca="false">A1524&amp;";"&amp;B1524&amp;";"&amp;C1524</f>
        <v>22.71271308;109.8852597;10.1885385298449</v>
      </c>
      <c r="M1524" s="6" t="n">
        <f aca="false">IF(COUNTIF($L$2:$L$2201,L1524)&gt;1,1,0)</f>
        <v>0</v>
      </c>
      <c r="N1524" s="6" t="str">
        <f aca="false">IF(AND(C1524&lt;Assumptions!$B$9,B1524&lt;Assumptions!$B$10),"Irrigate Now",IF(AND(C1524&gt;=Assumptions!$B$11,B1524&gt;=Assumptions!$B$12),"No Irrigation Needed","Monitor"))</f>
        <v>Monitor</v>
      </c>
      <c r="O1524" s="6" t="n">
        <f aca="false">IF(N1524=G1524,1,0)</f>
        <v>1</v>
      </c>
    </row>
    <row r="1525" customFormat="false" ht="15" hidden="false" customHeight="false" outlineLevel="0" collapsed="false">
      <c r="A1525" s="16" t="n">
        <v>21.70416965</v>
      </c>
      <c r="B1525" s="16" t="n">
        <v>115.1781396</v>
      </c>
      <c r="C1525" s="16" t="n">
        <v>22.7523037255761</v>
      </c>
      <c r="D1525" s="6" t="s">
        <v>57</v>
      </c>
      <c r="E1525" s="6" t="s">
        <v>57</v>
      </c>
      <c r="F1525" s="6" t="s">
        <v>60</v>
      </c>
      <c r="G1525" s="6" t="s">
        <v>61</v>
      </c>
      <c r="H1525" s="6" t="s">
        <v>63</v>
      </c>
      <c r="I1525" s="6" t="str">
        <f aca="false">IF(A1525&lt;Outliers!$E$6,"Low",IF(A1525&gt;Outliers!$F$6,"High",""))</f>
        <v/>
      </c>
      <c r="J1525" s="6" t="str">
        <f aca="false">IF(B1525&lt;Outliers!$E$7,"Low",IF(B1525&gt;Outliers!$F$7,"High",""))</f>
        <v/>
      </c>
      <c r="K1525" s="6" t="str">
        <f aca="false">IF(C1525&lt;Outliers!$E$8,"Low",IF(C1525&gt;Outliers!$F$8,"High",""))</f>
        <v/>
      </c>
      <c r="L1525" s="6" t="str">
        <f aca="false">A1525&amp;";"&amp;B1525&amp;";"&amp;C1525</f>
        <v>21.70416965;115.1781396;22.7523037255761</v>
      </c>
      <c r="M1525" s="6" t="n">
        <f aca="false">IF(COUNTIF($L$2:$L$2201,L1525)&gt;1,1,0)</f>
        <v>0</v>
      </c>
      <c r="N1525" s="6" t="str">
        <f aca="false">IF(AND(C1525&lt;Assumptions!$B$9,B1525&lt;Assumptions!$B$10),"Irrigate Now",IF(AND(C1525&gt;=Assumptions!$B$11,B1525&gt;=Assumptions!$B$12),"No Irrigation Needed","Monitor"))</f>
        <v>Monitor</v>
      </c>
      <c r="O1525" s="6" t="n">
        <f aca="false">IF(N1525=G1525,1,0)</f>
        <v>1</v>
      </c>
    </row>
    <row r="1526" customFormat="false" ht="15" hidden="false" customHeight="false" outlineLevel="0" collapsed="false">
      <c r="A1526" s="16" t="n">
        <v>22.43324518</v>
      </c>
      <c r="B1526" s="16" t="n">
        <v>119.1025189</v>
      </c>
      <c r="C1526" s="16" t="n">
        <v>29.1916825336545</v>
      </c>
      <c r="D1526" s="6" t="s">
        <v>57</v>
      </c>
      <c r="E1526" s="6" t="s">
        <v>57</v>
      </c>
      <c r="F1526" s="6" t="s">
        <v>23</v>
      </c>
      <c r="G1526" s="6" t="s">
        <v>58</v>
      </c>
      <c r="H1526" s="6" t="s">
        <v>59</v>
      </c>
      <c r="I1526" s="6" t="str">
        <f aca="false">IF(A1526&lt;Outliers!$E$6,"Low",IF(A1526&gt;Outliers!$F$6,"High",""))</f>
        <v/>
      </c>
      <c r="J1526" s="6" t="str">
        <f aca="false">IF(B1526&lt;Outliers!$E$7,"Low",IF(B1526&gt;Outliers!$F$7,"High",""))</f>
        <v/>
      </c>
      <c r="K1526" s="6" t="str">
        <f aca="false">IF(C1526&lt;Outliers!$E$8,"Low",IF(C1526&gt;Outliers!$F$8,"High",""))</f>
        <v/>
      </c>
      <c r="L1526" s="6" t="str">
        <f aca="false">A1526&amp;";"&amp;B1526&amp;";"&amp;C1526</f>
        <v>22.43324518;119.1025189;29.1916825336545</v>
      </c>
      <c r="M1526" s="6" t="n">
        <f aca="false">IF(COUNTIF($L$2:$L$2201,L1526)&gt;1,1,0)</f>
        <v>0</v>
      </c>
      <c r="N1526" s="6" t="str">
        <f aca="false">IF(AND(C1526&lt;Assumptions!$B$9,B1526&lt;Assumptions!$B$10),"Irrigate Now",IF(AND(C1526&gt;=Assumptions!$B$11,B1526&gt;=Assumptions!$B$12),"No Irrigation Needed","Monitor"))</f>
        <v>No Irrigation Needed</v>
      </c>
      <c r="O1526" s="6" t="n">
        <f aca="false">IF(N1526=G1526,1,0)</f>
        <v>1</v>
      </c>
    </row>
    <row r="1527" customFormat="false" ht="15" hidden="false" customHeight="false" outlineLevel="0" collapsed="false">
      <c r="A1527" s="16" t="n">
        <v>21.25941052</v>
      </c>
      <c r="B1527" s="16" t="n">
        <v>109.0658471</v>
      </c>
      <c r="C1527" s="16" t="n">
        <v>29.0409545932418</v>
      </c>
      <c r="D1527" s="6" t="s">
        <v>57</v>
      </c>
      <c r="E1527" s="6" t="s">
        <v>57</v>
      </c>
      <c r="F1527" s="6" t="s">
        <v>23</v>
      </c>
      <c r="G1527" s="6" t="s">
        <v>58</v>
      </c>
      <c r="H1527" s="6" t="s">
        <v>59</v>
      </c>
      <c r="I1527" s="6" t="str">
        <f aca="false">IF(A1527&lt;Outliers!$E$6,"Low",IF(A1527&gt;Outliers!$F$6,"High",""))</f>
        <v/>
      </c>
      <c r="J1527" s="6" t="str">
        <f aca="false">IF(B1527&lt;Outliers!$E$7,"Low",IF(B1527&gt;Outliers!$F$7,"High",""))</f>
        <v/>
      </c>
      <c r="K1527" s="6" t="str">
        <f aca="false">IF(C1527&lt;Outliers!$E$8,"Low",IF(C1527&gt;Outliers!$F$8,"High",""))</f>
        <v/>
      </c>
      <c r="L1527" s="6" t="str">
        <f aca="false">A1527&amp;";"&amp;B1527&amp;";"&amp;C1527</f>
        <v>21.25941052;109.0658471;29.0409545932418</v>
      </c>
      <c r="M1527" s="6" t="n">
        <f aca="false">IF(COUNTIF($L$2:$L$2201,L1527)&gt;1,1,0)</f>
        <v>0</v>
      </c>
      <c r="N1527" s="6" t="str">
        <f aca="false">IF(AND(C1527&lt;Assumptions!$B$9,B1527&lt;Assumptions!$B$10),"Irrigate Now",IF(AND(C1527&gt;=Assumptions!$B$11,B1527&gt;=Assumptions!$B$12),"No Irrigation Needed","Monitor"))</f>
        <v>No Irrigation Needed</v>
      </c>
      <c r="O1527" s="6" t="n">
        <f aca="false">IF(N1527=G1527,1,0)</f>
        <v>1</v>
      </c>
    </row>
    <row r="1528" customFormat="false" ht="15" hidden="false" customHeight="false" outlineLevel="0" collapsed="false">
      <c r="A1528" s="16" t="n">
        <v>22.9215706</v>
      </c>
      <c r="B1528" s="16" t="n">
        <v>105.6941544</v>
      </c>
      <c r="C1528" s="16" t="n">
        <v>11.7966836034163</v>
      </c>
      <c r="D1528" s="6" t="s">
        <v>57</v>
      </c>
      <c r="E1528" s="6" t="s">
        <v>57</v>
      </c>
      <c r="F1528" s="6" t="s">
        <v>24</v>
      </c>
      <c r="G1528" s="6" t="s">
        <v>61</v>
      </c>
      <c r="H1528" s="6" t="s">
        <v>63</v>
      </c>
      <c r="I1528" s="6" t="str">
        <f aca="false">IF(A1528&lt;Outliers!$E$6,"Low",IF(A1528&gt;Outliers!$F$6,"High",""))</f>
        <v/>
      </c>
      <c r="J1528" s="6" t="str">
        <f aca="false">IF(B1528&lt;Outliers!$E$7,"Low",IF(B1528&gt;Outliers!$F$7,"High",""))</f>
        <v/>
      </c>
      <c r="K1528" s="6" t="str">
        <f aca="false">IF(C1528&lt;Outliers!$E$8,"Low",IF(C1528&gt;Outliers!$F$8,"High",""))</f>
        <v/>
      </c>
      <c r="L1528" s="6" t="str">
        <f aca="false">A1528&amp;";"&amp;B1528&amp;";"&amp;C1528</f>
        <v>22.9215706;105.6941544;11.7966836034163</v>
      </c>
      <c r="M1528" s="6" t="n">
        <f aca="false">IF(COUNTIF($L$2:$L$2201,L1528)&gt;1,1,0)</f>
        <v>0</v>
      </c>
      <c r="N1528" s="6" t="str">
        <f aca="false">IF(AND(C1528&lt;Assumptions!$B$9,B1528&lt;Assumptions!$B$10),"Irrigate Now",IF(AND(C1528&gt;=Assumptions!$B$11,B1528&gt;=Assumptions!$B$12),"No Irrigation Needed","Monitor"))</f>
        <v>Monitor</v>
      </c>
      <c r="O1528" s="6" t="n">
        <f aca="false">IF(N1528=G1528,1,0)</f>
        <v>1</v>
      </c>
    </row>
    <row r="1529" customFormat="false" ht="15" hidden="false" customHeight="false" outlineLevel="0" collapsed="false">
      <c r="A1529" s="16" t="n">
        <v>22.81212536</v>
      </c>
      <c r="B1529" s="16" t="n">
        <v>107.855225</v>
      </c>
      <c r="C1529" s="16" t="n">
        <v>14.0775759393673</v>
      </c>
      <c r="D1529" s="6" t="s">
        <v>57</v>
      </c>
      <c r="E1529" s="6" t="s">
        <v>57</v>
      </c>
      <c r="F1529" s="6" t="s">
        <v>24</v>
      </c>
      <c r="G1529" s="6" t="s">
        <v>61</v>
      </c>
      <c r="H1529" s="6" t="s">
        <v>63</v>
      </c>
      <c r="I1529" s="6" t="str">
        <f aca="false">IF(A1529&lt;Outliers!$E$6,"Low",IF(A1529&gt;Outliers!$F$6,"High",""))</f>
        <v/>
      </c>
      <c r="J1529" s="6" t="str">
        <f aca="false">IF(B1529&lt;Outliers!$E$7,"Low",IF(B1529&gt;Outliers!$F$7,"High",""))</f>
        <v/>
      </c>
      <c r="K1529" s="6" t="str">
        <f aca="false">IF(C1529&lt;Outliers!$E$8,"Low",IF(C1529&gt;Outliers!$F$8,"High",""))</f>
        <v/>
      </c>
      <c r="L1529" s="6" t="str">
        <f aca="false">A1529&amp;";"&amp;B1529&amp;";"&amp;C1529</f>
        <v>22.81212536;107.855225;14.0775759393673</v>
      </c>
      <c r="M1529" s="6" t="n">
        <f aca="false">IF(COUNTIF($L$2:$L$2201,L1529)&gt;1,1,0)</f>
        <v>0</v>
      </c>
      <c r="N1529" s="6" t="str">
        <f aca="false">IF(AND(C1529&lt;Assumptions!$B$9,B1529&lt;Assumptions!$B$10),"Irrigate Now",IF(AND(C1529&gt;=Assumptions!$B$11,B1529&gt;=Assumptions!$B$12),"No Irrigation Needed","Monitor"))</f>
        <v>Monitor</v>
      </c>
      <c r="O1529" s="6" t="n">
        <f aca="false">IF(N1529=G1529,1,0)</f>
        <v>1</v>
      </c>
    </row>
    <row r="1530" customFormat="false" ht="15" hidden="false" customHeight="false" outlineLevel="0" collapsed="false">
      <c r="A1530" s="16" t="n">
        <v>21.12152071</v>
      </c>
      <c r="B1530" s="16" t="n">
        <v>102.8017203</v>
      </c>
      <c r="C1530" s="16" t="n">
        <v>28.3917169655455</v>
      </c>
      <c r="D1530" s="6" t="s">
        <v>57</v>
      </c>
      <c r="E1530" s="6" t="s">
        <v>57</v>
      </c>
      <c r="F1530" s="6" t="s">
        <v>23</v>
      </c>
      <c r="G1530" s="6" t="s">
        <v>58</v>
      </c>
      <c r="H1530" s="6" t="s">
        <v>59</v>
      </c>
      <c r="I1530" s="6" t="str">
        <f aca="false">IF(A1530&lt;Outliers!$E$6,"Low",IF(A1530&gt;Outliers!$F$6,"High",""))</f>
        <v/>
      </c>
      <c r="J1530" s="6" t="str">
        <f aca="false">IF(B1530&lt;Outliers!$E$7,"Low",IF(B1530&gt;Outliers!$F$7,"High",""))</f>
        <v/>
      </c>
      <c r="K1530" s="6" t="str">
        <f aca="false">IF(C1530&lt;Outliers!$E$8,"Low",IF(C1530&gt;Outliers!$F$8,"High",""))</f>
        <v/>
      </c>
      <c r="L1530" s="6" t="str">
        <f aca="false">A1530&amp;";"&amp;B1530&amp;";"&amp;C1530</f>
        <v>21.12152071;102.8017203;28.3917169655455</v>
      </c>
      <c r="M1530" s="6" t="n">
        <f aca="false">IF(COUNTIF($L$2:$L$2201,L1530)&gt;1,1,0)</f>
        <v>0</v>
      </c>
      <c r="N1530" s="6" t="str">
        <f aca="false">IF(AND(C1530&lt;Assumptions!$B$9,B1530&lt;Assumptions!$B$10),"Irrigate Now",IF(AND(C1530&gt;=Assumptions!$B$11,B1530&gt;=Assumptions!$B$12),"No Irrigation Needed","Monitor"))</f>
        <v>No Irrigation Needed</v>
      </c>
      <c r="O1530" s="6" t="n">
        <f aca="false">IF(N1530=G1530,1,0)</f>
        <v>1</v>
      </c>
    </row>
    <row r="1531" customFormat="false" ht="15" hidden="false" customHeight="false" outlineLevel="0" collapsed="false">
      <c r="A1531" s="16" t="n">
        <v>21.11478672</v>
      </c>
      <c r="B1531" s="16" t="n">
        <v>104.5086618</v>
      </c>
      <c r="C1531" s="16" t="n">
        <v>24.8577905899633</v>
      </c>
      <c r="D1531" s="6" t="s">
        <v>57</v>
      </c>
      <c r="E1531" s="6" t="s">
        <v>57</v>
      </c>
      <c r="F1531" s="6" t="s">
        <v>23</v>
      </c>
      <c r="G1531" s="6" t="s">
        <v>61</v>
      </c>
      <c r="H1531" s="6" t="s">
        <v>63</v>
      </c>
      <c r="I1531" s="6" t="str">
        <f aca="false">IF(A1531&lt;Outliers!$E$6,"Low",IF(A1531&gt;Outliers!$F$6,"High",""))</f>
        <v/>
      </c>
      <c r="J1531" s="6" t="str">
        <f aca="false">IF(B1531&lt;Outliers!$E$7,"Low",IF(B1531&gt;Outliers!$F$7,"High",""))</f>
        <v/>
      </c>
      <c r="K1531" s="6" t="str">
        <f aca="false">IF(C1531&lt;Outliers!$E$8,"Low",IF(C1531&gt;Outliers!$F$8,"High",""))</f>
        <v/>
      </c>
      <c r="L1531" s="6" t="str">
        <f aca="false">A1531&amp;";"&amp;B1531&amp;";"&amp;C1531</f>
        <v>21.11478672;104.5086618;24.8577905899633</v>
      </c>
      <c r="M1531" s="6" t="n">
        <f aca="false">IF(COUNTIF($L$2:$L$2201,L1531)&gt;1,1,0)</f>
        <v>0</v>
      </c>
      <c r="N1531" s="6" t="str">
        <f aca="false">IF(AND(C1531&lt;Assumptions!$B$9,B1531&lt;Assumptions!$B$10),"Irrigate Now",IF(AND(C1531&gt;=Assumptions!$B$11,B1531&gt;=Assumptions!$B$12),"No Irrigation Needed","Monitor"))</f>
        <v>Monitor</v>
      </c>
      <c r="O1531" s="6" t="n">
        <f aca="false">IF(N1531=G1531,1,0)</f>
        <v>1</v>
      </c>
    </row>
    <row r="1532" customFormat="false" ht="15" hidden="false" customHeight="false" outlineLevel="0" collapsed="false">
      <c r="A1532" s="16" t="n">
        <v>23.59997268</v>
      </c>
      <c r="B1532" s="16" t="n">
        <v>107.1728191</v>
      </c>
      <c r="C1532" s="16" t="n">
        <v>11.3279624067003</v>
      </c>
      <c r="D1532" s="6" t="s">
        <v>57</v>
      </c>
      <c r="E1532" s="6" t="s">
        <v>57</v>
      </c>
      <c r="F1532" s="6" t="s">
        <v>24</v>
      </c>
      <c r="G1532" s="6" t="s">
        <v>61</v>
      </c>
      <c r="H1532" s="6" t="s">
        <v>63</v>
      </c>
      <c r="I1532" s="6" t="str">
        <f aca="false">IF(A1532&lt;Outliers!$E$6,"Low",IF(A1532&gt;Outliers!$F$6,"High",""))</f>
        <v/>
      </c>
      <c r="J1532" s="6" t="str">
        <f aca="false">IF(B1532&lt;Outliers!$E$7,"Low",IF(B1532&gt;Outliers!$F$7,"High",""))</f>
        <v/>
      </c>
      <c r="K1532" s="6" t="str">
        <f aca="false">IF(C1532&lt;Outliers!$E$8,"Low",IF(C1532&gt;Outliers!$F$8,"High",""))</f>
        <v/>
      </c>
      <c r="L1532" s="6" t="str">
        <f aca="false">A1532&amp;";"&amp;B1532&amp;";"&amp;C1532</f>
        <v>23.59997268;107.1728191;11.3279624067003</v>
      </c>
      <c r="M1532" s="6" t="n">
        <f aca="false">IF(COUNTIF($L$2:$L$2201,L1532)&gt;1,1,0)</f>
        <v>0</v>
      </c>
      <c r="N1532" s="6" t="str">
        <f aca="false">IF(AND(C1532&lt;Assumptions!$B$9,B1532&lt;Assumptions!$B$10),"Irrigate Now",IF(AND(C1532&gt;=Assumptions!$B$11,B1532&gt;=Assumptions!$B$12),"No Irrigation Needed","Monitor"))</f>
        <v>Monitor</v>
      </c>
      <c r="O1532" s="6" t="n">
        <f aca="false">IF(N1532=G1532,1,0)</f>
        <v>1</v>
      </c>
    </row>
    <row r="1533" customFormat="false" ht="15" hidden="false" customHeight="false" outlineLevel="0" collapsed="false">
      <c r="A1533" s="16" t="n">
        <v>23.12652652</v>
      </c>
      <c r="B1533" s="16" t="n">
        <v>108.6211833</v>
      </c>
      <c r="C1533" s="16" t="n">
        <v>11.6527554606492</v>
      </c>
      <c r="D1533" s="6" t="s">
        <v>57</v>
      </c>
      <c r="E1533" s="6" t="s">
        <v>57</v>
      </c>
      <c r="F1533" s="6" t="s">
        <v>24</v>
      </c>
      <c r="G1533" s="6" t="s">
        <v>61</v>
      </c>
      <c r="H1533" s="6" t="s">
        <v>63</v>
      </c>
      <c r="I1533" s="6" t="str">
        <f aca="false">IF(A1533&lt;Outliers!$E$6,"Low",IF(A1533&gt;Outliers!$F$6,"High",""))</f>
        <v/>
      </c>
      <c r="J1533" s="6" t="str">
        <f aca="false">IF(B1533&lt;Outliers!$E$7,"Low",IF(B1533&gt;Outliers!$F$7,"High",""))</f>
        <v/>
      </c>
      <c r="K1533" s="6" t="str">
        <f aca="false">IF(C1533&lt;Outliers!$E$8,"Low",IF(C1533&gt;Outliers!$F$8,"High",""))</f>
        <v/>
      </c>
      <c r="L1533" s="6" t="str">
        <f aca="false">A1533&amp;";"&amp;B1533&amp;";"&amp;C1533</f>
        <v>23.12652652;108.6211833;11.6527554606492</v>
      </c>
      <c r="M1533" s="6" t="n">
        <f aca="false">IF(COUNTIF($L$2:$L$2201,L1533)&gt;1,1,0)</f>
        <v>0</v>
      </c>
      <c r="N1533" s="6" t="str">
        <f aca="false">IF(AND(C1533&lt;Assumptions!$B$9,B1533&lt;Assumptions!$B$10),"Irrigate Now",IF(AND(C1533&gt;=Assumptions!$B$11,B1533&gt;=Assumptions!$B$12),"No Irrigation Needed","Monitor"))</f>
        <v>Monitor</v>
      </c>
      <c r="O1533" s="6" t="n">
        <f aca="false">IF(N1533=G1533,1,0)</f>
        <v>1</v>
      </c>
    </row>
    <row r="1534" customFormat="false" ht="15" hidden="false" customHeight="false" outlineLevel="0" collapsed="false">
      <c r="A1534" s="16" t="n">
        <v>22.98458907</v>
      </c>
      <c r="B1534" s="16" t="n">
        <v>122.1952483</v>
      </c>
      <c r="C1534" s="16" t="n">
        <v>11.7056696235544</v>
      </c>
      <c r="D1534" s="6" t="s">
        <v>57</v>
      </c>
      <c r="E1534" s="6" t="s">
        <v>57</v>
      </c>
      <c r="F1534" s="6" t="s">
        <v>24</v>
      </c>
      <c r="G1534" s="6" t="s">
        <v>61</v>
      </c>
      <c r="H1534" s="6" t="s">
        <v>63</v>
      </c>
      <c r="I1534" s="6" t="str">
        <f aca="false">IF(A1534&lt;Outliers!$E$6,"Low",IF(A1534&gt;Outliers!$F$6,"High",""))</f>
        <v/>
      </c>
      <c r="J1534" s="6" t="str">
        <f aca="false">IF(B1534&lt;Outliers!$E$7,"Low",IF(B1534&gt;Outliers!$F$7,"High",""))</f>
        <v/>
      </c>
      <c r="K1534" s="6" t="str">
        <f aca="false">IF(C1534&lt;Outliers!$E$8,"Low",IF(C1534&gt;Outliers!$F$8,"High",""))</f>
        <v/>
      </c>
      <c r="L1534" s="6" t="str">
        <f aca="false">A1534&amp;";"&amp;B1534&amp;";"&amp;C1534</f>
        <v>22.98458907;122.1952483;11.7056696235544</v>
      </c>
      <c r="M1534" s="6" t="n">
        <f aca="false">IF(COUNTIF($L$2:$L$2201,L1534)&gt;1,1,0)</f>
        <v>0</v>
      </c>
      <c r="N1534" s="6" t="str">
        <f aca="false">IF(AND(C1534&lt;Assumptions!$B$9,B1534&lt;Assumptions!$B$10),"Irrigate Now",IF(AND(C1534&gt;=Assumptions!$B$11,B1534&gt;=Assumptions!$B$12),"No Irrigation Needed","Monitor"))</f>
        <v>Monitor</v>
      </c>
      <c r="O1534" s="6" t="n">
        <f aca="false">IF(N1534=G1534,1,0)</f>
        <v>1</v>
      </c>
    </row>
    <row r="1535" customFormat="false" ht="15" hidden="false" customHeight="false" outlineLevel="0" collapsed="false">
      <c r="A1535" s="16" t="n">
        <v>22.12659387</v>
      </c>
      <c r="B1535" s="16" t="n">
        <v>104.5412275</v>
      </c>
      <c r="C1535" s="16" t="n">
        <v>10.7005040711866</v>
      </c>
      <c r="D1535" s="6" t="s">
        <v>57</v>
      </c>
      <c r="E1535" s="6" t="s">
        <v>57</v>
      </c>
      <c r="F1535" s="6" t="s">
        <v>24</v>
      </c>
      <c r="G1535" s="6" t="s">
        <v>61</v>
      </c>
      <c r="H1535" s="6" t="s">
        <v>63</v>
      </c>
      <c r="I1535" s="6" t="str">
        <f aca="false">IF(A1535&lt;Outliers!$E$6,"Low",IF(A1535&gt;Outliers!$F$6,"High",""))</f>
        <v/>
      </c>
      <c r="J1535" s="6" t="str">
        <f aca="false">IF(B1535&lt;Outliers!$E$7,"Low",IF(B1535&gt;Outliers!$F$7,"High",""))</f>
        <v/>
      </c>
      <c r="K1535" s="6" t="str">
        <f aca="false">IF(C1535&lt;Outliers!$E$8,"Low",IF(C1535&gt;Outliers!$F$8,"High",""))</f>
        <v/>
      </c>
      <c r="L1535" s="6" t="str">
        <f aca="false">A1535&amp;";"&amp;B1535&amp;";"&amp;C1535</f>
        <v>22.12659387;104.5412275;10.7005040711866</v>
      </c>
      <c r="M1535" s="6" t="n">
        <f aca="false">IF(COUNTIF($L$2:$L$2201,L1535)&gt;1,1,0)</f>
        <v>0</v>
      </c>
      <c r="N1535" s="6" t="str">
        <f aca="false">IF(AND(C1535&lt;Assumptions!$B$9,B1535&lt;Assumptions!$B$10),"Irrigate Now",IF(AND(C1535&gt;=Assumptions!$B$11,B1535&gt;=Assumptions!$B$12),"No Irrigation Needed","Monitor"))</f>
        <v>Monitor</v>
      </c>
      <c r="O1535" s="6" t="n">
        <f aca="false">IF(N1535=G1535,1,0)</f>
        <v>1</v>
      </c>
    </row>
    <row r="1536" customFormat="false" ht="15" hidden="false" customHeight="false" outlineLevel="0" collapsed="false">
      <c r="A1536" s="16" t="n">
        <v>22.53779727</v>
      </c>
      <c r="B1536" s="16" t="n">
        <v>101.8474768</v>
      </c>
      <c r="C1536" s="16" t="n">
        <v>22.4572821401779</v>
      </c>
      <c r="D1536" s="6" t="s">
        <v>57</v>
      </c>
      <c r="E1536" s="6" t="s">
        <v>57</v>
      </c>
      <c r="F1536" s="6" t="s">
        <v>60</v>
      </c>
      <c r="G1536" s="6" t="s">
        <v>61</v>
      </c>
      <c r="H1536" s="6" t="s">
        <v>63</v>
      </c>
      <c r="I1536" s="6" t="str">
        <f aca="false">IF(A1536&lt;Outliers!$E$6,"Low",IF(A1536&gt;Outliers!$F$6,"High",""))</f>
        <v/>
      </c>
      <c r="J1536" s="6" t="str">
        <f aca="false">IF(B1536&lt;Outliers!$E$7,"Low",IF(B1536&gt;Outliers!$F$7,"High",""))</f>
        <v/>
      </c>
      <c r="K1536" s="6" t="str">
        <f aca="false">IF(C1536&lt;Outliers!$E$8,"Low",IF(C1536&gt;Outliers!$F$8,"High",""))</f>
        <v/>
      </c>
      <c r="L1536" s="6" t="str">
        <f aca="false">A1536&amp;";"&amp;B1536&amp;";"&amp;C1536</f>
        <v>22.53779727;101.8474768;22.4572821401779</v>
      </c>
      <c r="M1536" s="6" t="n">
        <f aca="false">IF(COUNTIF($L$2:$L$2201,L1536)&gt;1,1,0)</f>
        <v>0</v>
      </c>
      <c r="N1536" s="6" t="str">
        <f aca="false">IF(AND(C1536&lt;Assumptions!$B$9,B1536&lt;Assumptions!$B$10),"Irrigate Now",IF(AND(C1536&gt;=Assumptions!$B$11,B1536&gt;=Assumptions!$B$12),"No Irrigation Needed","Monitor"))</f>
        <v>Monitor</v>
      </c>
      <c r="O1536" s="6" t="n">
        <f aca="false">IF(N1536=G1536,1,0)</f>
        <v>1</v>
      </c>
    </row>
    <row r="1537" customFormat="false" ht="15" hidden="false" customHeight="false" outlineLevel="0" collapsed="false">
      <c r="A1537" s="16" t="n">
        <v>22.49095104</v>
      </c>
      <c r="B1537" s="16" t="n">
        <v>124.3915101</v>
      </c>
      <c r="C1537" s="16" t="n">
        <v>15.4086366681768</v>
      </c>
      <c r="D1537" s="6" t="s">
        <v>57</v>
      </c>
      <c r="E1537" s="6" t="s">
        <v>57</v>
      </c>
      <c r="F1537" s="6" t="s">
        <v>24</v>
      </c>
      <c r="G1537" s="6" t="s">
        <v>61</v>
      </c>
      <c r="H1537" s="6" t="s">
        <v>63</v>
      </c>
      <c r="I1537" s="6" t="str">
        <f aca="false">IF(A1537&lt;Outliers!$E$6,"Low",IF(A1537&gt;Outliers!$F$6,"High",""))</f>
        <v/>
      </c>
      <c r="J1537" s="6" t="str">
        <f aca="false">IF(B1537&lt;Outliers!$E$7,"Low",IF(B1537&gt;Outliers!$F$7,"High",""))</f>
        <v/>
      </c>
      <c r="K1537" s="6" t="str">
        <f aca="false">IF(C1537&lt;Outliers!$E$8,"Low",IF(C1537&gt;Outliers!$F$8,"High",""))</f>
        <v/>
      </c>
      <c r="L1537" s="6" t="str">
        <f aca="false">A1537&amp;";"&amp;B1537&amp;";"&amp;C1537</f>
        <v>22.49095104;124.3915101;15.4086366681768</v>
      </c>
      <c r="M1537" s="6" t="n">
        <f aca="false">IF(COUNTIF($L$2:$L$2201,L1537)&gt;1,1,0)</f>
        <v>0</v>
      </c>
      <c r="N1537" s="6" t="str">
        <f aca="false">IF(AND(C1537&lt;Assumptions!$B$9,B1537&lt;Assumptions!$B$10),"Irrigate Now",IF(AND(C1537&gt;=Assumptions!$B$11,B1537&gt;=Assumptions!$B$12),"No Irrigation Needed","Monitor"))</f>
        <v>Monitor</v>
      </c>
      <c r="O1537" s="6" t="n">
        <f aca="false">IF(N1537=G1537,1,0)</f>
        <v>1</v>
      </c>
    </row>
    <row r="1538" customFormat="false" ht="15" hidden="false" customHeight="false" outlineLevel="0" collapsed="false">
      <c r="A1538" s="16" t="n">
        <v>22.35548159</v>
      </c>
      <c r="B1538" s="16" t="n">
        <v>116.7366261</v>
      </c>
      <c r="C1538" s="16" t="n">
        <v>11.015540427382</v>
      </c>
      <c r="D1538" s="6" t="s">
        <v>57</v>
      </c>
      <c r="E1538" s="6" t="s">
        <v>57</v>
      </c>
      <c r="F1538" s="6" t="s">
        <v>24</v>
      </c>
      <c r="G1538" s="6" t="s">
        <v>61</v>
      </c>
      <c r="H1538" s="6" t="s">
        <v>63</v>
      </c>
      <c r="I1538" s="6" t="str">
        <f aca="false">IF(A1538&lt;Outliers!$E$6,"Low",IF(A1538&gt;Outliers!$F$6,"High",""))</f>
        <v/>
      </c>
      <c r="J1538" s="6" t="str">
        <f aca="false">IF(B1538&lt;Outliers!$E$7,"Low",IF(B1538&gt;Outliers!$F$7,"High",""))</f>
        <v/>
      </c>
      <c r="K1538" s="6" t="str">
        <f aca="false">IF(C1538&lt;Outliers!$E$8,"Low",IF(C1538&gt;Outliers!$F$8,"High",""))</f>
        <v/>
      </c>
      <c r="L1538" s="6" t="str">
        <f aca="false">A1538&amp;";"&amp;B1538&amp;";"&amp;C1538</f>
        <v>22.35548159;116.7366261;11.015540427382</v>
      </c>
      <c r="M1538" s="6" t="n">
        <f aca="false">IF(COUNTIF($L$2:$L$2201,L1538)&gt;1,1,0)</f>
        <v>0</v>
      </c>
      <c r="N1538" s="6" t="str">
        <f aca="false">IF(AND(C1538&lt;Assumptions!$B$9,B1538&lt;Assumptions!$B$10),"Irrigate Now",IF(AND(C1538&gt;=Assumptions!$B$11,B1538&gt;=Assumptions!$B$12),"No Irrigation Needed","Monitor"))</f>
        <v>Monitor</v>
      </c>
      <c r="O1538" s="6" t="n">
        <f aca="false">IF(N1538=G1538,1,0)</f>
        <v>1</v>
      </c>
    </row>
    <row r="1539" customFormat="false" ht="15" hidden="false" customHeight="false" outlineLevel="0" collapsed="false">
      <c r="A1539" s="16" t="n">
        <v>22.20700989</v>
      </c>
      <c r="B1539" s="16" t="n">
        <v>120.1593771</v>
      </c>
      <c r="C1539" s="16" t="n">
        <v>15.0447918627899</v>
      </c>
      <c r="D1539" s="6" t="s">
        <v>57</v>
      </c>
      <c r="E1539" s="6" t="s">
        <v>57</v>
      </c>
      <c r="F1539" s="6" t="s">
        <v>24</v>
      </c>
      <c r="G1539" s="6" t="s">
        <v>61</v>
      </c>
      <c r="H1539" s="6" t="s">
        <v>63</v>
      </c>
      <c r="I1539" s="6" t="str">
        <f aca="false">IF(A1539&lt;Outliers!$E$6,"Low",IF(A1539&gt;Outliers!$F$6,"High",""))</f>
        <v/>
      </c>
      <c r="J1539" s="6" t="str">
        <f aca="false">IF(B1539&lt;Outliers!$E$7,"Low",IF(B1539&gt;Outliers!$F$7,"High",""))</f>
        <v/>
      </c>
      <c r="K1539" s="6" t="str">
        <f aca="false">IF(C1539&lt;Outliers!$E$8,"Low",IF(C1539&gt;Outliers!$F$8,"High",""))</f>
        <v/>
      </c>
      <c r="L1539" s="6" t="str">
        <f aca="false">A1539&amp;";"&amp;B1539&amp;";"&amp;C1539</f>
        <v>22.20700989;120.1593771;15.0447918627899</v>
      </c>
      <c r="M1539" s="6" t="n">
        <f aca="false">IF(COUNTIF($L$2:$L$2201,L1539)&gt;1,1,0)</f>
        <v>0</v>
      </c>
      <c r="N1539" s="6" t="str">
        <f aca="false">IF(AND(C1539&lt;Assumptions!$B$9,B1539&lt;Assumptions!$B$10),"Irrigate Now",IF(AND(C1539&gt;=Assumptions!$B$11,B1539&gt;=Assumptions!$B$12),"No Irrigation Needed","Monitor"))</f>
        <v>Monitor</v>
      </c>
      <c r="O1539" s="6" t="n">
        <f aca="false">IF(N1539=G1539,1,0)</f>
        <v>1</v>
      </c>
    </row>
    <row r="1540" customFormat="false" ht="15" hidden="false" customHeight="false" outlineLevel="0" collapsed="false">
      <c r="A1540" s="16" t="n">
        <v>22.44516988</v>
      </c>
      <c r="B1540" s="16" t="n">
        <v>107.1843273</v>
      </c>
      <c r="C1540" s="16" t="n">
        <v>28.0150103591898</v>
      </c>
      <c r="D1540" s="6" t="s">
        <v>57</v>
      </c>
      <c r="E1540" s="6" t="s">
        <v>57</v>
      </c>
      <c r="F1540" s="6" t="s">
        <v>23</v>
      </c>
      <c r="G1540" s="6" t="s">
        <v>58</v>
      </c>
      <c r="H1540" s="6" t="s">
        <v>59</v>
      </c>
      <c r="I1540" s="6" t="str">
        <f aca="false">IF(A1540&lt;Outliers!$E$6,"Low",IF(A1540&gt;Outliers!$F$6,"High",""))</f>
        <v/>
      </c>
      <c r="J1540" s="6" t="str">
        <f aca="false">IF(B1540&lt;Outliers!$E$7,"Low",IF(B1540&gt;Outliers!$F$7,"High",""))</f>
        <v/>
      </c>
      <c r="K1540" s="6" t="str">
        <f aca="false">IF(C1540&lt;Outliers!$E$8,"Low",IF(C1540&gt;Outliers!$F$8,"High",""))</f>
        <v/>
      </c>
      <c r="L1540" s="6" t="str">
        <f aca="false">A1540&amp;";"&amp;B1540&amp;";"&amp;C1540</f>
        <v>22.44516988;107.1843273;28.0150103591898</v>
      </c>
      <c r="M1540" s="6" t="n">
        <f aca="false">IF(COUNTIF($L$2:$L$2201,L1540)&gt;1,1,0)</f>
        <v>0</v>
      </c>
      <c r="N1540" s="6" t="str">
        <f aca="false">IF(AND(C1540&lt;Assumptions!$B$9,B1540&lt;Assumptions!$B$10),"Irrigate Now",IF(AND(C1540&gt;=Assumptions!$B$11,B1540&gt;=Assumptions!$B$12),"No Irrigation Needed","Monitor"))</f>
        <v>No Irrigation Needed</v>
      </c>
      <c r="O1540" s="6" t="n">
        <f aca="false">IF(N1540=G1540,1,0)</f>
        <v>1</v>
      </c>
    </row>
    <row r="1541" customFormat="false" ht="15" hidden="false" customHeight="false" outlineLevel="0" collapsed="false">
      <c r="A1541" s="16" t="n">
        <v>22.76643029</v>
      </c>
      <c r="B1541" s="16" t="n">
        <v>120.4359949</v>
      </c>
      <c r="C1541" s="16" t="n">
        <v>25.4598852337143</v>
      </c>
      <c r="D1541" s="6" t="s">
        <v>57</v>
      </c>
      <c r="E1541" s="6" t="s">
        <v>57</v>
      </c>
      <c r="F1541" s="6" t="s">
        <v>23</v>
      </c>
      <c r="G1541" s="6" t="s">
        <v>58</v>
      </c>
      <c r="H1541" s="6" t="s">
        <v>59</v>
      </c>
      <c r="I1541" s="6" t="str">
        <f aca="false">IF(A1541&lt;Outliers!$E$6,"Low",IF(A1541&gt;Outliers!$F$6,"High",""))</f>
        <v/>
      </c>
      <c r="J1541" s="6" t="str">
        <f aca="false">IF(B1541&lt;Outliers!$E$7,"Low",IF(B1541&gt;Outliers!$F$7,"High",""))</f>
        <v/>
      </c>
      <c r="K1541" s="6" t="str">
        <f aca="false">IF(C1541&lt;Outliers!$E$8,"Low",IF(C1541&gt;Outliers!$F$8,"High",""))</f>
        <v/>
      </c>
      <c r="L1541" s="6" t="str">
        <f aca="false">A1541&amp;";"&amp;B1541&amp;";"&amp;C1541</f>
        <v>22.76643029;120.4359949;25.4598852337143</v>
      </c>
      <c r="M1541" s="6" t="n">
        <f aca="false">IF(COUNTIF($L$2:$L$2201,L1541)&gt;1,1,0)</f>
        <v>0</v>
      </c>
      <c r="N1541" s="6" t="str">
        <f aca="false">IF(AND(C1541&lt;Assumptions!$B$9,B1541&lt;Assumptions!$B$10),"Irrigate Now",IF(AND(C1541&gt;=Assumptions!$B$11,B1541&gt;=Assumptions!$B$12),"No Irrigation Needed","Monitor"))</f>
        <v>No Irrigation Needed</v>
      </c>
      <c r="O1541" s="6" t="n">
        <f aca="false">IF(N1541=G1541,1,0)</f>
        <v>1</v>
      </c>
    </row>
    <row r="1542" customFormat="false" ht="15" hidden="false" customHeight="false" outlineLevel="0" collapsed="false">
      <c r="A1542" s="16" t="n">
        <v>22.19109412</v>
      </c>
      <c r="B1542" s="16" t="n">
        <v>112.3126628</v>
      </c>
      <c r="C1542" s="16" t="n">
        <v>24.9840935677345</v>
      </c>
      <c r="D1542" s="6" t="s">
        <v>57</v>
      </c>
      <c r="E1542" s="6" t="s">
        <v>57</v>
      </c>
      <c r="F1542" s="6" t="s">
        <v>23</v>
      </c>
      <c r="G1542" s="6" t="s">
        <v>61</v>
      </c>
      <c r="H1542" s="6" t="s">
        <v>63</v>
      </c>
      <c r="I1542" s="6" t="str">
        <f aca="false">IF(A1542&lt;Outliers!$E$6,"Low",IF(A1542&gt;Outliers!$F$6,"High",""))</f>
        <v/>
      </c>
      <c r="J1542" s="6" t="str">
        <f aca="false">IF(B1542&lt;Outliers!$E$7,"Low",IF(B1542&gt;Outliers!$F$7,"High",""))</f>
        <v/>
      </c>
      <c r="K1542" s="6" t="str">
        <f aca="false">IF(C1542&lt;Outliers!$E$8,"Low",IF(C1542&gt;Outliers!$F$8,"High",""))</f>
        <v/>
      </c>
      <c r="L1542" s="6" t="str">
        <f aca="false">A1542&amp;";"&amp;B1542&amp;";"&amp;C1542</f>
        <v>22.19109412;112.3126628;24.9840935677345</v>
      </c>
      <c r="M1542" s="6" t="n">
        <f aca="false">IF(COUNTIF($L$2:$L$2201,L1542)&gt;1,1,0)</f>
        <v>0</v>
      </c>
      <c r="N1542" s="6" t="str">
        <f aca="false">IF(AND(C1542&lt;Assumptions!$B$9,B1542&lt;Assumptions!$B$10),"Irrigate Now",IF(AND(C1542&gt;=Assumptions!$B$11,B1542&gt;=Assumptions!$B$12),"No Irrigation Needed","Monitor"))</f>
        <v>Monitor</v>
      </c>
      <c r="O1542" s="6" t="n">
        <f aca="false">IF(N1542=G1542,1,0)</f>
        <v>1</v>
      </c>
    </row>
    <row r="1543" customFormat="false" ht="15" hidden="false" customHeight="false" outlineLevel="0" collapsed="false">
      <c r="A1543" s="16" t="n">
        <v>23.6119202</v>
      </c>
      <c r="B1543" s="16" t="n">
        <v>123.5900822</v>
      </c>
      <c r="C1543" s="16" t="n">
        <v>27.1284458181417</v>
      </c>
      <c r="D1543" s="6" t="s">
        <v>57</v>
      </c>
      <c r="E1543" s="6" t="s">
        <v>57</v>
      </c>
      <c r="F1543" s="6" t="s">
        <v>23</v>
      </c>
      <c r="G1543" s="6" t="s">
        <v>58</v>
      </c>
      <c r="H1543" s="6" t="s">
        <v>59</v>
      </c>
      <c r="I1543" s="6" t="str">
        <f aca="false">IF(A1543&lt;Outliers!$E$6,"Low",IF(A1543&gt;Outliers!$F$6,"High",""))</f>
        <v/>
      </c>
      <c r="J1543" s="6" t="str">
        <f aca="false">IF(B1543&lt;Outliers!$E$7,"Low",IF(B1543&gt;Outliers!$F$7,"High",""))</f>
        <v/>
      </c>
      <c r="K1543" s="6" t="str">
        <f aca="false">IF(C1543&lt;Outliers!$E$8,"Low",IF(C1543&gt;Outliers!$F$8,"High",""))</f>
        <v/>
      </c>
      <c r="L1543" s="6" t="str">
        <f aca="false">A1543&amp;";"&amp;B1543&amp;";"&amp;C1543</f>
        <v>23.6119202;123.5900822;27.1284458181417</v>
      </c>
      <c r="M1543" s="6" t="n">
        <f aca="false">IF(COUNTIF($L$2:$L$2201,L1543)&gt;1,1,0)</f>
        <v>0</v>
      </c>
      <c r="N1543" s="6" t="str">
        <f aca="false">IF(AND(C1543&lt;Assumptions!$B$9,B1543&lt;Assumptions!$B$10),"Irrigate Now",IF(AND(C1543&gt;=Assumptions!$B$11,B1543&gt;=Assumptions!$B$12),"No Irrigation Needed","Monitor"))</f>
        <v>No Irrigation Needed</v>
      </c>
      <c r="O1543" s="6" t="n">
        <f aca="false">IF(N1543=G1543,1,0)</f>
        <v>1</v>
      </c>
    </row>
    <row r="1544" customFormat="false" ht="15" hidden="false" customHeight="false" outlineLevel="0" collapsed="false">
      <c r="A1544" s="16" t="n">
        <v>23.86087054</v>
      </c>
      <c r="B1544" s="16" t="n">
        <v>105.0241329</v>
      </c>
      <c r="C1544" s="16" t="n">
        <v>14.4786206477995</v>
      </c>
      <c r="D1544" s="6" t="s">
        <v>57</v>
      </c>
      <c r="E1544" s="6" t="s">
        <v>57</v>
      </c>
      <c r="F1544" s="6" t="s">
        <v>24</v>
      </c>
      <c r="G1544" s="6" t="s">
        <v>61</v>
      </c>
      <c r="H1544" s="6" t="s">
        <v>63</v>
      </c>
      <c r="I1544" s="6" t="str">
        <f aca="false">IF(A1544&lt;Outliers!$E$6,"Low",IF(A1544&gt;Outliers!$F$6,"High",""))</f>
        <v/>
      </c>
      <c r="J1544" s="6" t="str">
        <f aca="false">IF(B1544&lt;Outliers!$E$7,"Low",IF(B1544&gt;Outliers!$F$7,"High",""))</f>
        <v/>
      </c>
      <c r="K1544" s="6" t="str">
        <f aca="false">IF(C1544&lt;Outliers!$E$8,"Low",IF(C1544&gt;Outliers!$F$8,"High",""))</f>
        <v/>
      </c>
      <c r="L1544" s="6" t="str">
        <f aca="false">A1544&amp;";"&amp;B1544&amp;";"&amp;C1544</f>
        <v>23.86087054;105.0241329;14.4786206477995</v>
      </c>
      <c r="M1544" s="6" t="n">
        <f aca="false">IF(COUNTIF($L$2:$L$2201,L1544)&gt;1,1,0)</f>
        <v>0</v>
      </c>
      <c r="N1544" s="6" t="str">
        <f aca="false">IF(AND(C1544&lt;Assumptions!$B$9,B1544&lt;Assumptions!$B$10),"Irrigate Now",IF(AND(C1544&gt;=Assumptions!$B$11,B1544&gt;=Assumptions!$B$12),"No Irrigation Needed","Monitor"))</f>
        <v>Monitor</v>
      </c>
      <c r="O1544" s="6" t="n">
        <f aca="false">IF(N1544=G1544,1,0)</f>
        <v>1</v>
      </c>
    </row>
    <row r="1545" customFormat="false" ht="15" hidden="false" customHeight="false" outlineLevel="0" collapsed="false">
      <c r="A1545" s="16" t="n">
        <v>21.42177231</v>
      </c>
      <c r="B1545" s="16" t="n">
        <v>102.8045658</v>
      </c>
      <c r="C1545" s="16" t="n">
        <v>20.2928861651815</v>
      </c>
      <c r="D1545" s="6" t="s">
        <v>57</v>
      </c>
      <c r="E1545" s="6" t="s">
        <v>57</v>
      </c>
      <c r="F1545" s="6" t="s">
        <v>60</v>
      </c>
      <c r="G1545" s="6" t="s">
        <v>61</v>
      </c>
      <c r="H1545" s="6" t="s">
        <v>63</v>
      </c>
      <c r="I1545" s="6" t="str">
        <f aca="false">IF(A1545&lt;Outliers!$E$6,"Low",IF(A1545&gt;Outliers!$F$6,"High",""))</f>
        <v/>
      </c>
      <c r="J1545" s="6" t="str">
        <f aca="false">IF(B1545&lt;Outliers!$E$7,"Low",IF(B1545&gt;Outliers!$F$7,"High",""))</f>
        <v/>
      </c>
      <c r="K1545" s="6" t="str">
        <f aca="false">IF(C1545&lt;Outliers!$E$8,"Low",IF(C1545&gt;Outliers!$F$8,"High",""))</f>
        <v/>
      </c>
      <c r="L1545" s="6" t="str">
        <f aca="false">A1545&amp;";"&amp;B1545&amp;";"&amp;C1545</f>
        <v>21.42177231;102.8045658;20.2928861651815</v>
      </c>
      <c r="M1545" s="6" t="n">
        <f aca="false">IF(COUNTIF($L$2:$L$2201,L1545)&gt;1,1,0)</f>
        <v>0</v>
      </c>
      <c r="N1545" s="6" t="str">
        <f aca="false">IF(AND(C1545&lt;Assumptions!$B$9,B1545&lt;Assumptions!$B$10),"Irrigate Now",IF(AND(C1545&gt;=Assumptions!$B$11,B1545&gt;=Assumptions!$B$12),"No Irrigation Needed","Monitor"))</f>
        <v>Monitor</v>
      </c>
      <c r="O1545" s="6" t="n">
        <f aca="false">IF(N1545=G1545,1,0)</f>
        <v>1</v>
      </c>
    </row>
    <row r="1546" customFormat="false" ht="15" hidden="false" customHeight="false" outlineLevel="0" collapsed="false">
      <c r="A1546" s="16" t="n">
        <v>22.36629253</v>
      </c>
      <c r="B1546" s="16" t="n">
        <v>124.9831618</v>
      </c>
      <c r="C1546" s="16" t="n">
        <v>13.2815079735309</v>
      </c>
      <c r="D1546" s="6" t="s">
        <v>57</v>
      </c>
      <c r="E1546" s="6" t="s">
        <v>57</v>
      </c>
      <c r="F1546" s="6" t="s">
        <v>24</v>
      </c>
      <c r="G1546" s="6" t="s">
        <v>61</v>
      </c>
      <c r="H1546" s="6" t="s">
        <v>63</v>
      </c>
      <c r="I1546" s="6" t="str">
        <f aca="false">IF(A1546&lt;Outliers!$E$6,"Low",IF(A1546&gt;Outliers!$F$6,"High",""))</f>
        <v/>
      </c>
      <c r="J1546" s="6" t="str">
        <f aca="false">IF(B1546&lt;Outliers!$E$7,"Low",IF(B1546&gt;Outliers!$F$7,"High",""))</f>
        <v/>
      </c>
      <c r="K1546" s="6" t="str">
        <f aca="false">IF(C1546&lt;Outliers!$E$8,"Low",IF(C1546&gt;Outliers!$F$8,"High",""))</f>
        <v/>
      </c>
      <c r="L1546" s="6" t="str">
        <f aca="false">A1546&amp;";"&amp;B1546&amp;";"&amp;C1546</f>
        <v>22.36629253;124.9831618;13.2815079735309</v>
      </c>
      <c r="M1546" s="6" t="n">
        <f aca="false">IF(COUNTIF($L$2:$L$2201,L1546)&gt;1,1,0)</f>
        <v>0</v>
      </c>
      <c r="N1546" s="6" t="str">
        <f aca="false">IF(AND(C1546&lt;Assumptions!$B$9,B1546&lt;Assumptions!$B$10),"Irrigate Now",IF(AND(C1546&gt;=Assumptions!$B$11,B1546&gt;=Assumptions!$B$12),"No Irrigation Needed","Monitor"))</f>
        <v>Monitor</v>
      </c>
      <c r="O1546" s="6" t="n">
        <f aca="false">IF(N1546=G1546,1,0)</f>
        <v>1</v>
      </c>
    </row>
    <row r="1547" customFormat="false" ht="15" hidden="false" customHeight="false" outlineLevel="0" collapsed="false">
      <c r="A1547" s="16" t="n">
        <v>23.99686172</v>
      </c>
      <c r="B1547" s="16" t="n">
        <v>117.6102915</v>
      </c>
      <c r="C1547" s="16" t="n">
        <v>20.3926782209733</v>
      </c>
      <c r="D1547" s="6" t="s">
        <v>57</v>
      </c>
      <c r="E1547" s="6" t="s">
        <v>57</v>
      </c>
      <c r="F1547" s="6" t="s">
        <v>60</v>
      </c>
      <c r="G1547" s="6" t="s">
        <v>61</v>
      </c>
      <c r="H1547" s="6" t="s">
        <v>63</v>
      </c>
      <c r="I1547" s="6" t="str">
        <f aca="false">IF(A1547&lt;Outliers!$E$6,"Low",IF(A1547&gt;Outliers!$F$6,"High",""))</f>
        <v/>
      </c>
      <c r="J1547" s="6" t="str">
        <f aca="false">IF(B1547&lt;Outliers!$E$7,"Low",IF(B1547&gt;Outliers!$F$7,"High",""))</f>
        <v/>
      </c>
      <c r="K1547" s="6" t="str">
        <f aca="false">IF(C1547&lt;Outliers!$E$8,"Low",IF(C1547&gt;Outliers!$F$8,"High",""))</f>
        <v/>
      </c>
      <c r="L1547" s="6" t="str">
        <f aca="false">A1547&amp;";"&amp;B1547&amp;";"&amp;C1547</f>
        <v>23.99686172;117.6102915;20.3926782209733</v>
      </c>
      <c r="M1547" s="6" t="n">
        <f aca="false">IF(COUNTIF($L$2:$L$2201,L1547)&gt;1,1,0)</f>
        <v>0</v>
      </c>
      <c r="N1547" s="6" t="str">
        <f aca="false">IF(AND(C1547&lt;Assumptions!$B$9,B1547&lt;Assumptions!$B$10),"Irrigate Now",IF(AND(C1547&gt;=Assumptions!$B$11,B1547&gt;=Assumptions!$B$12),"No Irrigation Needed","Monitor"))</f>
        <v>Monitor</v>
      </c>
      <c r="O1547" s="6" t="n">
        <f aca="false">IF(N1547=G1547,1,0)</f>
        <v>1</v>
      </c>
    </row>
    <row r="1548" customFormat="false" ht="15" hidden="false" customHeight="false" outlineLevel="0" collapsed="false">
      <c r="A1548" s="16" t="n">
        <v>21.80129837</v>
      </c>
      <c r="B1548" s="16" t="n">
        <v>120.0586671</v>
      </c>
      <c r="C1548" s="16" t="n">
        <v>29.1290389540631</v>
      </c>
      <c r="D1548" s="6" t="s">
        <v>57</v>
      </c>
      <c r="E1548" s="6" t="s">
        <v>57</v>
      </c>
      <c r="F1548" s="6" t="s">
        <v>23</v>
      </c>
      <c r="G1548" s="6" t="s">
        <v>58</v>
      </c>
      <c r="H1548" s="6" t="s">
        <v>59</v>
      </c>
      <c r="I1548" s="6" t="str">
        <f aca="false">IF(A1548&lt;Outliers!$E$6,"Low",IF(A1548&gt;Outliers!$F$6,"High",""))</f>
        <v/>
      </c>
      <c r="J1548" s="6" t="str">
        <f aca="false">IF(B1548&lt;Outliers!$E$7,"Low",IF(B1548&gt;Outliers!$F$7,"High",""))</f>
        <v/>
      </c>
      <c r="K1548" s="6" t="str">
        <f aca="false">IF(C1548&lt;Outliers!$E$8,"Low",IF(C1548&gt;Outliers!$F$8,"High",""))</f>
        <v/>
      </c>
      <c r="L1548" s="6" t="str">
        <f aca="false">A1548&amp;";"&amp;B1548&amp;";"&amp;C1548</f>
        <v>21.80129837;120.0586671;29.1290389540631</v>
      </c>
      <c r="M1548" s="6" t="n">
        <f aca="false">IF(COUNTIF($L$2:$L$2201,L1548)&gt;1,1,0)</f>
        <v>0</v>
      </c>
      <c r="N1548" s="6" t="str">
        <f aca="false">IF(AND(C1548&lt;Assumptions!$B$9,B1548&lt;Assumptions!$B$10),"Irrigate Now",IF(AND(C1548&gt;=Assumptions!$B$11,B1548&gt;=Assumptions!$B$12),"No Irrigation Needed","Monitor"))</f>
        <v>No Irrigation Needed</v>
      </c>
      <c r="O1548" s="6" t="n">
        <f aca="false">IF(N1548=G1548,1,0)</f>
        <v>1</v>
      </c>
    </row>
    <row r="1549" customFormat="false" ht="15" hidden="false" customHeight="false" outlineLevel="0" collapsed="false">
      <c r="A1549" s="16" t="n">
        <v>23.80436344</v>
      </c>
      <c r="B1549" s="16" t="n">
        <v>100.6192543</v>
      </c>
      <c r="C1549" s="16" t="n">
        <v>13.2843752203424</v>
      </c>
      <c r="D1549" s="6" t="s">
        <v>57</v>
      </c>
      <c r="E1549" s="6" t="s">
        <v>57</v>
      </c>
      <c r="F1549" s="6" t="s">
        <v>24</v>
      </c>
      <c r="G1549" s="6" t="s">
        <v>61</v>
      </c>
      <c r="H1549" s="6" t="s">
        <v>63</v>
      </c>
      <c r="I1549" s="6" t="str">
        <f aca="false">IF(A1549&lt;Outliers!$E$6,"Low",IF(A1549&gt;Outliers!$F$6,"High",""))</f>
        <v/>
      </c>
      <c r="J1549" s="6" t="str">
        <f aca="false">IF(B1549&lt;Outliers!$E$7,"Low",IF(B1549&gt;Outliers!$F$7,"High",""))</f>
        <v/>
      </c>
      <c r="K1549" s="6" t="str">
        <f aca="false">IF(C1549&lt;Outliers!$E$8,"Low",IF(C1549&gt;Outliers!$F$8,"High",""))</f>
        <v/>
      </c>
      <c r="L1549" s="6" t="str">
        <f aca="false">A1549&amp;";"&amp;B1549&amp;";"&amp;C1549</f>
        <v>23.80436344;100.6192543;13.2843752203424</v>
      </c>
      <c r="M1549" s="6" t="n">
        <f aca="false">IF(COUNTIF($L$2:$L$2201,L1549)&gt;1,1,0)</f>
        <v>0</v>
      </c>
      <c r="N1549" s="6" t="str">
        <f aca="false">IF(AND(C1549&lt;Assumptions!$B$9,B1549&lt;Assumptions!$B$10),"Irrigate Now",IF(AND(C1549&gt;=Assumptions!$B$11,B1549&gt;=Assumptions!$B$12),"No Irrigation Needed","Monitor"))</f>
        <v>Monitor</v>
      </c>
      <c r="O1549" s="6" t="n">
        <f aca="false">IF(N1549=G1549,1,0)</f>
        <v>1</v>
      </c>
    </row>
    <row r="1550" customFormat="false" ht="15" hidden="false" customHeight="false" outlineLevel="0" collapsed="false">
      <c r="A1550" s="16" t="n">
        <v>23.71475278</v>
      </c>
      <c r="B1550" s="16" t="n">
        <v>121.8961665</v>
      </c>
      <c r="C1550" s="16" t="n">
        <v>27.2985938720396</v>
      </c>
      <c r="D1550" s="6" t="s">
        <v>57</v>
      </c>
      <c r="E1550" s="6" t="s">
        <v>57</v>
      </c>
      <c r="F1550" s="6" t="s">
        <v>23</v>
      </c>
      <c r="G1550" s="6" t="s">
        <v>58</v>
      </c>
      <c r="H1550" s="6" t="s">
        <v>59</v>
      </c>
      <c r="I1550" s="6" t="str">
        <f aca="false">IF(A1550&lt;Outliers!$E$6,"Low",IF(A1550&gt;Outliers!$F$6,"High",""))</f>
        <v/>
      </c>
      <c r="J1550" s="6" t="str">
        <f aca="false">IF(B1550&lt;Outliers!$E$7,"Low",IF(B1550&gt;Outliers!$F$7,"High",""))</f>
        <v/>
      </c>
      <c r="K1550" s="6" t="str">
        <f aca="false">IF(C1550&lt;Outliers!$E$8,"Low",IF(C1550&gt;Outliers!$F$8,"High",""))</f>
        <v/>
      </c>
      <c r="L1550" s="6" t="str">
        <f aca="false">A1550&amp;";"&amp;B1550&amp;";"&amp;C1550</f>
        <v>23.71475278;121.8961665;27.2985938720396</v>
      </c>
      <c r="M1550" s="6" t="n">
        <f aca="false">IF(COUNTIF($L$2:$L$2201,L1550)&gt;1,1,0)</f>
        <v>0</v>
      </c>
      <c r="N1550" s="6" t="str">
        <f aca="false">IF(AND(C1550&lt;Assumptions!$B$9,B1550&lt;Assumptions!$B$10),"Irrigate Now",IF(AND(C1550&gt;=Assumptions!$B$11,B1550&gt;=Assumptions!$B$12),"No Irrigation Needed","Monitor"))</f>
        <v>No Irrigation Needed</v>
      </c>
      <c r="O1550" s="6" t="n">
        <f aca="false">IF(N1550=G1550,1,0)</f>
        <v>1</v>
      </c>
    </row>
    <row r="1551" customFormat="false" ht="15" hidden="false" customHeight="false" outlineLevel="0" collapsed="false">
      <c r="A1551" s="16" t="n">
        <v>23.34467359</v>
      </c>
      <c r="B1551" s="16" t="n">
        <v>112.8954016</v>
      </c>
      <c r="C1551" s="16" t="n">
        <v>24.9671193603353</v>
      </c>
      <c r="D1551" s="6" t="s">
        <v>57</v>
      </c>
      <c r="E1551" s="6" t="s">
        <v>57</v>
      </c>
      <c r="F1551" s="6" t="s">
        <v>23</v>
      </c>
      <c r="G1551" s="6" t="s">
        <v>61</v>
      </c>
      <c r="H1551" s="6" t="s">
        <v>63</v>
      </c>
      <c r="I1551" s="6" t="str">
        <f aca="false">IF(A1551&lt;Outliers!$E$6,"Low",IF(A1551&gt;Outliers!$F$6,"High",""))</f>
        <v/>
      </c>
      <c r="J1551" s="6" t="str">
        <f aca="false">IF(B1551&lt;Outliers!$E$7,"Low",IF(B1551&gt;Outliers!$F$7,"High",""))</f>
        <v/>
      </c>
      <c r="K1551" s="6" t="str">
        <f aca="false">IF(C1551&lt;Outliers!$E$8,"Low",IF(C1551&gt;Outliers!$F$8,"High",""))</f>
        <v/>
      </c>
      <c r="L1551" s="6" t="str">
        <f aca="false">A1551&amp;";"&amp;B1551&amp;";"&amp;C1551</f>
        <v>23.34467359;112.8954016;24.9671193603353</v>
      </c>
      <c r="M1551" s="6" t="n">
        <f aca="false">IF(COUNTIF($L$2:$L$2201,L1551)&gt;1,1,0)</f>
        <v>0</v>
      </c>
      <c r="N1551" s="6" t="str">
        <f aca="false">IF(AND(C1551&lt;Assumptions!$B$9,B1551&lt;Assumptions!$B$10),"Irrigate Now",IF(AND(C1551&gt;=Assumptions!$B$11,B1551&gt;=Assumptions!$B$12),"No Irrigation Needed","Monitor"))</f>
        <v>Monitor</v>
      </c>
      <c r="O1551" s="6" t="n">
        <f aca="false">IF(N1551=G1551,1,0)</f>
        <v>1</v>
      </c>
    </row>
    <row r="1552" customFormat="false" ht="15" hidden="false" customHeight="false" outlineLevel="0" collapsed="false">
      <c r="A1552" s="16" t="n">
        <v>22.31253665</v>
      </c>
      <c r="B1552" s="16" t="n">
        <v>113.0688155</v>
      </c>
      <c r="C1552" s="16" t="n">
        <v>25.1492291613148</v>
      </c>
      <c r="D1552" s="6" t="s">
        <v>57</v>
      </c>
      <c r="E1552" s="6" t="s">
        <v>57</v>
      </c>
      <c r="F1552" s="6" t="s">
        <v>23</v>
      </c>
      <c r="G1552" s="6" t="s">
        <v>58</v>
      </c>
      <c r="H1552" s="6" t="s">
        <v>59</v>
      </c>
      <c r="I1552" s="6" t="str">
        <f aca="false">IF(A1552&lt;Outliers!$E$6,"Low",IF(A1552&gt;Outliers!$F$6,"High",""))</f>
        <v/>
      </c>
      <c r="J1552" s="6" t="str">
        <f aca="false">IF(B1552&lt;Outliers!$E$7,"Low",IF(B1552&gt;Outliers!$F$7,"High",""))</f>
        <v/>
      </c>
      <c r="K1552" s="6" t="str">
        <f aca="false">IF(C1552&lt;Outliers!$E$8,"Low",IF(C1552&gt;Outliers!$F$8,"High",""))</f>
        <v/>
      </c>
      <c r="L1552" s="6" t="str">
        <f aca="false">A1552&amp;";"&amp;B1552&amp;";"&amp;C1552</f>
        <v>22.31253665;113.0688155;25.1492291613148</v>
      </c>
      <c r="M1552" s="6" t="n">
        <f aca="false">IF(COUNTIF($L$2:$L$2201,L1552)&gt;1,1,0)</f>
        <v>0</v>
      </c>
      <c r="N1552" s="6" t="str">
        <f aca="false">IF(AND(C1552&lt;Assumptions!$B$9,B1552&lt;Assumptions!$B$10),"Irrigate Now",IF(AND(C1552&gt;=Assumptions!$B$11,B1552&gt;=Assumptions!$B$12),"No Irrigation Needed","Monitor"))</f>
        <v>No Irrigation Needed</v>
      </c>
      <c r="O1552" s="6" t="n">
        <f aca="false">IF(N1552=G1552,1,0)</f>
        <v>1</v>
      </c>
    </row>
    <row r="1553" customFormat="false" ht="15" hidden="false" customHeight="false" outlineLevel="0" collapsed="false">
      <c r="A1553" s="16" t="n">
        <v>23.50201428</v>
      </c>
      <c r="B1553" s="16" t="n">
        <v>107.9868949</v>
      </c>
      <c r="C1553" s="16" t="n">
        <v>22.1849247230299</v>
      </c>
      <c r="D1553" s="6" t="s">
        <v>57</v>
      </c>
      <c r="E1553" s="6" t="s">
        <v>57</v>
      </c>
      <c r="F1553" s="6" t="s">
        <v>60</v>
      </c>
      <c r="G1553" s="6" t="s">
        <v>61</v>
      </c>
      <c r="H1553" s="6" t="s">
        <v>63</v>
      </c>
      <c r="I1553" s="6" t="str">
        <f aca="false">IF(A1553&lt;Outliers!$E$6,"Low",IF(A1553&gt;Outliers!$F$6,"High",""))</f>
        <v/>
      </c>
      <c r="J1553" s="6" t="str">
        <f aca="false">IF(B1553&lt;Outliers!$E$7,"Low",IF(B1553&gt;Outliers!$F$7,"High",""))</f>
        <v/>
      </c>
      <c r="K1553" s="6" t="str">
        <f aca="false">IF(C1553&lt;Outliers!$E$8,"Low",IF(C1553&gt;Outliers!$F$8,"High",""))</f>
        <v/>
      </c>
      <c r="L1553" s="6" t="str">
        <f aca="false">A1553&amp;";"&amp;B1553&amp;";"&amp;C1553</f>
        <v>23.50201428;107.9868949;22.1849247230299</v>
      </c>
      <c r="M1553" s="6" t="n">
        <f aca="false">IF(COUNTIF($L$2:$L$2201,L1553)&gt;1,1,0)</f>
        <v>0</v>
      </c>
      <c r="N1553" s="6" t="str">
        <f aca="false">IF(AND(C1553&lt;Assumptions!$B$9,B1553&lt;Assumptions!$B$10),"Irrigate Now",IF(AND(C1553&gt;=Assumptions!$B$11,B1553&gt;=Assumptions!$B$12),"No Irrigation Needed","Monitor"))</f>
        <v>Monitor</v>
      </c>
      <c r="O1553" s="6" t="n">
        <f aca="false">IF(N1553=G1553,1,0)</f>
        <v>1</v>
      </c>
    </row>
    <row r="1554" customFormat="false" ht="15" hidden="false" customHeight="false" outlineLevel="0" collapsed="false">
      <c r="A1554" s="16" t="n">
        <v>23.46260321</v>
      </c>
      <c r="B1554" s="16" t="n">
        <v>111.7763395</v>
      </c>
      <c r="C1554" s="16" t="n">
        <v>29.4562391736699</v>
      </c>
      <c r="D1554" s="6" t="s">
        <v>57</v>
      </c>
      <c r="E1554" s="6" t="s">
        <v>57</v>
      </c>
      <c r="F1554" s="6" t="s">
        <v>23</v>
      </c>
      <c r="G1554" s="6" t="s">
        <v>58</v>
      </c>
      <c r="H1554" s="6" t="s">
        <v>59</v>
      </c>
      <c r="I1554" s="6" t="str">
        <f aca="false">IF(A1554&lt;Outliers!$E$6,"Low",IF(A1554&gt;Outliers!$F$6,"High",""))</f>
        <v/>
      </c>
      <c r="J1554" s="6" t="str">
        <f aca="false">IF(B1554&lt;Outliers!$E$7,"Low",IF(B1554&gt;Outliers!$F$7,"High",""))</f>
        <v/>
      </c>
      <c r="K1554" s="6" t="str">
        <f aca="false">IF(C1554&lt;Outliers!$E$8,"Low",IF(C1554&gt;Outliers!$F$8,"High",""))</f>
        <v/>
      </c>
      <c r="L1554" s="6" t="str">
        <f aca="false">A1554&amp;";"&amp;B1554&amp;";"&amp;C1554</f>
        <v>23.46260321;111.7763395;29.4562391736699</v>
      </c>
      <c r="M1554" s="6" t="n">
        <f aca="false">IF(COUNTIF($L$2:$L$2201,L1554)&gt;1,1,0)</f>
        <v>0</v>
      </c>
      <c r="N1554" s="6" t="str">
        <f aca="false">IF(AND(C1554&lt;Assumptions!$B$9,B1554&lt;Assumptions!$B$10),"Irrigate Now",IF(AND(C1554&gt;=Assumptions!$B$11,B1554&gt;=Assumptions!$B$12),"No Irrigation Needed","Monitor"))</f>
        <v>No Irrigation Needed</v>
      </c>
      <c r="O1554" s="6" t="n">
        <f aca="false">IF(N1554=G1554,1,0)</f>
        <v>1</v>
      </c>
    </row>
    <row r="1555" customFormat="false" ht="15" hidden="false" customHeight="false" outlineLevel="0" collapsed="false">
      <c r="A1555" s="16" t="n">
        <v>23.06204373</v>
      </c>
      <c r="B1555" s="16" t="n">
        <v>114.7399101</v>
      </c>
      <c r="C1555" s="16" t="n">
        <v>25.8781871657834</v>
      </c>
      <c r="D1555" s="6" t="s">
        <v>57</v>
      </c>
      <c r="E1555" s="6" t="s">
        <v>57</v>
      </c>
      <c r="F1555" s="6" t="s">
        <v>23</v>
      </c>
      <c r="G1555" s="6" t="s">
        <v>58</v>
      </c>
      <c r="H1555" s="6" t="s">
        <v>59</v>
      </c>
      <c r="I1555" s="6" t="str">
        <f aca="false">IF(A1555&lt;Outliers!$E$6,"Low",IF(A1555&gt;Outliers!$F$6,"High",""))</f>
        <v/>
      </c>
      <c r="J1555" s="6" t="str">
        <f aca="false">IF(B1555&lt;Outliers!$E$7,"Low",IF(B1555&gt;Outliers!$F$7,"High",""))</f>
        <v/>
      </c>
      <c r="K1555" s="6" t="str">
        <f aca="false">IF(C1555&lt;Outliers!$E$8,"Low",IF(C1555&gt;Outliers!$F$8,"High",""))</f>
        <v/>
      </c>
      <c r="L1555" s="6" t="str">
        <f aca="false">A1555&amp;";"&amp;B1555&amp;";"&amp;C1555</f>
        <v>23.06204373;114.7399101;25.8781871657834</v>
      </c>
      <c r="M1555" s="6" t="n">
        <f aca="false">IF(COUNTIF($L$2:$L$2201,L1555)&gt;1,1,0)</f>
        <v>0</v>
      </c>
      <c r="N1555" s="6" t="str">
        <f aca="false">IF(AND(C1555&lt;Assumptions!$B$9,B1555&lt;Assumptions!$B$10),"Irrigate Now",IF(AND(C1555&gt;=Assumptions!$B$11,B1555&gt;=Assumptions!$B$12),"No Irrigation Needed","Monitor"))</f>
        <v>No Irrigation Needed</v>
      </c>
      <c r="O1555" s="6" t="n">
        <f aca="false">IF(N1555=G1555,1,0)</f>
        <v>1</v>
      </c>
    </row>
    <row r="1556" customFormat="false" ht="15" hidden="false" customHeight="false" outlineLevel="0" collapsed="false">
      <c r="A1556" s="16" t="n">
        <v>22.47420512</v>
      </c>
      <c r="B1556" s="16" t="n">
        <v>124.2179699</v>
      </c>
      <c r="C1556" s="16" t="n">
        <v>22.8178091500464</v>
      </c>
      <c r="D1556" s="6" t="s">
        <v>57</v>
      </c>
      <c r="E1556" s="6" t="s">
        <v>57</v>
      </c>
      <c r="F1556" s="6" t="s">
        <v>23</v>
      </c>
      <c r="G1556" s="6" t="s">
        <v>61</v>
      </c>
      <c r="H1556" s="6" t="s">
        <v>63</v>
      </c>
      <c r="I1556" s="6" t="str">
        <f aca="false">IF(A1556&lt;Outliers!$E$6,"Low",IF(A1556&gt;Outliers!$F$6,"High",""))</f>
        <v/>
      </c>
      <c r="J1556" s="6" t="str">
        <f aca="false">IF(B1556&lt;Outliers!$E$7,"Low",IF(B1556&gt;Outliers!$F$7,"High",""))</f>
        <v/>
      </c>
      <c r="K1556" s="6" t="str">
        <f aca="false">IF(C1556&lt;Outliers!$E$8,"Low",IF(C1556&gt;Outliers!$F$8,"High",""))</f>
        <v/>
      </c>
      <c r="L1556" s="6" t="str">
        <f aca="false">A1556&amp;";"&amp;B1556&amp;";"&amp;C1556</f>
        <v>22.47420512;124.2179699;22.8178091500464</v>
      </c>
      <c r="M1556" s="6" t="n">
        <f aca="false">IF(COUNTIF($L$2:$L$2201,L1556)&gt;1,1,0)</f>
        <v>0</v>
      </c>
      <c r="N1556" s="6" t="str">
        <f aca="false">IF(AND(C1556&lt;Assumptions!$B$9,B1556&lt;Assumptions!$B$10),"Irrigate Now",IF(AND(C1556&gt;=Assumptions!$B$11,B1556&gt;=Assumptions!$B$12),"No Irrigation Needed","Monitor"))</f>
        <v>Monitor</v>
      </c>
      <c r="O1556" s="6" t="n">
        <f aca="false">IF(N1556=G1556,1,0)</f>
        <v>1</v>
      </c>
    </row>
    <row r="1557" customFormat="false" ht="15" hidden="false" customHeight="false" outlineLevel="0" collapsed="false">
      <c r="A1557" s="16" t="n">
        <v>22.69780133</v>
      </c>
      <c r="B1557" s="16" t="n">
        <v>105.0508234</v>
      </c>
      <c r="C1557" s="16" t="n">
        <v>16.8904173417318</v>
      </c>
      <c r="D1557" s="6" t="s">
        <v>57</v>
      </c>
      <c r="E1557" s="6" t="s">
        <v>57</v>
      </c>
      <c r="F1557" s="6" t="s">
        <v>60</v>
      </c>
      <c r="G1557" s="6" t="s">
        <v>61</v>
      </c>
      <c r="H1557" s="6" t="s">
        <v>63</v>
      </c>
      <c r="I1557" s="6" t="str">
        <f aca="false">IF(A1557&lt;Outliers!$E$6,"Low",IF(A1557&gt;Outliers!$F$6,"High",""))</f>
        <v/>
      </c>
      <c r="J1557" s="6" t="str">
        <f aca="false">IF(B1557&lt;Outliers!$E$7,"Low",IF(B1557&gt;Outliers!$F$7,"High",""))</f>
        <v/>
      </c>
      <c r="K1557" s="6" t="str">
        <f aca="false">IF(C1557&lt;Outliers!$E$8,"Low",IF(C1557&gt;Outliers!$F$8,"High",""))</f>
        <v/>
      </c>
      <c r="L1557" s="6" t="str">
        <f aca="false">A1557&amp;";"&amp;B1557&amp;";"&amp;C1557</f>
        <v>22.69780133;105.0508234;16.8904173417318</v>
      </c>
      <c r="M1557" s="6" t="n">
        <f aca="false">IF(COUNTIF($L$2:$L$2201,L1557)&gt;1,1,0)</f>
        <v>0</v>
      </c>
      <c r="N1557" s="6" t="str">
        <f aca="false">IF(AND(C1557&lt;Assumptions!$B$9,B1557&lt;Assumptions!$B$10),"Irrigate Now",IF(AND(C1557&gt;=Assumptions!$B$11,B1557&gt;=Assumptions!$B$12),"No Irrigation Needed","Monitor"))</f>
        <v>Monitor</v>
      </c>
      <c r="O1557" s="6" t="n">
        <f aca="false">IF(N1557=G1557,1,0)</f>
        <v>1</v>
      </c>
    </row>
    <row r="1558" customFormat="false" ht="15" hidden="false" customHeight="false" outlineLevel="0" collapsed="false">
      <c r="A1558" s="16" t="n">
        <v>23.66682067</v>
      </c>
      <c r="B1558" s="16" t="n">
        <v>105.4004751</v>
      </c>
      <c r="C1558" s="16" t="n">
        <v>18.2996662645496</v>
      </c>
      <c r="D1558" s="6" t="s">
        <v>57</v>
      </c>
      <c r="E1558" s="6" t="s">
        <v>57</v>
      </c>
      <c r="F1558" s="6" t="s">
        <v>60</v>
      </c>
      <c r="G1558" s="6" t="s">
        <v>61</v>
      </c>
      <c r="H1558" s="6" t="s">
        <v>63</v>
      </c>
      <c r="I1558" s="6" t="str">
        <f aca="false">IF(A1558&lt;Outliers!$E$6,"Low",IF(A1558&gt;Outliers!$F$6,"High",""))</f>
        <v/>
      </c>
      <c r="J1558" s="6" t="str">
        <f aca="false">IF(B1558&lt;Outliers!$E$7,"Low",IF(B1558&gt;Outliers!$F$7,"High",""))</f>
        <v/>
      </c>
      <c r="K1558" s="6" t="str">
        <f aca="false">IF(C1558&lt;Outliers!$E$8,"Low",IF(C1558&gt;Outliers!$F$8,"High",""))</f>
        <v/>
      </c>
      <c r="L1558" s="6" t="str">
        <f aca="false">A1558&amp;";"&amp;B1558&amp;";"&amp;C1558</f>
        <v>23.66682067;105.4004751;18.2996662645496</v>
      </c>
      <c r="M1558" s="6" t="n">
        <f aca="false">IF(COUNTIF($L$2:$L$2201,L1558)&gt;1,1,0)</f>
        <v>0</v>
      </c>
      <c r="N1558" s="6" t="str">
        <f aca="false">IF(AND(C1558&lt;Assumptions!$B$9,B1558&lt;Assumptions!$B$10),"Irrigate Now",IF(AND(C1558&gt;=Assumptions!$B$11,B1558&gt;=Assumptions!$B$12),"No Irrigation Needed","Monitor"))</f>
        <v>Monitor</v>
      </c>
      <c r="O1558" s="6" t="n">
        <f aca="false">IF(N1558=G1558,1,0)</f>
        <v>1</v>
      </c>
    </row>
    <row r="1559" customFormat="false" ht="15" hidden="false" customHeight="false" outlineLevel="0" collapsed="false">
      <c r="A1559" s="16" t="n">
        <v>22.50050273</v>
      </c>
      <c r="B1559" s="16" t="n">
        <v>100.9343903</v>
      </c>
      <c r="C1559" s="16" t="n">
        <v>28.4736441849135</v>
      </c>
      <c r="D1559" s="6" t="s">
        <v>57</v>
      </c>
      <c r="E1559" s="6" t="s">
        <v>57</v>
      </c>
      <c r="F1559" s="6" t="s">
        <v>23</v>
      </c>
      <c r="G1559" s="6" t="s">
        <v>58</v>
      </c>
      <c r="H1559" s="6" t="s">
        <v>59</v>
      </c>
      <c r="I1559" s="6" t="str">
        <f aca="false">IF(A1559&lt;Outliers!$E$6,"Low",IF(A1559&gt;Outliers!$F$6,"High",""))</f>
        <v/>
      </c>
      <c r="J1559" s="6" t="str">
        <f aca="false">IF(B1559&lt;Outliers!$E$7,"Low",IF(B1559&gt;Outliers!$F$7,"High",""))</f>
        <v/>
      </c>
      <c r="K1559" s="6" t="str">
        <f aca="false">IF(C1559&lt;Outliers!$E$8,"Low",IF(C1559&gt;Outliers!$F$8,"High",""))</f>
        <v/>
      </c>
      <c r="L1559" s="6" t="str">
        <f aca="false">A1559&amp;";"&amp;B1559&amp;";"&amp;C1559</f>
        <v>22.50050273;100.9343903;28.4736441849135</v>
      </c>
      <c r="M1559" s="6" t="n">
        <f aca="false">IF(COUNTIF($L$2:$L$2201,L1559)&gt;1,1,0)</f>
        <v>0</v>
      </c>
      <c r="N1559" s="6" t="str">
        <f aca="false">IF(AND(C1559&lt;Assumptions!$B$9,B1559&lt;Assumptions!$B$10),"Irrigate Now",IF(AND(C1559&gt;=Assumptions!$B$11,B1559&gt;=Assumptions!$B$12),"No Irrigation Needed","Monitor"))</f>
        <v>No Irrigation Needed</v>
      </c>
      <c r="O1559" s="6" t="n">
        <f aca="false">IF(N1559=G1559,1,0)</f>
        <v>1</v>
      </c>
    </row>
    <row r="1560" customFormat="false" ht="15" hidden="false" customHeight="false" outlineLevel="0" collapsed="false">
      <c r="A1560" s="16" t="n">
        <v>23.83053666</v>
      </c>
      <c r="B1560" s="16" t="n">
        <v>109.5966791</v>
      </c>
      <c r="C1560" s="16" t="n">
        <v>27.4427490781518</v>
      </c>
      <c r="D1560" s="6" t="s">
        <v>57</v>
      </c>
      <c r="E1560" s="6" t="s">
        <v>57</v>
      </c>
      <c r="F1560" s="6" t="s">
        <v>23</v>
      </c>
      <c r="G1560" s="6" t="s">
        <v>58</v>
      </c>
      <c r="H1560" s="6" t="s">
        <v>59</v>
      </c>
      <c r="I1560" s="6" t="str">
        <f aca="false">IF(A1560&lt;Outliers!$E$6,"Low",IF(A1560&gt;Outliers!$F$6,"High",""))</f>
        <v/>
      </c>
      <c r="J1560" s="6" t="str">
        <f aca="false">IF(B1560&lt;Outliers!$E$7,"Low",IF(B1560&gt;Outliers!$F$7,"High",""))</f>
        <v/>
      </c>
      <c r="K1560" s="6" t="str">
        <f aca="false">IF(C1560&lt;Outliers!$E$8,"Low",IF(C1560&gt;Outliers!$F$8,"High",""))</f>
        <v/>
      </c>
      <c r="L1560" s="6" t="str">
        <f aca="false">A1560&amp;";"&amp;B1560&amp;";"&amp;C1560</f>
        <v>23.83053666;109.5966791;27.4427490781518</v>
      </c>
      <c r="M1560" s="6" t="n">
        <f aca="false">IF(COUNTIF($L$2:$L$2201,L1560)&gt;1,1,0)</f>
        <v>0</v>
      </c>
      <c r="N1560" s="6" t="str">
        <f aca="false">IF(AND(C1560&lt;Assumptions!$B$9,B1560&lt;Assumptions!$B$10),"Irrigate Now",IF(AND(C1560&gt;=Assumptions!$B$11,B1560&gt;=Assumptions!$B$12),"No Irrigation Needed","Monitor"))</f>
        <v>No Irrigation Needed</v>
      </c>
      <c r="O1560" s="6" t="n">
        <f aca="false">IF(N1560=G1560,1,0)</f>
        <v>1</v>
      </c>
    </row>
    <row r="1561" customFormat="false" ht="15" hidden="false" customHeight="false" outlineLevel="0" collapsed="false">
      <c r="A1561" s="16" t="n">
        <v>23.64142354</v>
      </c>
      <c r="B1561" s="16" t="n">
        <v>116.6912176</v>
      </c>
      <c r="C1561" s="16" t="n">
        <v>23.8019406010851</v>
      </c>
      <c r="D1561" s="6" t="s">
        <v>57</v>
      </c>
      <c r="E1561" s="6" t="s">
        <v>57</v>
      </c>
      <c r="F1561" s="6" t="s">
        <v>23</v>
      </c>
      <c r="G1561" s="6" t="s">
        <v>61</v>
      </c>
      <c r="H1561" s="6" t="s">
        <v>63</v>
      </c>
      <c r="I1561" s="6" t="str">
        <f aca="false">IF(A1561&lt;Outliers!$E$6,"Low",IF(A1561&gt;Outliers!$F$6,"High",""))</f>
        <v/>
      </c>
      <c r="J1561" s="6" t="str">
        <f aca="false">IF(B1561&lt;Outliers!$E$7,"Low",IF(B1561&gt;Outliers!$F$7,"High",""))</f>
        <v/>
      </c>
      <c r="K1561" s="6" t="str">
        <f aca="false">IF(C1561&lt;Outliers!$E$8,"Low",IF(C1561&gt;Outliers!$F$8,"High",""))</f>
        <v/>
      </c>
      <c r="L1561" s="6" t="str">
        <f aca="false">A1561&amp;";"&amp;B1561&amp;";"&amp;C1561</f>
        <v>23.64142354;116.6912176;23.8019406010851</v>
      </c>
      <c r="M1561" s="6" t="n">
        <f aca="false">IF(COUNTIF($L$2:$L$2201,L1561)&gt;1,1,0)</f>
        <v>0</v>
      </c>
      <c r="N1561" s="6" t="str">
        <f aca="false">IF(AND(C1561&lt;Assumptions!$B$9,B1561&lt;Assumptions!$B$10),"Irrigate Now",IF(AND(C1561&gt;=Assumptions!$B$11,B1561&gt;=Assumptions!$B$12),"No Irrigation Needed","Monitor"))</f>
        <v>Monitor</v>
      </c>
      <c r="O1561" s="6" t="n">
        <f aca="false">IF(N1561=G1561,1,0)</f>
        <v>1</v>
      </c>
    </row>
    <row r="1562" customFormat="false" ht="15" hidden="false" customHeight="false" outlineLevel="0" collapsed="false">
      <c r="A1562" s="16" t="n">
        <v>21.41363812</v>
      </c>
      <c r="B1562" s="16" t="n">
        <v>118.3979065</v>
      </c>
      <c r="C1562" s="16" t="n">
        <v>26.7482563873006</v>
      </c>
      <c r="D1562" s="6" t="s">
        <v>57</v>
      </c>
      <c r="E1562" s="6" t="s">
        <v>57</v>
      </c>
      <c r="F1562" s="6" t="s">
        <v>23</v>
      </c>
      <c r="G1562" s="6" t="s">
        <v>58</v>
      </c>
      <c r="H1562" s="6" t="s">
        <v>59</v>
      </c>
      <c r="I1562" s="6" t="str">
        <f aca="false">IF(A1562&lt;Outliers!$E$6,"Low",IF(A1562&gt;Outliers!$F$6,"High",""))</f>
        <v/>
      </c>
      <c r="J1562" s="6" t="str">
        <f aca="false">IF(B1562&lt;Outliers!$E$7,"Low",IF(B1562&gt;Outliers!$F$7,"High",""))</f>
        <v/>
      </c>
      <c r="K1562" s="6" t="str">
        <f aca="false">IF(C1562&lt;Outliers!$E$8,"Low",IF(C1562&gt;Outliers!$F$8,"High",""))</f>
        <v/>
      </c>
      <c r="L1562" s="6" t="str">
        <f aca="false">A1562&amp;";"&amp;B1562&amp;";"&amp;C1562</f>
        <v>21.41363812;118.3979065;26.7482563873006</v>
      </c>
      <c r="M1562" s="6" t="n">
        <f aca="false">IF(COUNTIF($L$2:$L$2201,L1562)&gt;1,1,0)</f>
        <v>0</v>
      </c>
      <c r="N1562" s="6" t="str">
        <f aca="false">IF(AND(C1562&lt;Assumptions!$B$9,B1562&lt;Assumptions!$B$10),"Irrigate Now",IF(AND(C1562&gt;=Assumptions!$B$11,B1562&gt;=Assumptions!$B$12),"No Irrigation Needed","Monitor"))</f>
        <v>No Irrigation Needed</v>
      </c>
      <c r="O1562" s="6" t="n">
        <f aca="false">IF(N1562=G1562,1,0)</f>
        <v>1</v>
      </c>
    </row>
    <row r="1563" customFormat="false" ht="15" hidden="false" customHeight="false" outlineLevel="0" collapsed="false">
      <c r="A1563" s="16" t="n">
        <v>22.85267372</v>
      </c>
      <c r="B1563" s="16" t="n">
        <v>117.5314026</v>
      </c>
      <c r="C1563" s="16" t="n">
        <v>28.1242630026254</v>
      </c>
      <c r="D1563" s="6" t="s">
        <v>57</v>
      </c>
      <c r="E1563" s="6" t="s">
        <v>57</v>
      </c>
      <c r="F1563" s="6" t="s">
        <v>23</v>
      </c>
      <c r="G1563" s="6" t="s">
        <v>58</v>
      </c>
      <c r="H1563" s="6" t="s">
        <v>59</v>
      </c>
      <c r="I1563" s="6" t="str">
        <f aca="false">IF(A1563&lt;Outliers!$E$6,"Low",IF(A1563&gt;Outliers!$F$6,"High",""))</f>
        <v/>
      </c>
      <c r="J1563" s="6" t="str">
        <f aca="false">IF(B1563&lt;Outliers!$E$7,"Low",IF(B1563&gt;Outliers!$F$7,"High",""))</f>
        <v/>
      </c>
      <c r="K1563" s="6" t="str">
        <f aca="false">IF(C1563&lt;Outliers!$E$8,"Low",IF(C1563&gt;Outliers!$F$8,"High",""))</f>
        <v/>
      </c>
      <c r="L1563" s="6" t="str">
        <f aca="false">A1563&amp;";"&amp;B1563&amp;";"&amp;C1563</f>
        <v>22.85267372;117.5314026;28.1242630026254</v>
      </c>
      <c r="M1563" s="6" t="n">
        <f aca="false">IF(COUNTIF($L$2:$L$2201,L1563)&gt;1,1,0)</f>
        <v>0</v>
      </c>
      <c r="N1563" s="6" t="str">
        <f aca="false">IF(AND(C1563&lt;Assumptions!$B$9,B1563&lt;Assumptions!$B$10),"Irrigate Now",IF(AND(C1563&gt;=Assumptions!$B$11,B1563&gt;=Assumptions!$B$12),"No Irrigation Needed","Monitor"))</f>
        <v>No Irrigation Needed</v>
      </c>
      <c r="O1563" s="6" t="n">
        <f aca="false">IF(N1563=G1563,1,0)</f>
        <v>1</v>
      </c>
    </row>
    <row r="1564" customFormat="false" ht="15" hidden="false" customHeight="false" outlineLevel="0" collapsed="false">
      <c r="A1564" s="16" t="n">
        <v>22.98208095</v>
      </c>
      <c r="B1564" s="16" t="n">
        <v>109.5852253</v>
      </c>
      <c r="C1564" s="16" t="n">
        <v>13.7640793638639</v>
      </c>
      <c r="D1564" s="6" t="s">
        <v>57</v>
      </c>
      <c r="E1564" s="6" t="s">
        <v>57</v>
      </c>
      <c r="F1564" s="6" t="s">
        <v>24</v>
      </c>
      <c r="G1564" s="6" t="s">
        <v>61</v>
      </c>
      <c r="H1564" s="6" t="s">
        <v>63</v>
      </c>
      <c r="I1564" s="6" t="str">
        <f aca="false">IF(A1564&lt;Outliers!$E$6,"Low",IF(A1564&gt;Outliers!$F$6,"High",""))</f>
        <v/>
      </c>
      <c r="J1564" s="6" t="str">
        <f aca="false">IF(B1564&lt;Outliers!$E$7,"Low",IF(B1564&gt;Outliers!$F$7,"High",""))</f>
        <v/>
      </c>
      <c r="K1564" s="6" t="str">
        <f aca="false">IF(C1564&lt;Outliers!$E$8,"Low",IF(C1564&gt;Outliers!$F$8,"High",""))</f>
        <v/>
      </c>
      <c r="L1564" s="6" t="str">
        <f aca="false">A1564&amp;";"&amp;B1564&amp;";"&amp;C1564</f>
        <v>22.98208095;109.5852253;13.7640793638639</v>
      </c>
      <c r="M1564" s="6" t="n">
        <f aca="false">IF(COUNTIF($L$2:$L$2201,L1564)&gt;1,1,0)</f>
        <v>0</v>
      </c>
      <c r="N1564" s="6" t="str">
        <f aca="false">IF(AND(C1564&lt;Assumptions!$B$9,B1564&lt;Assumptions!$B$10),"Irrigate Now",IF(AND(C1564&gt;=Assumptions!$B$11,B1564&gt;=Assumptions!$B$12),"No Irrigation Needed","Monitor"))</f>
        <v>Monitor</v>
      </c>
      <c r="O1564" s="6" t="n">
        <f aca="false">IF(N1564=G1564,1,0)</f>
        <v>1</v>
      </c>
    </row>
    <row r="1565" customFormat="false" ht="15" hidden="false" customHeight="false" outlineLevel="0" collapsed="false">
      <c r="A1565" s="16" t="n">
        <v>21.19909519</v>
      </c>
      <c r="B1565" s="16" t="n">
        <v>103.6838922</v>
      </c>
      <c r="C1565" s="16" t="n">
        <v>29.813522103233</v>
      </c>
      <c r="D1565" s="6" t="s">
        <v>57</v>
      </c>
      <c r="E1565" s="6" t="s">
        <v>57</v>
      </c>
      <c r="F1565" s="6" t="s">
        <v>23</v>
      </c>
      <c r="G1565" s="6" t="s">
        <v>58</v>
      </c>
      <c r="H1565" s="6" t="s">
        <v>59</v>
      </c>
      <c r="I1565" s="6" t="str">
        <f aca="false">IF(A1565&lt;Outliers!$E$6,"Low",IF(A1565&gt;Outliers!$F$6,"High",""))</f>
        <v/>
      </c>
      <c r="J1565" s="6" t="str">
        <f aca="false">IF(B1565&lt;Outliers!$E$7,"Low",IF(B1565&gt;Outliers!$F$7,"High",""))</f>
        <v/>
      </c>
      <c r="K1565" s="6" t="str">
        <f aca="false">IF(C1565&lt;Outliers!$E$8,"Low",IF(C1565&gt;Outliers!$F$8,"High",""))</f>
        <v/>
      </c>
      <c r="L1565" s="6" t="str">
        <f aca="false">A1565&amp;";"&amp;B1565&amp;";"&amp;C1565</f>
        <v>21.19909519;103.6838922;29.813522103233</v>
      </c>
      <c r="M1565" s="6" t="n">
        <f aca="false">IF(COUNTIF($L$2:$L$2201,L1565)&gt;1,1,0)</f>
        <v>0</v>
      </c>
      <c r="N1565" s="6" t="str">
        <f aca="false">IF(AND(C1565&lt;Assumptions!$B$9,B1565&lt;Assumptions!$B$10),"Irrigate Now",IF(AND(C1565&gt;=Assumptions!$B$11,B1565&gt;=Assumptions!$B$12),"No Irrigation Needed","Monitor"))</f>
        <v>No Irrigation Needed</v>
      </c>
      <c r="O1565" s="6" t="n">
        <f aca="false">IF(N1565=G1565,1,0)</f>
        <v>1</v>
      </c>
    </row>
    <row r="1566" customFormat="false" ht="15" hidden="false" customHeight="false" outlineLevel="0" collapsed="false">
      <c r="A1566" s="16" t="n">
        <v>23.87192332</v>
      </c>
      <c r="B1566" s="16" t="n">
        <v>103.0548094</v>
      </c>
      <c r="C1566" s="16" t="n">
        <v>29.9978596528413</v>
      </c>
      <c r="D1566" s="6" t="s">
        <v>57</v>
      </c>
      <c r="E1566" s="6" t="s">
        <v>57</v>
      </c>
      <c r="F1566" s="6" t="s">
        <v>23</v>
      </c>
      <c r="G1566" s="6" t="s">
        <v>58</v>
      </c>
      <c r="H1566" s="6" t="s">
        <v>59</v>
      </c>
      <c r="I1566" s="6" t="str">
        <f aca="false">IF(A1566&lt;Outliers!$E$6,"Low",IF(A1566&gt;Outliers!$F$6,"High",""))</f>
        <v/>
      </c>
      <c r="J1566" s="6" t="str">
        <f aca="false">IF(B1566&lt;Outliers!$E$7,"Low",IF(B1566&gt;Outliers!$F$7,"High",""))</f>
        <v/>
      </c>
      <c r="K1566" s="6" t="str">
        <f aca="false">IF(C1566&lt;Outliers!$E$8,"Low",IF(C1566&gt;Outliers!$F$8,"High",""))</f>
        <v/>
      </c>
      <c r="L1566" s="6" t="str">
        <f aca="false">A1566&amp;";"&amp;B1566&amp;";"&amp;C1566</f>
        <v>23.87192332;103.0548094;29.9978596528413</v>
      </c>
      <c r="M1566" s="6" t="n">
        <f aca="false">IF(COUNTIF($L$2:$L$2201,L1566)&gt;1,1,0)</f>
        <v>0</v>
      </c>
      <c r="N1566" s="6" t="str">
        <f aca="false">IF(AND(C1566&lt;Assumptions!$B$9,B1566&lt;Assumptions!$B$10),"Irrigate Now",IF(AND(C1566&gt;=Assumptions!$B$11,B1566&gt;=Assumptions!$B$12),"No Irrigation Needed","Monitor"))</f>
        <v>No Irrigation Needed</v>
      </c>
      <c r="O1566" s="6" t="n">
        <f aca="false">IF(N1566=G1566,1,0)</f>
        <v>1</v>
      </c>
    </row>
    <row r="1567" customFormat="false" ht="15" hidden="false" customHeight="false" outlineLevel="0" collapsed="false">
      <c r="A1567" s="16" t="n">
        <v>21.0365275</v>
      </c>
      <c r="B1567" s="16" t="n">
        <v>114.7412734</v>
      </c>
      <c r="C1567" s="16" t="n">
        <v>25.2603371717272</v>
      </c>
      <c r="D1567" s="6" t="s">
        <v>57</v>
      </c>
      <c r="E1567" s="6" t="s">
        <v>57</v>
      </c>
      <c r="F1567" s="6" t="s">
        <v>23</v>
      </c>
      <c r="G1567" s="6" t="s">
        <v>58</v>
      </c>
      <c r="H1567" s="6" t="s">
        <v>59</v>
      </c>
      <c r="I1567" s="6" t="str">
        <f aca="false">IF(A1567&lt;Outliers!$E$6,"Low",IF(A1567&gt;Outliers!$F$6,"High",""))</f>
        <v/>
      </c>
      <c r="J1567" s="6" t="str">
        <f aca="false">IF(B1567&lt;Outliers!$E$7,"Low",IF(B1567&gt;Outliers!$F$7,"High",""))</f>
        <v/>
      </c>
      <c r="K1567" s="6" t="str">
        <f aca="false">IF(C1567&lt;Outliers!$E$8,"Low",IF(C1567&gt;Outliers!$F$8,"High",""))</f>
        <v/>
      </c>
      <c r="L1567" s="6" t="str">
        <f aca="false">A1567&amp;";"&amp;B1567&amp;";"&amp;C1567</f>
        <v>21.0365275;114.7412734;25.2603371717272</v>
      </c>
      <c r="M1567" s="6" t="n">
        <f aca="false">IF(COUNTIF($L$2:$L$2201,L1567)&gt;1,1,0)</f>
        <v>0</v>
      </c>
      <c r="N1567" s="6" t="str">
        <f aca="false">IF(AND(C1567&lt;Assumptions!$B$9,B1567&lt;Assumptions!$B$10),"Irrigate Now",IF(AND(C1567&gt;=Assumptions!$B$11,B1567&gt;=Assumptions!$B$12),"No Irrigation Needed","Monitor"))</f>
        <v>No Irrigation Needed</v>
      </c>
      <c r="O1567" s="6" t="n">
        <f aca="false">IF(N1567=G1567,1,0)</f>
        <v>1</v>
      </c>
    </row>
    <row r="1568" customFormat="false" ht="15" hidden="false" customHeight="false" outlineLevel="0" collapsed="false">
      <c r="A1568" s="16" t="n">
        <v>22.61711614</v>
      </c>
      <c r="B1568" s="16" t="n">
        <v>116.9256766</v>
      </c>
      <c r="C1568" s="16" t="n">
        <v>19.0218290200213</v>
      </c>
      <c r="D1568" s="6" t="s">
        <v>57</v>
      </c>
      <c r="E1568" s="6" t="s">
        <v>57</v>
      </c>
      <c r="F1568" s="6" t="s">
        <v>60</v>
      </c>
      <c r="G1568" s="6" t="s">
        <v>61</v>
      </c>
      <c r="H1568" s="6" t="s">
        <v>63</v>
      </c>
      <c r="I1568" s="6" t="str">
        <f aca="false">IF(A1568&lt;Outliers!$E$6,"Low",IF(A1568&gt;Outliers!$F$6,"High",""))</f>
        <v/>
      </c>
      <c r="J1568" s="6" t="str">
        <f aca="false">IF(B1568&lt;Outliers!$E$7,"Low",IF(B1568&gt;Outliers!$F$7,"High",""))</f>
        <v/>
      </c>
      <c r="K1568" s="6" t="str">
        <f aca="false">IF(C1568&lt;Outliers!$E$8,"Low",IF(C1568&gt;Outliers!$F$8,"High",""))</f>
        <v/>
      </c>
      <c r="L1568" s="6" t="str">
        <f aca="false">A1568&amp;";"&amp;B1568&amp;";"&amp;C1568</f>
        <v>22.61711614;116.9256766;19.0218290200213</v>
      </c>
      <c r="M1568" s="6" t="n">
        <f aca="false">IF(COUNTIF($L$2:$L$2201,L1568)&gt;1,1,0)</f>
        <v>0</v>
      </c>
      <c r="N1568" s="6" t="str">
        <f aca="false">IF(AND(C1568&lt;Assumptions!$B$9,B1568&lt;Assumptions!$B$10),"Irrigate Now",IF(AND(C1568&gt;=Assumptions!$B$11,B1568&gt;=Assumptions!$B$12),"No Irrigation Needed","Monitor"))</f>
        <v>Monitor</v>
      </c>
      <c r="O1568" s="6" t="n">
        <f aca="false">IF(N1568=G1568,1,0)</f>
        <v>1</v>
      </c>
    </row>
    <row r="1569" customFormat="false" ht="15" hidden="false" customHeight="false" outlineLevel="0" collapsed="false">
      <c r="A1569" s="16" t="n">
        <v>21.45278675</v>
      </c>
      <c r="B1569" s="16" t="n">
        <v>116.7036582</v>
      </c>
      <c r="C1569" s="16" t="n">
        <v>14.4342982329886</v>
      </c>
      <c r="D1569" s="6" t="s">
        <v>57</v>
      </c>
      <c r="E1569" s="6" t="s">
        <v>57</v>
      </c>
      <c r="F1569" s="6" t="s">
        <v>24</v>
      </c>
      <c r="G1569" s="6" t="s">
        <v>61</v>
      </c>
      <c r="H1569" s="6" t="s">
        <v>63</v>
      </c>
      <c r="I1569" s="6" t="str">
        <f aca="false">IF(A1569&lt;Outliers!$E$6,"Low",IF(A1569&gt;Outliers!$F$6,"High",""))</f>
        <v/>
      </c>
      <c r="J1569" s="6" t="str">
        <f aca="false">IF(B1569&lt;Outliers!$E$7,"Low",IF(B1569&gt;Outliers!$F$7,"High",""))</f>
        <v/>
      </c>
      <c r="K1569" s="6" t="str">
        <f aca="false">IF(C1569&lt;Outliers!$E$8,"Low",IF(C1569&gt;Outliers!$F$8,"High",""))</f>
        <v/>
      </c>
      <c r="L1569" s="6" t="str">
        <f aca="false">A1569&amp;";"&amp;B1569&amp;";"&amp;C1569</f>
        <v>21.45278675;116.7036582;14.4342982329886</v>
      </c>
      <c r="M1569" s="6" t="n">
        <f aca="false">IF(COUNTIF($L$2:$L$2201,L1569)&gt;1,1,0)</f>
        <v>0</v>
      </c>
      <c r="N1569" s="6" t="str">
        <f aca="false">IF(AND(C1569&lt;Assumptions!$B$9,B1569&lt;Assumptions!$B$10),"Irrigate Now",IF(AND(C1569&gt;=Assumptions!$B$11,B1569&gt;=Assumptions!$B$12),"No Irrigation Needed","Monitor"))</f>
        <v>Monitor</v>
      </c>
      <c r="O1569" s="6" t="n">
        <f aca="false">IF(N1569=G1569,1,0)</f>
        <v>1</v>
      </c>
    </row>
    <row r="1570" customFormat="false" ht="15" hidden="false" customHeight="false" outlineLevel="0" collapsed="false">
      <c r="A1570" s="16" t="n">
        <v>22.81227579</v>
      </c>
      <c r="B1570" s="16" t="n">
        <v>109.3383552</v>
      </c>
      <c r="C1570" s="16" t="n">
        <v>25.8367973451281</v>
      </c>
      <c r="D1570" s="6" t="s">
        <v>57</v>
      </c>
      <c r="E1570" s="6" t="s">
        <v>57</v>
      </c>
      <c r="F1570" s="6" t="s">
        <v>23</v>
      </c>
      <c r="G1570" s="6" t="s">
        <v>58</v>
      </c>
      <c r="H1570" s="6" t="s">
        <v>59</v>
      </c>
      <c r="I1570" s="6" t="str">
        <f aca="false">IF(A1570&lt;Outliers!$E$6,"Low",IF(A1570&gt;Outliers!$F$6,"High",""))</f>
        <v/>
      </c>
      <c r="J1570" s="6" t="str">
        <f aca="false">IF(B1570&lt;Outliers!$E$7,"Low",IF(B1570&gt;Outliers!$F$7,"High",""))</f>
        <v/>
      </c>
      <c r="K1570" s="6" t="str">
        <f aca="false">IF(C1570&lt;Outliers!$E$8,"Low",IF(C1570&gt;Outliers!$F$8,"High",""))</f>
        <v/>
      </c>
      <c r="L1570" s="6" t="str">
        <f aca="false">A1570&amp;";"&amp;B1570&amp;";"&amp;C1570</f>
        <v>22.81227579;109.3383552;25.8367973451281</v>
      </c>
      <c r="M1570" s="6" t="n">
        <f aca="false">IF(COUNTIF($L$2:$L$2201,L1570)&gt;1,1,0)</f>
        <v>0</v>
      </c>
      <c r="N1570" s="6" t="str">
        <f aca="false">IF(AND(C1570&lt;Assumptions!$B$9,B1570&lt;Assumptions!$B$10),"Irrigate Now",IF(AND(C1570&gt;=Assumptions!$B$11,B1570&gt;=Assumptions!$B$12),"No Irrigation Needed","Monitor"))</f>
        <v>No Irrigation Needed</v>
      </c>
      <c r="O1570" s="6" t="n">
        <f aca="false">IF(N1570=G1570,1,0)</f>
        <v>1</v>
      </c>
    </row>
    <row r="1571" customFormat="false" ht="15" hidden="false" customHeight="false" outlineLevel="0" collapsed="false">
      <c r="A1571" s="16" t="n">
        <v>21.98141856</v>
      </c>
      <c r="B1571" s="16" t="n">
        <v>115.4789148</v>
      </c>
      <c r="C1571" s="16" t="n">
        <v>27.1181385553011</v>
      </c>
      <c r="D1571" s="6" t="s">
        <v>57</v>
      </c>
      <c r="E1571" s="6" t="s">
        <v>57</v>
      </c>
      <c r="F1571" s="6" t="s">
        <v>23</v>
      </c>
      <c r="G1571" s="6" t="s">
        <v>58</v>
      </c>
      <c r="H1571" s="6" t="s">
        <v>59</v>
      </c>
      <c r="I1571" s="6" t="str">
        <f aca="false">IF(A1571&lt;Outliers!$E$6,"Low",IF(A1571&gt;Outliers!$F$6,"High",""))</f>
        <v/>
      </c>
      <c r="J1571" s="6" t="str">
        <f aca="false">IF(B1571&lt;Outliers!$E$7,"Low",IF(B1571&gt;Outliers!$F$7,"High",""))</f>
        <v/>
      </c>
      <c r="K1571" s="6" t="str">
        <f aca="false">IF(C1571&lt;Outliers!$E$8,"Low",IF(C1571&gt;Outliers!$F$8,"High",""))</f>
        <v/>
      </c>
      <c r="L1571" s="6" t="str">
        <f aca="false">A1571&amp;";"&amp;B1571&amp;";"&amp;C1571</f>
        <v>21.98141856;115.4789148;27.1181385553011</v>
      </c>
      <c r="M1571" s="6" t="n">
        <f aca="false">IF(COUNTIF($L$2:$L$2201,L1571)&gt;1,1,0)</f>
        <v>0</v>
      </c>
      <c r="N1571" s="6" t="str">
        <f aca="false">IF(AND(C1571&lt;Assumptions!$B$9,B1571&lt;Assumptions!$B$10),"Irrigate Now",IF(AND(C1571&gt;=Assumptions!$B$11,B1571&gt;=Assumptions!$B$12),"No Irrigation Needed","Monitor"))</f>
        <v>No Irrigation Needed</v>
      </c>
      <c r="O1571" s="6" t="n">
        <f aca="false">IF(N1571=G1571,1,0)</f>
        <v>1</v>
      </c>
    </row>
    <row r="1572" customFormat="false" ht="15" hidden="false" customHeight="false" outlineLevel="0" collapsed="false">
      <c r="A1572" s="16" t="n">
        <v>22.52709326</v>
      </c>
      <c r="B1572" s="16" t="n">
        <v>115.3830068</v>
      </c>
      <c r="C1572" s="16" t="n">
        <v>18.9060025629984</v>
      </c>
      <c r="D1572" s="6" t="s">
        <v>57</v>
      </c>
      <c r="E1572" s="6" t="s">
        <v>57</v>
      </c>
      <c r="F1572" s="6" t="s">
        <v>60</v>
      </c>
      <c r="G1572" s="6" t="s">
        <v>61</v>
      </c>
      <c r="H1572" s="6" t="s">
        <v>63</v>
      </c>
      <c r="I1572" s="6" t="str">
        <f aca="false">IF(A1572&lt;Outliers!$E$6,"Low",IF(A1572&gt;Outliers!$F$6,"High",""))</f>
        <v/>
      </c>
      <c r="J1572" s="6" t="str">
        <f aca="false">IF(B1572&lt;Outliers!$E$7,"Low",IF(B1572&gt;Outliers!$F$7,"High",""))</f>
        <v/>
      </c>
      <c r="K1572" s="6" t="str">
        <f aca="false">IF(C1572&lt;Outliers!$E$8,"Low",IF(C1572&gt;Outliers!$F$8,"High",""))</f>
        <v/>
      </c>
      <c r="L1572" s="6" t="str">
        <f aca="false">A1572&amp;";"&amp;B1572&amp;";"&amp;C1572</f>
        <v>22.52709326;115.3830068;18.9060025629984</v>
      </c>
      <c r="M1572" s="6" t="n">
        <f aca="false">IF(COUNTIF($L$2:$L$2201,L1572)&gt;1,1,0)</f>
        <v>0</v>
      </c>
      <c r="N1572" s="6" t="str">
        <f aca="false">IF(AND(C1572&lt;Assumptions!$B$9,B1572&lt;Assumptions!$B$10),"Irrigate Now",IF(AND(C1572&gt;=Assumptions!$B$11,B1572&gt;=Assumptions!$B$12),"No Irrigation Needed","Monitor"))</f>
        <v>Monitor</v>
      </c>
      <c r="O1572" s="6" t="n">
        <f aca="false">IF(N1572=G1572,1,0)</f>
        <v>1</v>
      </c>
    </row>
    <row r="1573" customFormat="false" ht="15" hidden="false" customHeight="false" outlineLevel="0" collapsed="false">
      <c r="A1573" s="16" t="n">
        <v>22.35628673</v>
      </c>
      <c r="B1573" s="16" t="n">
        <v>107.7697413</v>
      </c>
      <c r="C1573" s="16" t="n">
        <v>20.4161389179437</v>
      </c>
      <c r="D1573" s="6" t="s">
        <v>57</v>
      </c>
      <c r="E1573" s="6" t="s">
        <v>57</v>
      </c>
      <c r="F1573" s="6" t="s">
        <v>60</v>
      </c>
      <c r="G1573" s="6" t="s">
        <v>61</v>
      </c>
      <c r="H1573" s="6" t="s">
        <v>63</v>
      </c>
      <c r="I1573" s="6" t="str">
        <f aca="false">IF(A1573&lt;Outliers!$E$6,"Low",IF(A1573&gt;Outliers!$F$6,"High",""))</f>
        <v/>
      </c>
      <c r="J1573" s="6" t="str">
        <f aca="false">IF(B1573&lt;Outliers!$E$7,"Low",IF(B1573&gt;Outliers!$F$7,"High",""))</f>
        <v/>
      </c>
      <c r="K1573" s="6" t="str">
        <f aca="false">IF(C1573&lt;Outliers!$E$8,"Low",IF(C1573&gt;Outliers!$F$8,"High",""))</f>
        <v/>
      </c>
      <c r="L1573" s="6" t="str">
        <f aca="false">A1573&amp;";"&amp;B1573&amp;";"&amp;C1573</f>
        <v>22.35628673;107.7697413;20.4161389179437</v>
      </c>
      <c r="M1573" s="6" t="n">
        <f aca="false">IF(COUNTIF($L$2:$L$2201,L1573)&gt;1,1,0)</f>
        <v>0</v>
      </c>
      <c r="N1573" s="6" t="str">
        <f aca="false">IF(AND(C1573&lt;Assumptions!$B$9,B1573&lt;Assumptions!$B$10),"Irrigate Now",IF(AND(C1573&gt;=Assumptions!$B$11,B1573&gt;=Assumptions!$B$12),"No Irrigation Needed","Monitor"))</f>
        <v>Monitor</v>
      </c>
      <c r="O1573" s="6" t="n">
        <f aca="false">IF(N1573=G1573,1,0)</f>
        <v>1</v>
      </c>
    </row>
    <row r="1574" customFormat="false" ht="15" hidden="false" customHeight="false" outlineLevel="0" collapsed="false">
      <c r="A1574" s="16" t="n">
        <v>21.19852186</v>
      </c>
      <c r="B1574" s="16" t="n">
        <v>105.8554351</v>
      </c>
      <c r="C1574" s="16" t="n">
        <v>21.1740165111608</v>
      </c>
      <c r="D1574" s="6" t="s">
        <v>57</v>
      </c>
      <c r="E1574" s="6" t="s">
        <v>57</v>
      </c>
      <c r="F1574" s="6" t="s">
        <v>60</v>
      </c>
      <c r="G1574" s="6" t="s">
        <v>61</v>
      </c>
      <c r="H1574" s="6" t="s">
        <v>63</v>
      </c>
      <c r="I1574" s="6" t="str">
        <f aca="false">IF(A1574&lt;Outliers!$E$6,"Low",IF(A1574&gt;Outliers!$F$6,"High",""))</f>
        <v/>
      </c>
      <c r="J1574" s="6" t="str">
        <f aca="false">IF(B1574&lt;Outliers!$E$7,"Low",IF(B1574&gt;Outliers!$F$7,"High",""))</f>
        <v/>
      </c>
      <c r="K1574" s="6" t="str">
        <f aca="false">IF(C1574&lt;Outliers!$E$8,"Low",IF(C1574&gt;Outliers!$F$8,"High",""))</f>
        <v/>
      </c>
      <c r="L1574" s="6" t="str">
        <f aca="false">A1574&amp;";"&amp;B1574&amp;";"&amp;C1574</f>
        <v>21.19852186;105.8554351;21.1740165111608</v>
      </c>
      <c r="M1574" s="6" t="n">
        <f aca="false">IF(COUNTIF($L$2:$L$2201,L1574)&gt;1,1,0)</f>
        <v>0</v>
      </c>
      <c r="N1574" s="6" t="str">
        <f aca="false">IF(AND(C1574&lt;Assumptions!$B$9,B1574&lt;Assumptions!$B$10),"Irrigate Now",IF(AND(C1574&gt;=Assumptions!$B$11,B1574&gt;=Assumptions!$B$12),"No Irrigation Needed","Monitor"))</f>
        <v>Monitor</v>
      </c>
      <c r="O1574" s="6" t="n">
        <f aca="false">IF(N1574=G1574,1,0)</f>
        <v>1</v>
      </c>
    </row>
    <row r="1575" customFormat="false" ht="15" hidden="false" customHeight="false" outlineLevel="0" collapsed="false">
      <c r="A1575" s="16" t="n">
        <v>23.8812458</v>
      </c>
      <c r="B1575" s="16" t="n">
        <v>104.9116663</v>
      </c>
      <c r="C1575" s="16" t="n">
        <v>29.6106691566057</v>
      </c>
      <c r="D1575" s="6" t="s">
        <v>57</v>
      </c>
      <c r="E1575" s="6" t="s">
        <v>57</v>
      </c>
      <c r="F1575" s="6" t="s">
        <v>23</v>
      </c>
      <c r="G1575" s="6" t="s">
        <v>58</v>
      </c>
      <c r="H1575" s="6" t="s">
        <v>59</v>
      </c>
      <c r="I1575" s="6" t="str">
        <f aca="false">IF(A1575&lt;Outliers!$E$6,"Low",IF(A1575&gt;Outliers!$F$6,"High",""))</f>
        <v/>
      </c>
      <c r="J1575" s="6" t="str">
        <f aca="false">IF(B1575&lt;Outliers!$E$7,"Low",IF(B1575&gt;Outliers!$F$7,"High",""))</f>
        <v/>
      </c>
      <c r="K1575" s="6" t="str">
        <f aca="false">IF(C1575&lt;Outliers!$E$8,"Low",IF(C1575&gt;Outliers!$F$8,"High",""))</f>
        <v/>
      </c>
      <c r="L1575" s="6" t="str">
        <f aca="false">A1575&amp;";"&amp;B1575&amp;";"&amp;C1575</f>
        <v>23.8812458;104.9116663;29.6106691566057</v>
      </c>
      <c r="M1575" s="6" t="n">
        <f aca="false">IF(COUNTIF($L$2:$L$2201,L1575)&gt;1,1,0)</f>
        <v>0</v>
      </c>
      <c r="N1575" s="6" t="str">
        <f aca="false">IF(AND(C1575&lt;Assumptions!$B$9,B1575&lt;Assumptions!$B$10),"Irrigate Now",IF(AND(C1575&gt;=Assumptions!$B$11,B1575&gt;=Assumptions!$B$12),"No Irrigation Needed","Monitor"))</f>
        <v>No Irrigation Needed</v>
      </c>
      <c r="O1575" s="6" t="n">
        <f aca="false">IF(N1575=G1575,1,0)</f>
        <v>1</v>
      </c>
    </row>
    <row r="1576" customFormat="false" ht="15" hidden="false" customHeight="false" outlineLevel="0" collapsed="false">
      <c r="A1576" s="16" t="n">
        <v>22.78234161</v>
      </c>
      <c r="B1576" s="16" t="n">
        <v>122.1449949</v>
      </c>
      <c r="C1576" s="16" t="n">
        <v>18.1136555437847</v>
      </c>
      <c r="D1576" s="6" t="s">
        <v>57</v>
      </c>
      <c r="E1576" s="6" t="s">
        <v>57</v>
      </c>
      <c r="F1576" s="6" t="s">
        <v>60</v>
      </c>
      <c r="G1576" s="6" t="s">
        <v>61</v>
      </c>
      <c r="H1576" s="6" t="s">
        <v>63</v>
      </c>
      <c r="I1576" s="6" t="str">
        <f aca="false">IF(A1576&lt;Outliers!$E$6,"Low",IF(A1576&gt;Outliers!$F$6,"High",""))</f>
        <v/>
      </c>
      <c r="J1576" s="6" t="str">
        <f aca="false">IF(B1576&lt;Outliers!$E$7,"Low",IF(B1576&gt;Outliers!$F$7,"High",""))</f>
        <v/>
      </c>
      <c r="K1576" s="6" t="str">
        <f aca="false">IF(C1576&lt;Outliers!$E$8,"Low",IF(C1576&gt;Outliers!$F$8,"High",""))</f>
        <v/>
      </c>
      <c r="L1576" s="6" t="str">
        <f aca="false">A1576&amp;";"&amp;B1576&amp;";"&amp;C1576</f>
        <v>22.78234161;122.1449949;18.1136555437847</v>
      </c>
      <c r="M1576" s="6" t="n">
        <f aca="false">IF(COUNTIF($L$2:$L$2201,L1576)&gt;1,1,0)</f>
        <v>0</v>
      </c>
      <c r="N1576" s="6" t="str">
        <f aca="false">IF(AND(C1576&lt;Assumptions!$B$9,B1576&lt;Assumptions!$B$10),"Irrigate Now",IF(AND(C1576&gt;=Assumptions!$B$11,B1576&gt;=Assumptions!$B$12),"No Irrigation Needed","Monitor"))</f>
        <v>Monitor</v>
      </c>
      <c r="O1576" s="6" t="n">
        <f aca="false">IF(N1576=G1576,1,0)</f>
        <v>1</v>
      </c>
    </row>
    <row r="1577" customFormat="false" ht="15" hidden="false" customHeight="false" outlineLevel="0" collapsed="false">
      <c r="A1577" s="16" t="n">
        <v>22.19055385</v>
      </c>
      <c r="B1577" s="16" t="n">
        <v>121.6622761</v>
      </c>
      <c r="C1577" s="16" t="n">
        <v>28.8747379388194</v>
      </c>
      <c r="D1577" s="6" t="s">
        <v>57</v>
      </c>
      <c r="E1577" s="6" t="s">
        <v>57</v>
      </c>
      <c r="F1577" s="6" t="s">
        <v>23</v>
      </c>
      <c r="G1577" s="6" t="s">
        <v>58</v>
      </c>
      <c r="H1577" s="6" t="s">
        <v>59</v>
      </c>
      <c r="I1577" s="6" t="str">
        <f aca="false">IF(A1577&lt;Outliers!$E$6,"Low",IF(A1577&gt;Outliers!$F$6,"High",""))</f>
        <v/>
      </c>
      <c r="J1577" s="6" t="str">
        <f aca="false">IF(B1577&lt;Outliers!$E$7,"Low",IF(B1577&gt;Outliers!$F$7,"High",""))</f>
        <v/>
      </c>
      <c r="K1577" s="6" t="str">
        <f aca="false">IF(C1577&lt;Outliers!$E$8,"Low",IF(C1577&gt;Outliers!$F$8,"High",""))</f>
        <v/>
      </c>
      <c r="L1577" s="6" t="str">
        <f aca="false">A1577&amp;";"&amp;B1577&amp;";"&amp;C1577</f>
        <v>22.19055385;121.6622761;28.8747379388194</v>
      </c>
      <c r="M1577" s="6" t="n">
        <f aca="false">IF(COUNTIF($L$2:$L$2201,L1577)&gt;1,1,0)</f>
        <v>0</v>
      </c>
      <c r="N1577" s="6" t="str">
        <f aca="false">IF(AND(C1577&lt;Assumptions!$B$9,B1577&lt;Assumptions!$B$10),"Irrigate Now",IF(AND(C1577&gt;=Assumptions!$B$11,B1577&gt;=Assumptions!$B$12),"No Irrigation Needed","Monitor"))</f>
        <v>No Irrigation Needed</v>
      </c>
      <c r="O1577" s="6" t="n">
        <f aca="false">IF(N1577=G1577,1,0)</f>
        <v>1</v>
      </c>
    </row>
    <row r="1578" customFormat="false" ht="15" hidden="false" customHeight="false" outlineLevel="0" collapsed="false">
      <c r="A1578" s="16" t="n">
        <v>22.91430043</v>
      </c>
      <c r="B1578" s="16" t="n">
        <v>118.6044645</v>
      </c>
      <c r="C1578" s="16" t="n">
        <v>15.8697409238893</v>
      </c>
      <c r="D1578" s="6" t="s">
        <v>57</v>
      </c>
      <c r="E1578" s="6" t="s">
        <v>57</v>
      </c>
      <c r="F1578" s="6" t="s">
        <v>24</v>
      </c>
      <c r="G1578" s="6" t="s">
        <v>61</v>
      </c>
      <c r="H1578" s="6" t="s">
        <v>63</v>
      </c>
      <c r="I1578" s="6" t="str">
        <f aca="false">IF(A1578&lt;Outliers!$E$6,"Low",IF(A1578&gt;Outliers!$F$6,"High",""))</f>
        <v/>
      </c>
      <c r="J1578" s="6" t="str">
        <f aca="false">IF(B1578&lt;Outliers!$E$7,"Low",IF(B1578&gt;Outliers!$F$7,"High",""))</f>
        <v/>
      </c>
      <c r="K1578" s="6" t="str">
        <f aca="false">IF(C1578&lt;Outliers!$E$8,"Low",IF(C1578&gt;Outliers!$F$8,"High",""))</f>
        <v/>
      </c>
      <c r="L1578" s="6" t="str">
        <f aca="false">A1578&amp;";"&amp;B1578&amp;";"&amp;C1578</f>
        <v>22.91430043;118.6044645;15.8697409238893</v>
      </c>
      <c r="M1578" s="6" t="n">
        <f aca="false">IF(COUNTIF($L$2:$L$2201,L1578)&gt;1,1,0)</f>
        <v>0</v>
      </c>
      <c r="N1578" s="6" t="str">
        <f aca="false">IF(AND(C1578&lt;Assumptions!$B$9,B1578&lt;Assumptions!$B$10),"Irrigate Now",IF(AND(C1578&gt;=Assumptions!$B$11,B1578&gt;=Assumptions!$B$12),"No Irrigation Needed","Monitor"))</f>
        <v>Monitor</v>
      </c>
      <c r="O1578" s="6" t="n">
        <f aca="false">IF(N1578=G1578,1,0)</f>
        <v>1</v>
      </c>
    </row>
    <row r="1579" customFormat="false" ht="15" hidden="false" customHeight="false" outlineLevel="0" collapsed="false">
      <c r="A1579" s="16" t="n">
        <v>23.08950736</v>
      </c>
      <c r="B1579" s="16" t="n">
        <v>108.2166601</v>
      </c>
      <c r="C1579" s="16" t="n">
        <v>19.4426302220888</v>
      </c>
      <c r="D1579" s="6" t="s">
        <v>57</v>
      </c>
      <c r="E1579" s="6" t="s">
        <v>57</v>
      </c>
      <c r="F1579" s="6" t="s">
        <v>60</v>
      </c>
      <c r="G1579" s="6" t="s">
        <v>61</v>
      </c>
      <c r="H1579" s="6" t="s">
        <v>63</v>
      </c>
      <c r="I1579" s="6" t="str">
        <f aca="false">IF(A1579&lt;Outliers!$E$6,"Low",IF(A1579&gt;Outliers!$F$6,"High",""))</f>
        <v/>
      </c>
      <c r="J1579" s="6" t="str">
        <f aca="false">IF(B1579&lt;Outliers!$E$7,"Low",IF(B1579&gt;Outliers!$F$7,"High",""))</f>
        <v/>
      </c>
      <c r="K1579" s="6" t="str">
        <f aca="false">IF(C1579&lt;Outliers!$E$8,"Low",IF(C1579&gt;Outliers!$F$8,"High",""))</f>
        <v/>
      </c>
      <c r="L1579" s="6" t="str">
        <f aca="false">A1579&amp;";"&amp;B1579&amp;";"&amp;C1579</f>
        <v>23.08950736;108.2166601;19.4426302220888</v>
      </c>
      <c r="M1579" s="6" t="n">
        <f aca="false">IF(COUNTIF($L$2:$L$2201,L1579)&gt;1,1,0)</f>
        <v>0</v>
      </c>
      <c r="N1579" s="6" t="str">
        <f aca="false">IF(AND(C1579&lt;Assumptions!$B$9,B1579&lt;Assumptions!$B$10),"Irrigate Now",IF(AND(C1579&gt;=Assumptions!$B$11,B1579&gt;=Assumptions!$B$12),"No Irrigation Needed","Monitor"))</f>
        <v>Monitor</v>
      </c>
      <c r="O1579" s="6" t="n">
        <f aca="false">IF(N1579=G1579,1,0)</f>
        <v>1</v>
      </c>
    </row>
    <row r="1580" customFormat="false" ht="15" hidden="false" customHeight="false" outlineLevel="0" collapsed="false">
      <c r="A1580" s="16" t="n">
        <v>21.72484506</v>
      </c>
      <c r="B1580" s="16" t="n">
        <v>121.6961761</v>
      </c>
      <c r="C1580" s="16" t="n">
        <v>15.7376399609398</v>
      </c>
      <c r="D1580" s="6" t="s">
        <v>57</v>
      </c>
      <c r="E1580" s="6" t="s">
        <v>57</v>
      </c>
      <c r="F1580" s="6" t="s">
        <v>24</v>
      </c>
      <c r="G1580" s="6" t="s">
        <v>61</v>
      </c>
      <c r="H1580" s="6" t="s">
        <v>63</v>
      </c>
      <c r="I1580" s="6" t="str">
        <f aca="false">IF(A1580&lt;Outliers!$E$6,"Low",IF(A1580&gt;Outliers!$F$6,"High",""))</f>
        <v/>
      </c>
      <c r="J1580" s="6" t="str">
        <f aca="false">IF(B1580&lt;Outliers!$E$7,"Low",IF(B1580&gt;Outliers!$F$7,"High",""))</f>
        <v/>
      </c>
      <c r="K1580" s="6" t="str">
        <f aca="false">IF(C1580&lt;Outliers!$E$8,"Low",IF(C1580&gt;Outliers!$F$8,"High",""))</f>
        <v/>
      </c>
      <c r="L1580" s="6" t="str">
        <f aca="false">A1580&amp;";"&amp;B1580&amp;";"&amp;C1580</f>
        <v>21.72484506;121.6961761;15.7376399609398</v>
      </c>
      <c r="M1580" s="6" t="n">
        <f aca="false">IF(COUNTIF($L$2:$L$2201,L1580)&gt;1,1,0)</f>
        <v>0</v>
      </c>
      <c r="N1580" s="6" t="str">
        <f aca="false">IF(AND(C1580&lt;Assumptions!$B$9,B1580&lt;Assumptions!$B$10),"Irrigate Now",IF(AND(C1580&gt;=Assumptions!$B$11,B1580&gt;=Assumptions!$B$12),"No Irrigation Needed","Monitor"))</f>
        <v>Monitor</v>
      </c>
      <c r="O1580" s="6" t="n">
        <f aca="false">IF(N1580=G1580,1,0)</f>
        <v>1</v>
      </c>
    </row>
    <row r="1581" customFormat="false" ht="15" hidden="false" customHeight="false" outlineLevel="0" collapsed="false">
      <c r="A1581" s="16" t="n">
        <v>22.44307715</v>
      </c>
      <c r="B1581" s="16" t="n">
        <v>102.5565807</v>
      </c>
      <c r="C1581" s="16" t="n">
        <v>26.0335030233539</v>
      </c>
      <c r="D1581" s="6" t="s">
        <v>57</v>
      </c>
      <c r="E1581" s="6" t="s">
        <v>57</v>
      </c>
      <c r="F1581" s="6" t="s">
        <v>23</v>
      </c>
      <c r="G1581" s="6" t="s">
        <v>58</v>
      </c>
      <c r="H1581" s="6" t="s">
        <v>59</v>
      </c>
      <c r="I1581" s="6" t="str">
        <f aca="false">IF(A1581&lt;Outliers!$E$6,"Low",IF(A1581&gt;Outliers!$F$6,"High",""))</f>
        <v/>
      </c>
      <c r="J1581" s="6" t="str">
        <f aca="false">IF(B1581&lt;Outliers!$E$7,"Low",IF(B1581&gt;Outliers!$F$7,"High",""))</f>
        <v/>
      </c>
      <c r="K1581" s="6" t="str">
        <f aca="false">IF(C1581&lt;Outliers!$E$8,"Low",IF(C1581&gt;Outliers!$F$8,"High",""))</f>
        <v/>
      </c>
      <c r="L1581" s="6" t="str">
        <f aca="false">A1581&amp;";"&amp;B1581&amp;";"&amp;C1581</f>
        <v>22.44307715;102.5565807;26.0335030233539</v>
      </c>
      <c r="M1581" s="6" t="n">
        <f aca="false">IF(COUNTIF($L$2:$L$2201,L1581)&gt;1,1,0)</f>
        <v>0</v>
      </c>
      <c r="N1581" s="6" t="str">
        <f aca="false">IF(AND(C1581&lt;Assumptions!$B$9,B1581&lt;Assumptions!$B$10),"Irrigate Now",IF(AND(C1581&gt;=Assumptions!$B$11,B1581&gt;=Assumptions!$B$12),"No Irrigation Needed","Monitor"))</f>
        <v>No Irrigation Needed</v>
      </c>
      <c r="O1581" s="6" t="n">
        <f aca="false">IF(N1581=G1581,1,0)</f>
        <v>1</v>
      </c>
    </row>
    <row r="1582" customFormat="false" ht="15" hidden="false" customHeight="false" outlineLevel="0" collapsed="false">
      <c r="A1582" s="16" t="n">
        <v>21.1316077</v>
      </c>
      <c r="B1582" s="16" t="n">
        <v>122.5391946</v>
      </c>
      <c r="C1582" s="16" t="n">
        <v>17.5931236747446</v>
      </c>
      <c r="D1582" s="6" t="s">
        <v>57</v>
      </c>
      <c r="E1582" s="6" t="s">
        <v>57</v>
      </c>
      <c r="F1582" s="6" t="s">
        <v>60</v>
      </c>
      <c r="G1582" s="6" t="s">
        <v>61</v>
      </c>
      <c r="H1582" s="6" t="s">
        <v>63</v>
      </c>
      <c r="I1582" s="6" t="str">
        <f aca="false">IF(A1582&lt;Outliers!$E$6,"Low",IF(A1582&gt;Outliers!$F$6,"High",""))</f>
        <v/>
      </c>
      <c r="J1582" s="6" t="str">
        <f aca="false">IF(B1582&lt;Outliers!$E$7,"Low",IF(B1582&gt;Outliers!$F$7,"High",""))</f>
        <v/>
      </c>
      <c r="K1582" s="6" t="str">
        <f aca="false">IF(C1582&lt;Outliers!$E$8,"Low",IF(C1582&gt;Outliers!$F$8,"High",""))</f>
        <v/>
      </c>
      <c r="L1582" s="6" t="str">
        <f aca="false">A1582&amp;";"&amp;B1582&amp;";"&amp;C1582</f>
        <v>21.1316077;122.5391946;17.5931236747446</v>
      </c>
      <c r="M1582" s="6" t="n">
        <f aca="false">IF(COUNTIF($L$2:$L$2201,L1582)&gt;1,1,0)</f>
        <v>0</v>
      </c>
      <c r="N1582" s="6" t="str">
        <f aca="false">IF(AND(C1582&lt;Assumptions!$B$9,B1582&lt;Assumptions!$B$10),"Irrigate Now",IF(AND(C1582&gt;=Assumptions!$B$11,B1582&gt;=Assumptions!$B$12),"No Irrigation Needed","Monitor"))</f>
        <v>Monitor</v>
      </c>
      <c r="O1582" s="6" t="n">
        <f aca="false">IF(N1582=G1582,1,0)</f>
        <v>1</v>
      </c>
    </row>
    <row r="1583" customFormat="false" ht="15" hidden="false" customHeight="false" outlineLevel="0" collapsed="false">
      <c r="A1583" s="16" t="n">
        <v>22.71750705</v>
      </c>
      <c r="B1583" s="16" t="n">
        <v>107.0289866</v>
      </c>
      <c r="C1583" s="16" t="n">
        <v>24.4308664806399</v>
      </c>
      <c r="D1583" s="6" t="s">
        <v>57</v>
      </c>
      <c r="E1583" s="6" t="s">
        <v>57</v>
      </c>
      <c r="F1583" s="6" t="s">
        <v>23</v>
      </c>
      <c r="G1583" s="6" t="s">
        <v>61</v>
      </c>
      <c r="H1583" s="6" t="s">
        <v>63</v>
      </c>
      <c r="I1583" s="6" t="str">
        <f aca="false">IF(A1583&lt;Outliers!$E$6,"Low",IF(A1583&gt;Outliers!$F$6,"High",""))</f>
        <v/>
      </c>
      <c r="J1583" s="6" t="str">
        <f aca="false">IF(B1583&lt;Outliers!$E$7,"Low",IF(B1583&gt;Outliers!$F$7,"High",""))</f>
        <v/>
      </c>
      <c r="K1583" s="6" t="str">
        <f aca="false">IF(C1583&lt;Outliers!$E$8,"Low",IF(C1583&gt;Outliers!$F$8,"High",""))</f>
        <v/>
      </c>
      <c r="L1583" s="6" t="str">
        <f aca="false">A1583&amp;";"&amp;B1583&amp;";"&amp;C1583</f>
        <v>22.71750705;107.0289866;24.4308664806399</v>
      </c>
      <c r="M1583" s="6" t="n">
        <f aca="false">IF(COUNTIF($L$2:$L$2201,L1583)&gt;1,1,0)</f>
        <v>0</v>
      </c>
      <c r="N1583" s="6" t="str">
        <f aca="false">IF(AND(C1583&lt;Assumptions!$B$9,B1583&lt;Assumptions!$B$10),"Irrigate Now",IF(AND(C1583&gt;=Assumptions!$B$11,B1583&gt;=Assumptions!$B$12),"No Irrigation Needed","Monitor"))</f>
        <v>Monitor</v>
      </c>
      <c r="O1583" s="6" t="n">
        <f aca="false">IF(N1583=G1583,1,0)</f>
        <v>1</v>
      </c>
    </row>
    <row r="1584" customFormat="false" ht="15" hidden="false" customHeight="false" outlineLevel="0" collapsed="false">
      <c r="A1584" s="16" t="n">
        <v>23.75033085</v>
      </c>
      <c r="B1584" s="16" t="n">
        <v>117.6602827</v>
      </c>
      <c r="C1584" s="16" t="n">
        <v>24.742094013552</v>
      </c>
      <c r="D1584" s="6" t="s">
        <v>57</v>
      </c>
      <c r="E1584" s="6" t="s">
        <v>57</v>
      </c>
      <c r="F1584" s="6" t="s">
        <v>23</v>
      </c>
      <c r="G1584" s="6" t="s">
        <v>61</v>
      </c>
      <c r="H1584" s="6" t="s">
        <v>63</v>
      </c>
      <c r="I1584" s="6" t="str">
        <f aca="false">IF(A1584&lt;Outliers!$E$6,"Low",IF(A1584&gt;Outliers!$F$6,"High",""))</f>
        <v/>
      </c>
      <c r="J1584" s="6" t="str">
        <f aca="false">IF(B1584&lt;Outliers!$E$7,"Low",IF(B1584&gt;Outliers!$F$7,"High",""))</f>
        <v/>
      </c>
      <c r="K1584" s="6" t="str">
        <f aca="false">IF(C1584&lt;Outliers!$E$8,"Low",IF(C1584&gt;Outliers!$F$8,"High",""))</f>
        <v/>
      </c>
      <c r="L1584" s="6" t="str">
        <f aca="false">A1584&amp;";"&amp;B1584&amp;";"&amp;C1584</f>
        <v>23.75033085;117.6602827;24.742094013552</v>
      </c>
      <c r="M1584" s="6" t="n">
        <f aca="false">IF(COUNTIF($L$2:$L$2201,L1584)&gt;1,1,0)</f>
        <v>0</v>
      </c>
      <c r="N1584" s="6" t="str">
        <f aca="false">IF(AND(C1584&lt;Assumptions!$B$9,B1584&lt;Assumptions!$B$10),"Irrigate Now",IF(AND(C1584&gt;=Assumptions!$B$11,B1584&gt;=Assumptions!$B$12),"No Irrigation Needed","Monitor"))</f>
        <v>Monitor</v>
      </c>
      <c r="O1584" s="6" t="n">
        <f aca="false">IF(N1584=G1584,1,0)</f>
        <v>1</v>
      </c>
    </row>
    <row r="1585" customFormat="false" ht="15" hidden="false" customHeight="false" outlineLevel="0" collapsed="false">
      <c r="A1585" s="16" t="n">
        <v>23.76121837</v>
      </c>
      <c r="B1585" s="16" t="n">
        <v>100.825956</v>
      </c>
      <c r="C1585" s="16" t="n">
        <v>24.2629254208253</v>
      </c>
      <c r="D1585" s="6" t="s">
        <v>57</v>
      </c>
      <c r="E1585" s="6" t="s">
        <v>57</v>
      </c>
      <c r="F1585" s="6" t="s">
        <v>23</v>
      </c>
      <c r="G1585" s="6" t="s">
        <v>61</v>
      </c>
      <c r="H1585" s="6" t="s">
        <v>63</v>
      </c>
      <c r="I1585" s="6" t="str">
        <f aca="false">IF(A1585&lt;Outliers!$E$6,"Low",IF(A1585&gt;Outliers!$F$6,"High",""))</f>
        <v/>
      </c>
      <c r="J1585" s="6" t="str">
        <f aca="false">IF(B1585&lt;Outliers!$E$7,"Low",IF(B1585&gt;Outliers!$F$7,"High",""))</f>
        <v/>
      </c>
      <c r="K1585" s="6" t="str">
        <f aca="false">IF(C1585&lt;Outliers!$E$8,"Low",IF(C1585&gt;Outliers!$F$8,"High",""))</f>
        <v/>
      </c>
      <c r="L1585" s="6" t="str">
        <f aca="false">A1585&amp;";"&amp;B1585&amp;";"&amp;C1585</f>
        <v>23.76121837;100.825956;24.2629254208253</v>
      </c>
      <c r="M1585" s="6" t="n">
        <f aca="false">IF(COUNTIF($L$2:$L$2201,L1585)&gt;1,1,0)</f>
        <v>0</v>
      </c>
      <c r="N1585" s="6" t="str">
        <f aca="false">IF(AND(C1585&lt;Assumptions!$B$9,B1585&lt;Assumptions!$B$10),"Irrigate Now",IF(AND(C1585&gt;=Assumptions!$B$11,B1585&gt;=Assumptions!$B$12),"No Irrigation Needed","Monitor"))</f>
        <v>Monitor</v>
      </c>
      <c r="O1585" s="6" t="n">
        <f aca="false">IF(N1585=G1585,1,0)</f>
        <v>1</v>
      </c>
    </row>
    <row r="1586" customFormat="false" ht="15" hidden="false" customHeight="false" outlineLevel="0" collapsed="false">
      <c r="A1586" s="16" t="n">
        <v>22.13450646</v>
      </c>
      <c r="B1586" s="16" t="n">
        <v>112.9203223</v>
      </c>
      <c r="C1586" s="16" t="n">
        <v>29.6927763890235</v>
      </c>
      <c r="D1586" s="6" t="s">
        <v>57</v>
      </c>
      <c r="E1586" s="6" t="s">
        <v>57</v>
      </c>
      <c r="F1586" s="6" t="s">
        <v>23</v>
      </c>
      <c r="G1586" s="6" t="s">
        <v>58</v>
      </c>
      <c r="H1586" s="6" t="s">
        <v>59</v>
      </c>
      <c r="I1586" s="6" t="str">
        <f aca="false">IF(A1586&lt;Outliers!$E$6,"Low",IF(A1586&gt;Outliers!$F$6,"High",""))</f>
        <v/>
      </c>
      <c r="J1586" s="6" t="str">
        <f aca="false">IF(B1586&lt;Outliers!$E$7,"Low",IF(B1586&gt;Outliers!$F$7,"High",""))</f>
        <v/>
      </c>
      <c r="K1586" s="6" t="str">
        <f aca="false">IF(C1586&lt;Outliers!$E$8,"Low",IF(C1586&gt;Outliers!$F$8,"High",""))</f>
        <v/>
      </c>
      <c r="L1586" s="6" t="str">
        <f aca="false">A1586&amp;";"&amp;B1586&amp;";"&amp;C1586</f>
        <v>22.13450646;112.9203223;29.6927763890235</v>
      </c>
      <c r="M1586" s="6" t="n">
        <f aca="false">IF(COUNTIF($L$2:$L$2201,L1586)&gt;1,1,0)</f>
        <v>0</v>
      </c>
      <c r="N1586" s="6" t="str">
        <f aca="false">IF(AND(C1586&lt;Assumptions!$B$9,B1586&lt;Assumptions!$B$10),"Irrigate Now",IF(AND(C1586&gt;=Assumptions!$B$11,B1586&gt;=Assumptions!$B$12),"No Irrigation Needed","Monitor"))</f>
        <v>No Irrigation Needed</v>
      </c>
      <c r="O1586" s="6" t="n">
        <f aca="false">IF(N1586=G1586,1,0)</f>
        <v>1</v>
      </c>
    </row>
    <row r="1587" customFormat="false" ht="15" hidden="false" customHeight="false" outlineLevel="0" collapsed="false">
      <c r="A1587" s="16" t="n">
        <v>21.17089176</v>
      </c>
      <c r="B1587" s="16" t="n">
        <v>123.6495149</v>
      </c>
      <c r="C1587" s="16" t="n">
        <v>14.0607260607211</v>
      </c>
      <c r="D1587" s="6" t="s">
        <v>57</v>
      </c>
      <c r="E1587" s="6" t="s">
        <v>57</v>
      </c>
      <c r="F1587" s="6" t="s">
        <v>24</v>
      </c>
      <c r="G1587" s="6" t="s">
        <v>61</v>
      </c>
      <c r="H1587" s="6" t="s">
        <v>63</v>
      </c>
      <c r="I1587" s="6" t="str">
        <f aca="false">IF(A1587&lt;Outliers!$E$6,"Low",IF(A1587&gt;Outliers!$F$6,"High",""))</f>
        <v/>
      </c>
      <c r="J1587" s="6" t="str">
        <f aca="false">IF(B1587&lt;Outliers!$E$7,"Low",IF(B1587&gt;Outliers!$F$7,"High",""))</f>
        <v/>
      </c>
      <c r="K1587" s="6" t="str">
        <f aca="false">IF(C1587&lt;Outliers!$E$8,"Low",IF(C1587&gt;Outliers!$F$8,"High",""))</f>
        <v/>
      </c>
      <c r="L1587" s="6" t="str">
        <f aca="false">A1587&amp;";"&amp;B1587&amp;";"&amp;C1587</f>
        <v>21.17089176;123.6495149;14.0607260607211</v>
      </c>
      <c r="M1587" s="6" t="n">
        <f aca="false">IF(COUNTIF($L$2:$L$2201,L1587)&gt;1,1,0)</f>
        <v>0</v>
      </c>
      <c r="N1587" s="6" t="str">
        <f aca="false">IF(AND(C1587&lt;Assumptions!$B$9,B1587&lt;Assumptions!$B$10),"Irrigate Now",IF(AND(C1587&gt;=Assumptions!$B$11,B1587&gt;=Assumptions!$B$12),"No Irrigation Needed","Monitor"))</f>
        <v>Monitor</v>
      </c>
      <c r="O1587" s="6" t="n">
        <f aca="false">IF(N1587=G1587,1,0)</f>
        <v>1</v>
      </c>
    </row>
    <row r="1588" customFormat="false" ht="15" hidden="false" customHeight="false" outlineLevel="0" collapsed="false">
      <c r="A1588" s="16" t="n">
        <v>22.36238282</v>
      </c>
      <c r="B1588" s="16" t="n">
        <v>118.6832725</v>
      </c>
      <c r="C1588" s="16" t="n">
        <v>20.8502694337746</v>
      </c>
      <c r="D1588" s="6" t="s">
        <v>57</v>
      </c>
      <c r="E1588" s="6" t="s">
        <v>57</v>
      </c>
      <c r="F1588" s="6" t="s">
        <v>60</v>
      </c>
      <c r="G1588" s="6" t="s">
        <v>61</v>
      </c>
      <c r="H1588" s="6" t="s">
        <v>63</v>
      </c>
      <c r="I1588" s="6" t="str">
        <f aca="false">IF(A1588&lt;Outliers!$E$6,"Low",IF(A1588&gt;Outliers!$F$6,"High",""))</f>
        <v/>
      </c>
      <c r="J1588" s="6" t="str">
        <f aca="false">IF(B1588&lt;Outliers!$E$7,"Low",IF(B1588&gt;Outliers!$F$7,"High",""))</f>
        <v/>
      </c>
      <c r="K1588" s="6" t="str">
        <f aca="false">IF(C1588&lt;Outliers!$E$8,"Low",IF(C1588&gt;Outliers!$F$8,"High",""))</f>
        <v/>
      </c>
      <c r="L1588" s="6" t="str">
        <f aca="false">A1588&amp;";"&amp;B1588&amp;";"&amp;C1588</f>
        <v>22.36238282;118.6832725;20.8502694337746</v>
      </c>
      <c r="M1588" s="6" t="n">
        <f aca="false">IF(COUNTIF($L$2:$L$2201,L1588)&gt;1,1,0)</f>
        <v>0</v>
      </c>
      <c r="N1588" s="6" t="str">
        <f aca="false">IF(AND(C1588&lt;Assumptions!$B$9,B1588&lt;Assumptions!$B$10),"Irrigate Now",IF(AND(C1588&gt;=Assumptions!$B$11,B1588&gt;=Assumptions!$B$12),"No Irrigation Needed","Monitor"))</f>
        <v>Monitor</v>
      </c>
      <c r="O1588" s="6" t="n">
        <f aca="false">IF(N1588=G1588,1,0)</f>
        <v>1</v>
      </c>
    </row>
    <row r="1589" customFormat="false" ht="15" hidden="false" customHeight="false" outlineLevel="0" collapsed="false">
      <c r="A1589" s="16" t="n">
        <v>22.77856513</v>
      </c>
      <c r="B1589" s="16" t="n">
        <v>113.7759219</v>
      </c>
      <c r="C1589" s="16" t="n">
        <v>27.1686907299561</v>
      </c>
      <c r="D1589" s="6" t="s">
        <v>57</v>
      </c>
      <c r="E1589" s="6" t="s">
        <v>57</v>
      </c>
      <c r="F1589" s="6" t="s">
        <v>23</v>
      </c>
      <c r="G1589" s="6" t="s">
        <v>58</v>
      </c>
      <c r="H1589" s="6" t="s">
        <v>59</v>
      </c>
      <c r="I1589" s="6" t="str">
        <f aca="false">IF(A1589&lt;Outliers!$E$6,"Low",IF(A1589&gt;Outliers!$F$6,"High",""))</f>
        <v/>
      </c>
      <c r="J1589" s="6" t="str">
        <f aca="false">IF(B1589&lt;Outliers!$E$7,"Low",IF(B1589&gt;Outliers!$F$7,"High",""))</f>
        <v/>
      </c>
      <c r="K1589" s="6" t="str">
        <f aca="false">IF(C1589&lt;Outliers!$E$8,"Low",IF(C1589&gt;Outliers!$F$8,"High",""))</f>
        <v/>
      </c>
      <c r="L1589" s="6" t="str">
        <f aca="false">A1589&amp;";"&amp;B1589&amp;";"&amp;C1589</f>
        <v>22.77856513;113.7759219;27.1686907299561</v>
      </c>
      <c r="M1589" s="6" t="n">
        <f aca="false">IF(COUNTIF($L$2:$L$2201,L1589)&gt;1,1,0)</f>
        <v>0</v>
      </c>
      <c r="N1589" s="6" t="str">
        <f aca="false">IF(AND(C1589&lt;Assumptions!$B$9,B1589&lt;Assumptions!$B$10),"Irrigate Now",IF(AND(C1589&gt;=Assumptions!$B$11,B1589&gt;=Assumptions!$B$12),"No Irrigation Needed","Monitor"))</f>
        <v>No Irrigation Needed</v>
      </c>
      <c r="O1589" s="6" t="n">
        <f aca="false">IF(N1589=G1589,1,0)</f>
        <v>1</v>
      </c>
    </row>
    <row r="1590" customFormat="false" ht="15" hidden="false" customHeight="false" outlineLevel="0" collapsed="false">
      <c r="A1590" s="16" t="n">
        <v>21.22503442</v>
      </c>
      <c r="B1590" s="16" t="n">
        <v>113.9760462</v>
      </c>
      <c r="C1590" s="16" t="n">
        <v>22.3291113342348</v>
      </c>
      <c r="D1590" s="6" t="s">
        <v>57</v>
      </c>
      <c r="E1590" s="6" t="s">
        <v>57</v>
      </c>
      <c r="F1590" s="6" t="s">
        <v>60</v>
      </c>
      <c r="G1590" s="6" t="s">
        <v>61</v>
      </c>
      <c r="H1590" s="6" t="s">
        <v>63</v>
      </c>
      <c r="I1590" s="6" t="str">
        <f aca="false">IF(A1590&lt;Outliers!$E$6,"Low",IF(A1590&gt;Outliers!$F$6,"High",""))</f>
        <v/>
      </c>
      <c r="J1590" s="6" t="str">
        <f aca="false">IF(B1590&lt;Outliers!$E$7,"Low",IF(B1590&gt;Outliers!$F$7,"High",""))</f>
        <v/>
      </c>
      <c r="K1590" s="6" t="str">
        <f aca="false">IF(C1590&lt;Outliers!$E$8,"Low",IF(C1590&gt;Outliers!$F$8,"High",""))</f>
        <v/>
      </c>
      <c r="L1590" s="6" t="str">
        <f aca="false">A1590&amp;";"&amp;B1590&amp;";"&amp;C1590</f>
        <v>21.22503442;113.9760462;22.3291113342348</v>
      </c>
      <c r="M1590" s="6" t="n">
        <f aca="false">IF(COUNTIF($L$2:$L$2201,L1590)&gt;1,1,0)</f>
        <v>0</v>
      </c>
      <c r="N1590" s="6" t="str">
        <f aca="false">IF(AND(C1590&lt;Assumptions!$B$9,B1590&lt;Assumptions!$B$10),"Irrigate Now",IF(AND(C1590&gt;=Assumptions!$B$11,B1590&gt;=Assumptions!$B$12),"No Irrigation Needed","Monitor"))</f>
        <v>Monitor</v>
      </c>
      <c r="O1590" s="6" t="n">
        <f aca="false">IF(N1590=G1590,1,0)</f>
        <v>1</v>
      </c>
    </row>
    <row r="1591" customFormat="false" ht="15" hidden="false" customHeight="false" outlineLevel="0" collapsed="false">
      <c r="A1591" s="16" t="n">
        <v>23.15791104</v>
      </c>
      <c r="B1591" s="16" t="n">
        <v>110.712841</v>
      </c>
      <c r="C1591" s="16" t="n">
        <v>14.9931775525465</v>
      </c>
      <c r="D1591" s="6" t="s">
        <v>57</v>
      </c>
      <c r="E1591" s="6" t="s">
        <v>57</v>
      </c>
      <c r="F1591" s="6" t="s">
        <v>24</v>
      </c>
      <c r="G1591" s="6" t="s">
        <v>61</v>
      </c>
      <c r="H1591" s="6" t="s">
        <v>63</v>
      </c>
      <c r="I1591" s="6" t="str">
        <f aca="false">IF(A1591&lt;Outliers!$E$6,"Low",IF(A1591&gt;Outliers!$F$6,"High",""))</f>
        <v/>
      </c>
      <c r="J1591" s="6" t="str">
        <f aca="false">IF(B1591&lt;Outliers!$E$7,"Low",IF(B1591&gt;Outliers!$F$7,"High",""))</f>
        <v/>
      </c>
      <c r="K1591" s="6" t="str">
        <f aca="false">IF(C1591&lt;Outliers!$E$8,"Low",IF(C1591&gt;Outliers!$F$8,"High",""))</f>
        <v/>
      </c>
      <c r="L1591" s="6" t="str">
        <f aca="false">A1591&amp;";"&amp;B1591&amp;";"&amp;C1591</f>
        <v>23.15791104;110.712841;14.9931775525465</v>
      </c>
      <c r="M1591" s="6" t="n">
        <f aca="false">IF(COUNTIF($L$2:$L$2201,L1591)&gt;1,1,0)</f>
        <v>0</v>
      </c>
      <c r="N1591" s="6" t="str">
        <f aca="false">IF(AND(C1591&lt;Assumptions!$B$9,B1591&lt;Assumptions!$B$10),"Irrigate Now",IF(AND(C1591&gt;=Assumptions!$B$11,B1591&gt;=Assumptions!$B$12),"No Irrigation Needed","Monitor"))</f>
        <v>Monitor</v>
      </c>
      <c r="O1591" s="6" t="n">
        <f aca="false">IF(N1591=G1591,1,0)</f>
        <v>1</v>
      </c>
    </row>
    <row r="1592" customFormat="false" ht="15" hidden="false" customHeight="false" outlineLevel="0" collapsed="false">
      <c r="A1592" s="16" t="n">
        <v>22.42776057</v>
      </c>
      <c r="B1592" s="16" t="n">
        <v>102.7230739</v>
      </c>
      <c r="C1592" s="16" t="n">
        <v>28.4593805082537</v>
      </c>
      <c r="D1592" s="6" t="s">
        <v>57</v>
      </c>
      <c r="E1592" s="6" t="s">
        <v>57</v>
      </c>
      <c r="F1592" s="6" t="s">
        <v>23</v>
      </c>
      <c r="G1592" s="6" t="s">
        <v>58</v>
      </c>
      <c r="H1592" s="6" t="s">
        <v>59</v>
      </c>
      <c r="I1592" s="6" t="str">
        <f aca="false">IF(A1592&lt;Outliers!$E$6,"Low",IF(A1592&gt;Outliers!$F$6,"High",""))</f>
        <v/>
      </c>
      <c r="J1592" s="6" t="str">
        <f aca="false">IF(B1592&lt;Outliers!$E$7,"Low",IF(B1592&gt;Outliers!$F$7,"High",""))</f>
        <v/>
      </c>
      <c r="K1592" s="6" t="str">
        <f aca="false">IF(C1592&lt;Outliers!$E$8,"Low",IF(C1592&gt;Outliers!$F$8,"High",""))</f>
        <v/>
      </c>
      <c r="L1592" s="6" t="str">
        <f aca="false">A1592&amp;";"&amp;B1592&amp;";"&amp;C1592</f>
        <v>22.42776057;102.7230739;28.4593805082537</v>
      </c>
      <c r="M1592" s="6" t="n">
        <f aca="false">IF(COUNTIF($L$2:$L$2201,L1592)&gt;1,1,0)</f>
        <v>0</v>
      </c>
      <c r="N1592" s="6" t="str">
        <f aca="false">IF(AND(C1592&lt;Assumptions!$B$9,B1592&lt;Assumptions!$B$10),"Irrigate Now",IF(AND(C1592&gt;=Assumptions!$B$11,B1592&gt;=Assumptions!$B$12),"No Irrigation Needed","Monitor"))</f>
        <v>No Irrigation Needed</v>
      </c>
      <c r="O1592" s="6" t="n">
        <f aca="false">IF(N1592=G1592,1,0)</f>
        <v>1</v>
      </c>
    </row>
    <row r="1593" customFormat="false" ht="15" hidden="false" customHeight="false" outlineLevel="0" collapsed="false">
      <c r="A1593" s="16" t="n">
        <v>23.64082979</v>
      </c>
      <c r="B1593" s="16" t="n">
        <v>116.7431319</v>
      </c>
      <c r="C1593" s="16" t="n">
        <v>20.6547012337648</v>
      </c>
      <c r="D1593" s="6" t="s">
        <v>57</v>
      </c>
      <c r="E1593" s="6" t="s">
        <v>57</v>
      </c>
      <c r="F1593" s="6" t="s">
        <v>60</v>
      </c>
      <c r="G1593" s="6" t="s">
        <v>61</v>
      </c>
      <c r="H1593" s="6" t="s">
        <v>63</v>
      </c>
      <c r="I1593" s="6" t="str">
        <f aca="false">IF(A1593&lt;Outliers!$E$6,"Low",IF(A1593&gt;Outliers!$F$6,"High",""))</f>
        <v/>
      </c>
      <c r="J1593" s="6" t="str">
        <f aca="false">IF(B1593&lt;Outliers!$E$7,"Low",IF(B1593&gt;Outliers!$F$7,"High",""))</f>
        <v/>
      </c>
      <c r="K1593" s="6" t="str">
        <f aca="false">IF(C1593&lt;Outliers!$E$8,"Low",IF(C1593&gt;Outliers!$F$8,"High",""))</f>
        <v/>
      </c>
      <c r="L1593" s="6" t="str">
        <f aca="false">A1593&amp;";"&amp;B1593&amp;";"&amp;C1593</f>
        <v>23.64082979;116.7431319;20.6547012337648</v>
      </c>
      <c r="M1593" s="6" t="n">
        <f aca="false">IF(COUNTIF($L$2:$L$2201,L1593)&gt;1,1,0)</f>
        <v>0</v>
      </c>
      <c r="N1593" s="6" t="str">
        <f aca="false">IF(AND(C1593&lt;Assumptions!$B$9,B1593&lt;Assumptions!$B$10),"Irrigate Now",IF(AND(C1593&gt;=Assumptions!$B$11,B1593&gt;=Assumptions!$B$12),"No Irrigation Needed","Monitor"))</f>
        <v>Monitor</v>
      </c>
      <c r="O1593" s="6" t="n">
        <f aca="false">IF(N1593=G1593,1,0)</f>
        <v>1</v>
      </c>
    </row>
    <row r="1594" customFormat="false" ht="15" hidden="false" customHeight="false" outlineLevel="0" collapsed="false">
      <c r="A1594" s="16" t="n">
        <v>22.29423493</v>
      </c>
      <c r="B1594" s="16" t="n">
        <v>122.7418744</v>
      </c>
      <c r="C1594" s="16" t="n">
        <v>18.5136442094423</v>
      </c>
      <c r="D1594" s="6" t="s">
        <v>57</v>
      </c>
      <c r="E1594" s="6" t="s">
        <v>57</v>
      </c>
      <c r="F1594" s="6" t="s">
        <v>60</v>
      </c>
      <c r="G1594" s="6" t="s">
        <v>61</v>
      </c>
      <c r="H1594" s="6" t="s">
        <v>63</v>
      </c>
      <c r="I1594" s="6" t="str">
        <f aca="false">IF(A1594&lt;Outliers!$E$6,"Low",IF(A1594&gt;Outliers!$F$6,"High",""))</f>
        <v/>
      </c>
      <c r="J1594" s="6" t="str">
        <f aca="false">IF(B1594&lt;Outliers!$E$7,"Low",IF(B1594&gt;Outliers!$F$7,"High",""))</f>
        <v/>
      </c>
      <c r="K1594" s="6" t="str">
        <f aca="false">IF(C1594&lt;Outliers!$E$8,"Low",IF(C1594&gt;Outliers!$F$8,"High",""))</f>
        <v/>
      </c>
      <c r="L1594" s="6" t="str">
        <f aca="false">A1594&amp;";"&amp;B1594&amp;";"&amp;C1594</f>
        <v>22.29423493;122.7418744;18.5136442094423</v>
      </c>
      <c r="M1594" s="6" t="n">
        <f aca="false">IF(COUNTIF($L$2:$L$2201,L1594)&gt;1,1,0)</f>
        <v>0</v>
      </c>
      <c r="N1594" s="6" t="str">
        <f aca="false">IF(AND(C1594&lt;Assumptions!$B$9,B1594&lt;Assumptions!$B$10),"Irrigate Now",IF(AND(C1594&gt;=Assumptions!$B$11,B1594&gt;=Assumptions!$B$12),"No Irrigation Needed","Monitor"))</f>
        <v>Monitor</v>
      </c>
      <c r="O1594" s="6" t="n">
        <f aca="false">IF(N1594=G1594,1,0)</f>
        <v>1</v>
      </c>
    </row>
    <row r="1595" customFormat="false" ht="15" hidden="false" customHeight="false" outlineLevel="0" collapsed="false">
      <c r="A1595" s="16" t="n">
        <v>23.35225078</v>
      </c>
      <c r="B1595" s="16" t="n">
        <v>113.0381382</v>
      </c>
      <c r="C1595" s="16" t="n">
        <v>18.5940333336284</v>
      </c>
      <c r="D1595" s="6" t="s">
        <v>57</v>
      </c>
      <c r="E1595" s="6" t="s">
        <v>57</v>
      </c>
      <c r="F1595" s="6" t="s">
        <v>60</v>
      </c>
      <c r="G1595" s="6" t="s">
        <v>61</v>
      </c>
      <c r="H1595" s="6" t="s">
        <v>63</v>
      </c>
      <c r="I1595" s="6" t="str">
        <f aca="false">IF(A1595&lt;Outliers!$E$6,"Low",IF(A1595&gt;Outliers!$F$6,"High",""))</f>
        <v/>
      </c>
      <c r="J1595" s="6" t="str">
        <f aca="false">IF(B1595&lt;Outliers!$E$7,"Low",IF(B1595&gt;Outliers!$F$7,"High",""))</f>
        <v/>
      </c>
      <c r="K1595" s="6" t="str">
        <f aca="false">IF(C1595&lt;Outliers!$E$8,"Low",IF(C1595&gt;Outliers!$F$8,"High",""))</f>
        <v/>
      </c>
      <c r="L1595" s="6" t="str">
        <f aca="false">A1595&amp;";"&amp;B1595&amp;";"&amp;C1595</f>
        <v>23.35225078;113.0381382;18.5940333336284</v>
      </c>
      <c r="M1595" s="6" t="n">
        <f aca="false">IF(COUNTIF($L$2:$L$2201,L1595)&gt;1,1,0)</f>
        <v>0</v>
      </c>
      <c r="N1595" s="6" t="str">
        <f aca="false">IF(AND(C1595&lt;Assumptions!$B$9,B1595&lt;Assumptions!$B$10),"Irrigate Now",IF(AND(C1595&gt;=Assumptions!$B$11,B1595&gt;=Assumptions!$B$12),"No Irrigation Needed","Monitor"))</f>
        <v>Monitor</v>
      </c>
      <c r="O1595" s="6" t="n">
        <f aca="false">IF(N1595=G1595,1,0)</f>
        <v>1</v>
      </c>
    </row>
    <row r="1596" customFormat="false" ht="15" hidden="false" customHeight="false" outlineLevel="0" collapsed="false">
      <c r="A1596" s="16" t="n">
        <v>22.03911546</v>
      </c>
      <c r="B1596" s="16" t="n">
        <v>110.9804014</v>
      </c>
      <c r="C1596" s="16" t="n">
        <v>27.0601252544992</v>
      </c>
      <c r="D1596" s="6" t="s">
        <v>57</v>
      </c>
      <c r="E1596" s="6" t="s">
        <v>57</v>
      </c>
      <c r="F1596" s="6" t="s">
        <v>23</v>
      </c>
      <c r="G1596" s="6" t="s">
        <v>58</v>
      </c>
      <c r="H1596" s="6" t="s">
        <v>59</v>
      </c>
      <c r="I1596" s="6" t="str">
        <f aca="false">IF(A1596&lt;Outliers!$E$6,"Low",IF(A1596&gt;Outliers!$F$6,"High",""))</f>
        <v/>
      </c>
      <c r="J1596" s="6" t="str">
        <f aca="false">IF(B1596&lt;Outliers!$E$7,"Low",IF(B1596&gt;Outliers!$F$7,"High",""))</f>
        <v/>
      </c>
      <c r="K1596" s="6" t="str">
        <f aca="false">IF(C1596&lt;Outliers!$E$8,"Low",IF(C1596&gt;Outliers!$F$8,"High",""))</f>
        <v/>
      </c>
      <c r="L1596" s="6" t="str">
        <f aca="false">A1596&amp;";"&amp;B1596&amp;";"&amp;C1596</f>
        <v>22.03911546;110.9804014;27.0601252544992</v>
      </c>
      <c r="M1596" s="6" t="n">
        <f aca="false">IF(COUNTIF($L$2:$L$2201,L1596)&gt;1,1,0)</f>
        <v>0</v>
      </c>
      <c r="N1596" s="6" t="str">
        <f aca="false">IF(AND(C1596&lt;Assumptions!$B$9,B1596&lt;Assumptions!$B$10),"Irrigate Now",IF(AND(C1596&gt;=Assumptions!$B$11,B1596&gt;=Assumptions!$B$12),"No Irrigation Needed","Monitor"))</f>
        <v>No Irrigation Needed</v>
      </c>
      <c r="O1596" s="6" t="n">
        <f aca="false">IF(N1596=G1596,1,0)</f>
        <v>1</v>
      </c>
    </row>
    <row r="1597" customFormat="false" ht="15" hidden="false" customHeight="false" outlineLevel="0" collapsed="false">
      <c r="A1597" s="16" t="n">
        <v>23.80593812</v>
      </c>
      <c r="B1597" s="16" t="n">
        <v>119.6335548</v>
      </c>
      <c r="C1597" s="16" t="n">
        <v>14.2993316981958</v>
      </c>
      <c r="D1597" s="6" t="s">
        <v>57</v>
      </c>
      <c r="E1597" s="6" t="s">
        <v>57</v>
      </c>
      <c r="F1597" s="6" t="s">
        <v>24</v>
      </c>
      <c r="G1597" s="6" t="s">
        <v>61</v>
      </c>
      <c r="H1597" s="6" t="s">
        <v>63</v>
      </c>
      <c r="I1597" s="6" t="str">
        <f aca="false">IF(A1597&lt;Outliers!$E$6,"Low",IF(A1597&gt;Outliers!$F$6,"High",""))</f>
        <v/>
      </c>
      <c r="J1597" s="6" t="str">
        <f aca="false">IF(B1597&lt;Outliers!$E$7,"Low",IF(B1597&gt;Outliers!$F$7,"High",""))</f>
        <v/>
      </c>
      <c r="K1597" s="6" t="str">
        <f aca="false">IF(C1597&lt;Outliers!$E$8,"Low",IF(C1597&gt;Outliers!$F$8,"High",""))</f>
        <v/>
      </c>
      <c r="L1597" s="6" t="str">
        <f aca="false">A1597&amp;";"&amp;B1597&amp;";"&amp;C1597</f>
        <v>23.80593812;119.6335548;14.2993316981958</v>
      </c>
      <c r="M1597" s="6" t="n">
        <f aca="false">IF(COUNTIF($L$2:$L$2201,L1597)&gt;1,1,0)</f>
        <v>0</v>
      </c>
      <c r="N1597" s="6" t="str">
        <f aca="false">IF(AND(C1597&lt;Assumptions!$B$9,B1597&lt;Assumptions!$B$10),"Irrigate Now",IF(AND(C1597&gt;=Assumptions!$B$11,B1597&gt;=Assumptions!$B$12),"No Irrigation Needed","Monitor"))</f>
        <v>Monitor</v>
      </c>
      <c r="O1597" s="6" t="n">
        <f aca="false">IF(N1597=G1597,1,0)</f>
        <v>1</v>
      </c>
    </row>
    <row r="1598" customFormat="false" ht="15" hidden="false" customHeight="false" outlineLevel="0" collapsed="false">
      <c r="A1598" s="16" t="n">
        <v>22.31944084</v>
      </c>
      <c r="B1598" s="16" t="n">
        <v>100.1173443</v>
      </c>
      <c r="C1598" s="16" t="n">
        <v>26.7166532388738</v>
      </c>
      <c r="D1598" s="6" t="s">
        <v>57</v>
      </c>
      <c r="E1598" s="6" t="s">
        <v>57</v>
      </c>
      <c r="F1598" s="6" t="s">
        <v>23</v>
      </c>
      <c r="G1598" s="6" t="s">
        <v>58</v>
      </c>
      <c r="H1598" s="6" t="s">
        <v>59</v>
      </c>
      <c r="I1598" s="6" t="str">
        <f aca="false">IF(A1598&lt;Outliers!$E$6,"Low",IF(A1598&gt;Outliers!$F$6,"High",""))</f>
        <v/>
      </c>
      <c r="J1598" s="6" t="str">
        <f aca="false">IF(B1598&lt;Outliers!$E$7,"Low",IF(B1598&gt;Outliers!$F$7,"High",""))</f>
        <v/>
      </c>
      <c r="K1598" s="6" t="str">
        <f aca="false">IF(C1598&lt;Outliers!$E$8,"Low",IF(C1598&gt;Outliers!$F$8,"High",""))</f>
        <v/>
      </c>
      <c r="L1598" s="6" t="str">
        <f aca="false">A1598&amp;";"&amp;B1598&amp;";"&amp;C1598</f>
        <v>22.31944084;100.1173443;26.7166532388738</v>
      </c>
      <c r="M1598" s="6" t="n">
        <f aca="false">IF(COUNTIF($L$2:$L$2201,L1598)&gt;1,1,0)</f>
        <v>0</v>
      </c>
      <c r="N1598" s="6" t="str">
        <f aca="false">IF(AND(C1598&lt;Assumptions!$B$9,B1598&lt;Assumptions!$B$10),"Irrigate Now",IF(AND(C1598&gt;=Assumptions!$B$11,B1598&gt;=Assumptions!$B$12),"No Irrigation Needed","Monitor"))</f>
        <v>No Irrigation Needed</v>
      </c>
      <c r="O1598" s="6" t="n">
        <f aca="false">IF(N1598=G1598,1,0)</f>
        <v>1</v>
      </c>
    </row>
    <row r="1599" customFormat="false" ht="15" hidden="false" customHeight="false" outlineLevel="0" collapsed="false">
      <c r="A1599" s="16" t="n">
        <v>22.14464104</v>
      </c>
      <c r="B1599" s="16" t="n">
        <v>120.6310784</v>
      </c>
      <c r="C1599" s="16" t="n">
        <v>10.6173234656653</v>
      </c>
      <c r="D1599" s="6" t="s">
        <v>57</v>
      </c>
      <c r="E1599" s="6" t="s">
        <v>57</v>
      </c>
      <c r="F1599" s="6" t="s">
        <v>24</v>
      </c>
      <c r="G1599" s="6" t="s">
        <v>61</v>
      </c>
      <c r="H1599" s="6" t="s">
        <v>63</v>
      </c>
      <c r="I1599" s="6" t="str">
        <f aca="false">IF(A1599&lt;Outliers!$E$6,"Low",IF(A1599&gt;Outliers!$F$6,"High",""))</f>
        <v/>
      </c>
      <c r="J1599" s="6" t="str">
        <f aca="false">IF(B1599&lt;Outliers!$E$7,"Low",IF(B1599&gt;Outliers!$F$7,"High",""))</f>
        <v/>
      </c>
      <c r="K1599" s="6" t="str">
        <f aca="false">IF(C1599&lt;Outliers!$E$8,"Low",IF(C1599&gt;Outliers!$F$8,"High",""))</f>
        <v/>
      </c>
      <c r="L1599" s="6" t="str">
        <f aca="false">A1599&amp;";"&amp;B1599&amp;";"&amp;C1599</f>
        <v>22.14464104;120.6310784;10.6173234656653</v>
      </c>
      <c r="M1599" s="6" t="n">
        <f aca="false">IF(COUNTIF($L$2:$L$2201,L1599)&gt;1,1,0)</f>
        <v>0</v>
      </c>
      <c r="N1599" s="6" t="str">
        <f aca="false">IF(AND(C1599&lt;Assumptions!$B$9,B1599&lt;Assumptions!$B$10),"Irrigate Now",IF(AND(C1599&gt;=Assumptions!$B$11,B1599&gt;=Assumptions!$B$12),"No Irrigation Needed","Monitor"))</f>
        <v>Monitor</v>
      </c>
      <c r="O1599" s="6" t="n">
        <f aca="false">IF(N1599=G1599,1,0)</f>
        <v>1</v>
      </c>
    </row>
    <row r="1600" customFormat="false" ht="15" hidden="false" customHeight="false" outlineLevel="0" collapsed="false">
      <c r="A1600" s="16" t="n">
        <v>23.65167552</v>
      </c>
      <c r="B1600" s="16" t="n">
        <v>115.3611268</v>
      </c>
      <c r="C1600" s="16" t="n">
        <v>28.3921205631308</v>
      </c>
      <c r="D1600" s="6" t="s">
        <v>57</v>
      </c>
      <c r="E1600" s="6" t="s">
        <v>57</v>
      </c>
      <c r="F1600" s="6" t="s">
        <v>23</v>
      </c>
      <c r="G1600" s="6" t="s">
        <v>58</v>
      </c>
      <c r="H1600" s="6" t="s">
        <v>59</v>
      </c>
      <c r="I1600" s="6" t="str">
        <f aca="false">IF(A1600&lt;Outliers!$E$6,"Low",IF(A1600&gt;Outliers!$F$6,"High",""))</f>
        <v/>
      </c>
      <c r="J1600" s="6" t="str">
        <f aca="false">IF(B1600&lt;Outliers!$E$7,"Low",IF(B1600&gt;Outliers!$F$7,"High",""))</f>
        <v/>
      </c>
      <c r="K1600" s="6" t="str">
        <f aca="false">IF(C1600&lt;Outliers!$E$8,"Low",IF(C1600&gt;Outliers!$F$8,"High",""))</f>
        <v/>
      </c>
      <c r="L1600" s="6" t="str">
        <f aca="false">A1600&amp;";"&amp;B1600&amp;";"&amp;C1600</f>
        <v>23.65167552;115.3611268;28.3921205631308</v>
      </c>
      <c r="M1600" s="6" t="n">
        <f aca="false">IF(COUNTIF($L$2:$L$2201,L1600)&gt;1,1,0)</f>
        <v>0</v>
      </c>
      <c r="N1600" s="6" t="str">
        <f aca="false">IF(AND(C1600&lt;Assumptions!$B$9,B1600&lt;Assumptions!$B$10),"Irrigate Now",IF(AND(C1600&gt;=Assumptions!$B$11,B1600&gt;=Assumptions!$B$12),"No Irrigation Needed","Monitor"))</f>
        <v>No Irrigation Needed</v>
      </c>
      <c r="O1600" s="6" t="n">
        <f aca="false">IF(N1600=G1600,1,0)</f>
        <v>1</v>
      </c>
    </row>
    <row r="1601" customFormat="false" ht="15" hidden="false" customHeight="false" outlineLevel="0" collapsed="false">
      <c r="A1601" s="16" t="n">
        <v>22.16939473</v>
      </c>
      <c r="B1601" s="16" t="n">
        <v>124.4683112</v>
      </c>
      <c r="C1601" s="16" t="n">
        <v>21.8296359381894</v>
      </c>
      <c r="D1601" s="6" t="s">
        <v>57</v>
      </c>
      <c r="E1601" s="6" t="s">
        <v>57</v>
      </c>
      <c r="F1601" s="6" t="s">
        <v>60</v>
      </c>
      <c r="G1601" s="6" t="s">
        <v>61</v>
      </c>
      <c r="H1601" s="6" t="s">
        <v>63</v>
      </c>
      <c r="I1601" s="6" t="str">
        <f aca="false">IF(A1601&lt;Outliers!$E$6,"Low",IF(A1601&gt;Outliers!$F$6,"High",""))</f>
        <v/>
      </c>
      <c r="J1601" s="6" t="str">
        <f aca="false">IF(B1601&lt;Outliers!$E$7,"Low",IF(B1601&gt;Outliers!$F$7,"High",""))</f>
        <v/>
      </c>
      <c r="K1601" s="6" t="str">
        <f aca="false">IF(C1601&lt;Outliers!$E$8,"Low",IF(C1601&gt;Outliers!$F$8,"High",""))</f>
        <v/>
      </c>
      <c r="L1601" s="6" t="str">
        <f aca="false">A1601&amp;";"&amp;B1601&amp;";"&amp;C1601</f>
        <v>22.16939473;124.4683112;21.8296359381894</v>
      </c>
      <c r="M1601" s="6" t="n">
        <f aca="false">IF(COUNTIF($L$2:$L$2201,L1601)&gt;1,1,0)</f>
        <v>0</v>
      </c>
      <c r="N1601" s="6" t="str">
        <f aca="false">IF(AND(C1601&lt;Assumptions!$B$9,B1601&lt;Assumptions!$B$10),"Irrigate Now",IF(AND(C1601&gt;=Assumptions!$B$11,B1601&gt;=Assumptions!$B$12),"No Irrigation Needed","Monitor"))</f>
        <v>Monitor</v>
      </c>
      <c r="O1601" s="6" t="n">
        <f aca="false">IF(N1601=G1601,1,0)</f>
        <v>1</v>
      </c>
    </row>
    <row r="1602" customFormat="false" ht="15" hidden="false" customHeight="false" outlineLevel="0" collapsed="false">
      <c r="A1602" s="16" t="n">
        <v>15.78144173</v>
      </c>
      <c r="B1602" s="16" t="n">
        <v>119.035002</v>
      </c>
      <c r="C1602" s="16" t="n">
        <v>17.7178821072116</v>
      </c>
      <c r="D1602" s="6" t="s">
        <v>66</v>
      </c>
      <c r="E1602" s="6" t="s">
        <v>57</v>
      </c>
      <c r="F1602" s="6" t="s">
        <v>60</v>
      </c>
      <c r="G1602" s="6" t="s">
        <v>61</v>
      </c>
      <c r="H1602" s="6" t="s">
        <v>63</v>
      </c>
      <c r="I1602" s="6" t="str">
        <f aca="false">IF(A1602&lt;Outliers!$E$6,"Low",IF(A1602&gt;Outliers!$F$6,"High",""))</f>
        <v/>
      </c>
      <c r="J1602" s="6" t="str">
        <f aca="false">IF(B1602&lt;Outliers!$E$7,"Low",IF(B1602&gt;Outliers!$F$7,"High",""))</f>
        <v/>
      </c>
      <c r="K1602" s="6" t="str">
        <f aca="false">IF(C1602&lt;Outliers!$E$8,"Low",IF(C1602&gt;Outliers!$F$8,"High",""))</f>
        <v/>
      </c>
      <c r="L1602" s="6" t="str">
        <f aca="false">A1602&amp;";"&amp;B1602&amp;";"&amp;C1602</f>
        <v>15.78144173;119.035002;17.7178821072116</v>
      </c>
      <c r="M1602" s="6" t="n">
        <f aca="false">IF(COUNTIF($L$2:$L$2201,L1602)&gt;1,1,0)</f>
        <v>0</v>
      </c>
      <c r="N1602" s="6" t="str">
        <f aca="false">IF(AND(C1602&lt;Assumptions!$B$9,B1602&lt;Assumptions!$B$10),"Irrigate Now",IF(AND(C1602&gt;=Assumptions!$B$11,B1602&gt;=Assumptions!$B$12),"No Irrigation Needed","Monitor"))</f>
        <v>Monitor</v>
      </c>
      <c r="O1602" s="6" t="n">
        <f aca="false">IF(N1602=G1602,1,0)</f>
        <v>1</v>
      </c>
    </row>
    <row r="1603" customFormat="false" ht="15" hidden="false" customHeight="false" outlineLevel="0" collapsed="false">
      <c r="A1603" s="16" t="n">
        <v>26.03097313</v>
      </c>
      <c r="B1603" s="16" t="n">
        <v>101.2847738</v>
      </c>
      <c r="C1603" s="16" t="n">
        <v>10.4482502495994</v>
      </c>
      <c r="D1603" s="6" t="s">
        <v>57</v>
      </c>
      <c r="E1603" s="6" t="s">
        <v>57</v>
      </c>
      <c r="F1603" s="6" t="s">
        <v>24</v>
      </c>
      <c r="G1603" s="6" t="s">
        <v>61</v>
      </c>
      <c r="H1603" s="6" t="s">
        <v>63</v>
      </c>
      <c r="I1603" s="6" t="str">
        <f aca="false">IF(A1603&lt;Outliers!$E$6,"Low",IF(A1603&gt;Outliers!$F$6,"High",""))</f>
        <v/>
      </c>
      <c r="J1603" s="6" t="str">
        <f aca="false">IF(B1603&lt;Outliers!$E$7,"Low",IF(B1603&gt;Outliers!$F$7,"High",""))</f>
        <v/>
      </c>
      <c r="K1603" s="6" t="str">
        <f aca="false">IF(C1603&lt;Outliers!$E$8,"Low",IF(C1603&gt;Outliers!$F$8,"High",""))</f>
        <v/>
      </c>
      <c r="L1603" s="6" t="str">
        <f aca="false">A1603&amp;";"&amp;B1603&amp;";"&amp;C1603</f>
        <v>26.03097313;101.2847738;10.4482502495994</v>
      </c>
      <c r="M1603" s="6" t="n">
        <f aca="false">IF(COUNTIF($L$2:$L$2201,L1603)&gt;1,1,0)</f>
        <v>0</v>
      </c>
      <c r="N1603" s="6" t="str">
        <f aca="false">IF(AND(C1603&lt;Assumptions!$B$9,B1603&lt;Assumptions!$B$10),"Irrigate Now",IF(AND(C1603&gt;=Assumptions!$B$11,B1603&gt;=Assumptions!$B$12),"No Irrigation Needed","Monitor"))</f>
        <v>Monitor</v>
      </c>
      <c r="O1603" s="6" t="n">
        <f aca="false">IF(N1603=G1603,1,0)</f>
        <v>1</v>
      </c>
    </row>
    <row r="1604" customFormat="false" ht="15" hidden="false" customHeight="false" outlineLevel="0" collapsed="false">
      <c r="A1604" s="16" t="n">
        <v>13.36050601</v>
      </c>
      <c r="B1604" s="16" t="n">
        <v>111.2266885</v>
      </c>
      <c r="C1604" s="16" t="n">
        <v>28.6699392562091</v>
      </c>
      <c r="D1604" s="6" t="s">
        <v>66</v>
      </c>
      <c r="E1604" s="6" t="s">
        <v>57</v>
      </c>
      <c r="F1604" s="6" t="s">
        <v>23</v>
      </c>
      <c r="G1604" s="6" t="s">
        <v>58</v>
      </c>
      <c r="H1604" s="6" t="s">
        <v>59</v>
      </c>
      <c r="I1604" s="6" t="str">
        <f aca="false">IF(A1604&lt;Outliers!$E$6,"Low",IF(A1604&gt;Outliers!$F$6,"High",""))</f>
        <v>Low</v>
      </c>
      <c r="J1604" s="6" t="str">
        <f aca="false">IF(B1604&lt;Outliers!$E$7,"Low",IF(B1604&gt;Outliers!$F$7,"High",""))</f>
        <v/>
      </c>
      <c r="K1604" s="6" t="str">
        <f aca="false">IF(C1604&lt;Outliers!$E$8,"Low",IF(C1604&gt;Outliers!$F$8,"High",""))</f>
        <v/>
      </c>
      <c r="L1604" s="6" t="str">
        <f aca="false">A1604&amp;";"&amp;B1604&amp;";"&amp;C1604</f>
        <v>13.36050601;111.2266885;28.6699392562091</v>
      </c>
      <c r="M1604" s="6" t="n">
        <f aca="false">IF(COUNTIF($L$2:$L$2201,L1604)&gt;1,1,0)</f>
        <v>0</v>
      </c>
      <c r="N1604" s="6" t="str">
        <f aca="false">IF(AND(C1604&lt;Assumptions!$B$9,B1604&lt;Assumptions!$B$10),"Irrigate Now",IF(AND(C1604&gt;=Assumptions!$B$11,B1604&gt;=Assumptions!$B$12),"No Irrigation Needed","Monitor"))</f>
        <v>No Irrigation Needed</v>
      </c>
      <c r="O1604" s="6" t="n">
        <f aca="false">IF(N1604=G1604,1,0)</f>
        <v>1</v>
      </c>
    </row>
    <row r="1605" customFormat="false" ht="15" hidden="false" customHeight="false" outlineLevel="0" collapsed="false">
      <c r="A1605" s="16" t="n">
        <v>18.87957654</v>
      </c>
      <c r="B1605" s="16" t="n">
        <v>114.6659511</v>
      </c>
      <c r="C1605" s="16" t="n">
        <v>13.8664815279721</v>
      </c>
      <c r="D1605" s="6" t="s">
        <v>66</v>
      </c>
      <c r="E1605" s="6" t="s">
        <v>57</v>
      </c>
      <c r="F1605" s="6" t="s">
        <v>24</v>
      </c>
      <c r="G1605" s="6" t="s">
        <v>61</v>
      </c>
      <c r="H1605" s="6" t="s">
        <v>63</v>
      </c>
      <c r="I1605" s="6" t="str">
        <f aca="false">IF(A1605&lt;Outliers!$E$6,"Low",IF(A1605&gt;Outliers!$F$6,"High",""))</f>
        <v/>
      </c>
      <c r="J1605" s="6" t="str">
        <f aca="false">IF(B1605&lt;Outliers!$E$7,"Low",IF(B1605&gt;Outliers!$F$7,"High",""))</f>
        <v/>
      </c>
      <c r="K1605" s="6" t="str">
        <f aca="false">IF(C1605&lt;Outliers!$E$8,"Low",IF(C1605&gt;Outliers!$F$8,"High",""))</f>
        <v/>
      </c>
      <c r="L1605" s="6" t="str">
        <f aca="false">A1605&amp;";"&amp;B1605&amp;";"&amp;C1605</f>
        <v>18.87957654;114.6659511;13.8664815279721</v>
      </c>
      <c r="M1605" s="6" t="n">
        <f aca="false">IF(COUNTIF($L$2:$L$2201,L1605)&gt;1,1,0)</f>
        <v>0</v>
      </c>
      <c r="N1605" s="6" t="str">
        <f aca="false">IF(AND(C1605&lt;Assumptions!$B$9,B1605&lt;Assumptions!$B$10),"Irrigate Now",IF(AND(C1605&gt;=Assumptions!$B$11,B1605&gt;=Assumptions!$B$12),"No Irrigation Needed","Monitor"))</f>
        <v>Monitor</v>
      </c>
      <c r="O1605" s="6" t="n">
        <f aca="false">IF(N1605=G1605,1,0)</f>
        <v>1</v>
      </c>
    </row>
    <row r="1606" customFormat="false" ht="15" hidden="false" customHeight="false" outlineLevel="0" collapsed="false">
      <c r="A1606" s="16" t="n">
        <v>29.47741671</v>
      </c>
      <c r="B1606" s="16" t="n">
        <v>111.1727497</v>
      </c>
      <c r="C1606" s="16" t="n">
        <v>19.9560680325385</v>
      </c>
      <c r="D1606" s="6" t="s">
        <v>57</v>
      </c>
      <c r="E1606" s="6" t="s">
        <v>57</v>
      </c>
      <c r="F1606" s="6" t="s">
        <v>60</v>
      </c>
      <c r="G1606" s="6" t="s">
        <v>61</v>
      </c>
      <c r="H1606" s="6" t="s">
        <v>63</v>
      </c>
      <c r="I1606" s="6" t="str">
        <f aca="false">IF(A1606&lt;Outliers!$E$6,"Low",IF(A1606&gt;Outliers!$F$6,"High",""))</f>
        <v/>
      </c>
      <c r="J1606" s="6" t="str">
        <f aca="false">IF(B1606&lt;Outliers!$E$7,"Low",IF(B1606&gt;Outliers!$F$7,"High",""))</f>
        <v/>
      </c>
      <c r="K1606" s="6" t="str">
        <f aca="false">IF(C1606&lt;Outliers!$E$8,"Low",IF(C1606&gt;Outliers!$F$8,"High",""))</f>
        <v/>
      </c>
      <c r="L1606" s="6" t="str">
        <f aca="false">A1606&amp;";"&amp;B1606&amp;";"&amp;C1606</f>
        <v>29.47741671;111.1727497;19.9560680325385</v>
      </c>
      <c r="M1606" s="6" t="n">
        <f aca="false">IF(COUNTIF($L$2:$L$2201,L1606)&gt;1,1,0)</f>
        <v>0</v>
      </c>
      <c r="N1606" s="6" t="str">
        <f aca="false">IF(AND(C1606&lt;Assumptions!$B$9,B1606&lt;Assumptions!$B$10),"Irrigate Now",IF(AND(C1606&gt;=Assumptions!$B$11,B1606&gt;=Assumptions!$B$12),"No Irrigation Needed","Monitor"))</f>
        <v>Monitor</v>
      </c>
      <c r="O1606" s="6" t="n">
        <f aca="false">IF(N1606=G1606,1,0)</f>
        <v>1</v>
      </c>
    </row>
    <row r="1607" customFormat="false" ht="15" hidden="false" customHeight="false" outlineLevel="0" collapsed="false">
      <c r="A1607" s="16" t="n">
        <v>28.06903173</v>
      </c>
      <c r="B1607" s="16" t="n">
        <v>114.1339416</v>
      </c>
      <c r="C1607" s="16" t="n">
        <v>26.9054708327141</v>
      </c>
      <c r="D1607" s="6" t="s">
        <v>57</v>
      </c>
      <c r="E1607" s="6" t="s">
        <v>57</v>
      </c>
      <c r="F1607" s="6" t="s">
        <v>23</v>
      </c>
      <c r="G1607" s="6" t="s">
        <v>58</v>
      </c>
      <c r="H1607" s="6" t="s">
        <v>59</v>
      </c>
      <c r="I1607" s="6" t="str">
        <f aca="false">IF(A1607&lt;Outliers!$E$6,"Low",IF(A1607&gt;Outliers!$F$6,"High",""))</f>
        <v/>
      </c>
      <c r="J1607" s="6" t="str">
        <f aca="false">IF(B1607&lt;Outliers!$E$7,"Low",IF(B1607&gt;Outliers!$F$7,"High",""))</f>
        <v/>
      </c>
      <c r="K1607" s="6" t="str">
        <f aca="false">IF(C1607&lt;Outliers!$E$8,"Low",IF(C1607&gt;Outliers!$F$8,"High",""))</f>
        <v/>
      </c>
      <c r="L1607" s="6" t="str">
        <f aca="false">A1607&amp;";"&amp;B1607&amp;";"&amp;C1607</f>
        <v>28.06903173;114.1339416;26.9054708327141</v>
      </c>
      <c r="M1607" s="6" t="n">
        <f aca="false">IF(COUNTIF($L$2:$L$2201,L1607)&gt;1,1,0)</f>
        <v>0</v>
      </c>
      <c r="N1607" s="6" t="str">
        <f aca="false">IF(AND(C1607&lt;Assumptions!$B$9,B1607&lt;Assumptions!$B$10),"Irrigate Now",IF(AND(C1607&gt;=Assumptions!$B$11,B1607&gt;=Assumptions!$B$12),"No Irrigation Needed","Monitor"))</f>
        <v>No Irrigation Needed</v>
      </c>
      <c r="O1607" s="6" t="n">
        <f aca="false">IF(N1607=G1607,1,0)</f>
        <v>1</v>
      </c>
    </row>
    <row r="1608" customFormat="false" ht="15" hidden="false" customHeight="false" outlineLevel="0" collapsed="false">
      <c r="A1608" s="16" t="n">
        <v>25.66901098</v>
      </c>
      <c r="B1608" s="16" t="n">
        <v>112.5424199</v>
      </c>
      <c r="C1608" s="16" t="n">
        <v>16.1210229269854</v>
      </c>
      <c r="D1608" s="6" t="s">
        <v>57</v>
      </c>
      <c r="E1608" s="6" t="s">
        <v>57</v>
      </c>
      <c r="F1608" s="6" t="s">
        <v>24</v>
      </c>
      <c r="G1608" s="6" t="s">
        <v>61</v>
      </c>
      <c r="H1608" s="6" t="s">
        <v>63</v>
      </c>
      <c r="I1608" s="6" t="str">
        <f aca="false">IF(A1608&lt;Outliers!$E$6,"Low",IF(A1608&gt;Outliers!$F$6,"High",""))</f>
        <v/>
      </c>
      <c r="J1608" s="6" t="str">
        <f aca="false">IF(B1608&lt;Outliers!$E$7,"Low",IF(B1608&gt;Outliers!$F$7,"High",""))</f>
        <v/>
      </c>
      <c r="K1608" s="6" t="str">
        <f aca="false">IF(C1608&lt;Outliers!$E$8,"Low",IF(C1608&gt;Outliers!$F$8,"High",""))</f>
        <v/>
      </c>
      <c r="L1608" s="6" t="str">
        <f aca="false">A1608&amp;";"&amp;B1608&amp;";"&amp;C1608</f>
        <v>25.66901098;112.5424199;16.1210229269854</v>
      </c>
      <c r="M1608" s="6" t="n">
        <f aca="false">IF(COUNTIF($L$2:$L$2201,L1608)&gt;1,1,0)</f>
        <v>0</v>
      </c>
      <c r="N1608" s="6" t="str">
        <f aca="false">IF(AND(C1608&lt;Assumptions!$B$9,B1608&lt;Assumptions!$B$10),"Irrigate Now",IF(AND(C1608&gt;=Assumptions!$B$11,B1608&gt;=Assumptions!$B$12),"No Irrigation Needed","Monitor"))</f>
        <v>Monitor</v>
      </c>
      <c r="O1608" s="6" t="n">
        <f aca="false">IF(N1608=G1608,1,0)</f>
        <v>1</v>
      </c>
    </row>
    <row r="1609" customFormat="false" ht="15" hidden="false" customHeight="false" outlineLevel="0" collapsed="false">
      <c r="A1609" s="16" t="n">
        <v>29.77149434</v>
      </c>
      <c r="B1609" s="16" t="n">
        <v>114.4161786</v>
      </c>
      <c r="C1609" s="16" t="n">
        <v>20.8888303931514</v>
      </c>
      <c r="D1609" s="6" t="s">
        <v>57</v>
      </c>
      <c r="E1609" s="6" t="s">
        <v>57</v>
      </c>
      <c r="F1609" s="6" t="s">
        <v>60</v>
      </c>
      <c r="G1609" s="6" t="s">
        <v>61</v>
      </c>
      <c r="H1609" s="6" t="s">
        <v>63</v>
      </c>
      <c r="I1609" s="6" t="str">
        <f aca="false">IF(A1609&lt;Outliers!$E$6,"Low",IF(A1609&gt;Outliers!$F$6,"High",""))</f>
        <v/>
      </c>
      <c r="J1609" s="6" t="str">
        <f aca="false">IF(B1609&lt;Outliers!$E$7,"Low",IF(B1609&gt;Outliers!$F$7,"High",""))</f>
        <v/>
      </c>
      <c r="K1609" s="6" t="str">
        <f aca="false">IF(C1609&lt;Outliers!$E$8,"Low",IF(C1609&gt;Outliers!$F$8,"High",""))</f>
        <v/>
      </c>
      <c r="L1609" s="6" t="str">
        <f aca="false">A1609&amp;";"&amp;B1609&amp;";"&amp;C1609</f>
        <v>29.77149434;114.4161786;20.8888303931514</v>
      </c>
      <c r="M1609" s="6" t="n">
        <f aca="false">IF(COUNTIF($L$2:$L$2201,L1609)&gt;1,1,0)</f>
        <v>0</v>
      </c>
      <c r="N1609" s="6" t="str">
        <f aca="false">IF(AND(C1609&lt;Assumptions!$B$9,B1609&lt;Assumptions!$B$10),"Irrigate Now",IF(AND(C1609&gt;=Assumptions!$B$11,B1609&gt;=Assumptions!$B$12),"No Irrigation Needed","Monitor"))</f>
        <v>Monitor</v>
      </c>
      <c r="O1609" s="6" t="n">
        <f aca="false">IF(N1609=G1609,1,0)</f>
        <v>1</v>
      </c>
    </row>
    <row r="1610" customFormat="false" ht="15" hidden="false" customHeight="false" outlineLevel="0" collapsed="false">
      <c r="A1610" s="16" t="n">
        <v>30.55472573</v>
      </c>
      <c r="B1610" s="16" t="n">
        <v>106.0711985</v>
      </c>
      <c r="C1610" s="16" t="n">
        <v>17.1566347190001</v>
      </c>
      <c r="D1610" s="6" t="s">
        <v>67</v>
      </c>
      <c r="E1610" s="6" t="s">
        <v>57</v>
      </c>
      <c r="F1610" s="6" t="s">
        <v>60</v>
      </c>
      <c r="G1610" s="6" t="s">
        <v>61</v>
      </c>
      <c r="H1610" s="6" t="s">
        <v>68</v>
      </c>
      <c r="I1610" s="6" t="str">
        <f aca="false">IF(A1610&lt;Outliers!$E$6,"Low",IF(A1610&gt;Outliers!$F$6,"High",""))</f>
        <v/>
      </c>
      <c r="J1610" s="6" t="str">
        <f aca="false">IF(B1610&lt;Outliers!$E$7,"Low",IF(B1610&gt;Outliers!$F$7,"High",""))</f>
        <v/>
      </c>
      <c r="K1610" s="6" t="str">
        <f aca="false">IF(C1610&lt;Outliers!$E$8,"Low",IF(C1610&gt;Outliers!$F$8,"High",""))</f>
        <v/>
      </c>
      <c r="L1610" s="6" t="str">
        <f aca="false">A1610&amp;";"&amp;B1610&amp;";"&amp;C1610</f>
        <v>30.55472573;106.0711985;17.1566347190001</v>
      </c>
      <c r="M1610" s="6" t="n">
        <f aca="false">IF(COUNTIF($L$2:$L$2201,L1610)&gt;1,1,0)</f>
        <v>0</v>
      </c>
      <c r="N1610" s="6" t="str">
        <f aca="false">IF(AND(C1610&lt;Assumptions!$B$9,B1610&lt;Assumptions!$B$10),"Irrigate Now",IF(AND(C1610&gt;=Assumptions!$B$11,B1610&gt;=Assumptions!$B$12),"No Irrigation Needed","Monitor"))</f>
        <v>Monitor</v>
      </c>
      <c r="O1610" s="6" t="n">
        <f aca="false">IF(N1610=G1610,1,0)</f>
        <v>1</v>
      </c>
    </row>
    <row r="1611" customFormat="false" ht="15" hidden="false" customHeight="false" outlineLevel="0" collapsed="false">
      <c r="A1611" s="16" t="n">
        <v>23.96147583</v>
      </c>
      <c r="B1611" s="16" t="n">
        <v>102.6958703</v>
      </c>
      <c r="C1611" s="16" t="n">
        <v>19.9090084684907</v>
      </c>
      <c r="D1611" s="6" t="s">
        <v>57</v>
      </c>
      <c r="E1611" s="6" t="s">
        <v>57</v>
      </c>
      <c r="F1611" s="6" t="s">
        <v>60</v>
      </c>
      <c r="G1611" s="6" t="s">
        <v>61</v>
      </c>
      <c r="H1611" s="6" t="s">
        <v>63</v>
      </c>
      <c r="I1611" s="6" t="str">
        <f aca="false">IF(A1611&lt;Outliers!$E$6,"Low",IF(A1611&gt;Outliers!$F$6,"High",""))</f>
        <v/>
      </c>
      <c r="J1611" s="6" t="str">
        <f aca="false">IF(B1611&lt;Outliers!$E$7,"Low",IF(B1611&gt;Outliers!$F$7,"High",""))</f>
        <v/>
      </c>
      <c r="K1611" s="6" t="str">
        <f aca="false">IF(C1611&lt;Outliers!$E$8,"Low",IF(C1611&gt;Outliers!$F$8,"High",""))</f>
        <v/>
      </c>
      <c r="L1611" s="6" t="str">
        <f aca="false">A1611&amp;";"&amp;B1611&amp;";"&amp;C1611</f>
        <v>23.96147583;102.6958703;19.9090084684907</v>
      </c>
      <c r="M1611" s="6" t="n">
        <f aca="false">IF(COUNTIF($L$2:$L$2201,L1611)&gt;1,1,0)</f>
        <v>0</v>
      </c>
      <c r="N1611" s="6" t="str">
        <f aca="false">IF(AND(C1611&lt;Assumptions!$B$9,B1611&lt;Assumptions!$B$10),"Irrigate Now",IF(AND(C1611&gt;=Assumptions!$B$11,B1611&gt;=Assumptions!$B$12),"No Irrigation Needed","Monitor"))</f>
        <v>Monitor</v>
      </c>
      <c r="O1611" s="6" t="n">
        <f aca="false">IF(N1611=G1611,1,0)</f>
        <v>1</v>
      </c>
    </row>
    <row r="1612" customFormat="false" ht="15" hidden="false" customHeight="false" outlineLevel="0" collapsed="false">
      <c r="A1612" s="16" t="n">
        <v>23.98289638</v>
      </c>
      <c r="B1612" s="16" t="n">
        <v>118.4901697</v>
      </c>
      <c r="C1612" s="16" t="n">
        <v>15.989417171903</v>
      </c>
      <c r="D1612" s="6" t="s">
        <v>57</v>
      </c>
      <c r="E1612" s="6" t="s">
        <v>57</v>
      </c>
      <c r="F1612" s="6" t="s">
        <v>24</v>
      </c>
      <c r="G1612" s="6" t="s">
        <v>61</v>
      </c>
      <c r="H1612" s="6" t="s">
        <v>63</v>
      </c>
      <c r="I1612" s="6" t="str">
        <f aca="false">IF(A1612&lt;Outliers!$E$6,"Low",IF(A1612&gt;Outliers!$F$6,"High",""))</f>
        <v/>
      </c>
      <c r="J1612" s="6" t="str">
        <f aca="false">IF(B1612&lt;Outliers!$E$7,"Low",IF(B1612&gt;Outliers!$F$7,"High",""))</f>
        <v/>
      </c>
      <c r="K1612" s="6" t="str">
        <f aca="false">IF(C1612&lt;Outliers!$E$8,"Low",IF(C1612&gt;Outliers!$F$8,"High",""))</f>
        <v/>
      </c>
      <c r="L1612" s="6" t="str">
        <f aca="false">A1612&amp;";"&amp;B1612&amp;";"&amp;C1612</f>
        <v>23.98289638;118.4901697;15.989417171903</v>
      </c>
      <c r="M1612" s="6" t="n">
        <f aca="false">IF(COUNTIF($L$2:$L$2201,L1612)&gt;1,1,0)</f>
        <v>0</v>
      </c>
      <c r="N1612" s="6" t="str">
        <f aca="false">IF(AND(C1612&lt;Assumptions!$B$9,B1612&lt;Assumptions!$B$10),"Irrigate Now",IF(AND(C1612&gt;=Assumptions!$B$11,B1612&gt;=Assumptions!$B$12),"No Irrigation Needed","Monitor"))</f>
        <v>Monitor</v>
      </c>
      <c r="O1612" s="6" t="n">
        <f aca="false">IF(N1612=G1612,1,0)</f>
        <v>1</v>
      </c>
    </row>
    <row r="1613" customFormat="false" ht="15" hidden="false" customHeight="false" outlineLevel="0" collapsed="false">
      <c r="A1613" s="16" t="n">
        <v>25.26052689</v>
      </c>
      <c r="B1613" s="16" t="n">
        <v>117.3695296</v>
      </c>
      <c r="C1613" s="16" t="n">
        <v>26.2305851323114</v>
      </c>
      <c r="D1613" s="6" t="s">
        <v>57</v>
      </c>
      <c r="E1613" s="6" t="s">
        <v>57</v>
      </c>
      <c r="F1613" s="6" t="s">
        <v>23</v>
      </c>
      <c r="G1613" s="6" t="s">
        <v>58</v>
      </c>
      <c r="H1613" s="6" t="s">
        <v>59</v>
      </c>
      <c r="I1613" s="6" t="str">
        <f aca="false">IF(A1613&lt;Outliers!$E$6,"Low",IF(A1613&gt;Outliers!$F$6,"High",""))</f>
        <v/>
      </c>
      <c r="J1613" s="6" t="str">
        <f aca="false">IF(B1613&lt;Outliers!$E$7,"Low",IF(B1613&gt;Outliers!$F$7,"High",""))</f>
        <v/>
      </c>
      <c r="K1613" s="6" t="str">
        <f aca="false">IF(C1613&lt;Outliers!$E$8,"Low",IF(C1613&gt;Outliers!$F$8,"High",""))</f>
        <v/>
      </c>
      <c r="L1613" s="6" t="str">
        <f aca="false">A1613&amp;";"&amp;B1613&amp;";"&amp;C1613</f>
        <v>25.26052689;117.3695296;26.2305851323114</v>
      </c>
      <c r="M1613" s="6" t="n">
        <f aca="false">IF(COUNTIF($L$2:$L$2201,L1613)&gt;1,1,0)</f>
        <v>0</v>
      </c>
      <c r="N1613" s="6" t="str">
        <f aca="false">IF(AND(C1613&lt;Assumptions!$B$9,B1613&lt;Assumptions!$B$10),"Irrigate Now",IF(AND(C1613&gt;=Assumptions!$B$11,B1613&gt;=Assumptions!$B$12),"No Irrigation Needed","Monitor"))</f>
        <v>No Irrigation Needed</v>
      </c>
      <c r="O1613" s="6" t="n">
        <f aca="false">IF(N1613=G1613,1,0)</f>
        <v>1</v>
      </c>
    </row>
    <row r="1614" customFormat="false" ht="15" hidden="false" customHeight="false" outlineLevel="0" collapsed="false">
      <c r="A1614" s="16" t="n">
        <v>31.08368929</v>
      </c>
      <c r="B1614" s="16" t="n">
        <v>109.6894658</v>
      </c>
      <c r="C1614" s="16" t="n">
        <v>22.9376530867205</v>
      </c>
      <c r="D1614" s="6" t="s">
        <v>67</v>
      </c>
      <c r="E1614" s="6" t="s">
        <v>57</v>
      </c>
      <c r="F1614" s="6" t="s">
        <v>60</v>
      </c>
      <c r="G1614" s="6" t="s">
        <v>61</v>
      </c>
      <c r="H1614" s="6" t="s">
        <v>63</v>
      </c>
      <c r="I1614" s="6" t="str">
        <f aca="false">IF(A1614&lt;Outliers!$E$6,"Low",IF(A1614&gt;Outliers!$F$6,"High",""))</f>
        <v/>
      </c>
      <c r="J1614" s="6" t="str">
        <f aca="false">IF(B1614&lt;Outliers!$E$7,"Low",IF(B1614&gt;Outliers!$F$7,"High",""))</f>
        <v/>
      </c>
      <c r="K1614" s="6" t="str">
        <f aca="false">IF(C1614&lt;Outliers!$E$8,"Low",IF(C1614&gt;Outliers!$F$8,"High",""))</f>
        <v/>
      </c>
      <c r="L1614" s="6" t="str">
        <f aca="false">A1614&amp;";"&amp;B1614&amp;";"&amp;C1614</f>
        <v>31.08368929;109.6894658;22.9376530867205</v>
      </c>
      <c r="M1614" s="6" t="n">
        <f aca="false">IF(COUNTIF($L$2:$L$2201,L1614)&gt;1,1,0)</f>
        <v>0</v>
      </c>
      <c r="N1614" s="6" t="str">
        <f aca="false">IF(AND(C1614&lt;Assumptions!$B$9,B1614&lt;Assumptions!$B$10),"Irrigate Now",IF(AND(C1614&gt;=Assumptions!$B$11,B1614&gt;=Assumptions!$B$12),"No Irrigation Needed","Monitor"))</f>
        <v>Monitor</v>
      </c>
      <c r="O1614" s="6" t="n">
        <f aca="false">IF(N1614=G1614,1,0)</f>
        <v>1</v>
      </c>
    </row>
    <row r="1615" customFormat="false" ht="15" hidden="false" customHeight="false" outlineLevel="0" collapsed="false">
      <c r="A1615" s="16" t="n">
        <v>14.78003032</v>
      </c>
      <c r="B1615" s="16" t="n">
        <v>100.1961762</v>
      </c>
      <c r="C1615" s="16" t="n">
        <v>13.1809872168765</v>
      </c>
      <c r="D1615" s="6" t="s">
        <v>66</v>
      </c>
      <c r="E1615" s="6" t="s">
        <v>57</v>
      </c>
      <c r="F1615" s="6" t="s">
        <v>24</v>
      </c>
      <c r="G1615" s="6" t="s">
        <v>61</v>
      </c>
      <c r="H1615" s="6" t="s">
        <v>63</v>
      </c>
      <c r="I1615" s="6" t="str">
        <f aca="false">IF(A1615&lt;Outliers!$E$6,"Low",IF(A1615&gt;Outliers!$F$6,"High",""))</f>
        <v/>
      </c>
      <c r="J1615" s="6" t="str">
        <f aca="false">IF(B1615&lt;Outliers!$E$7,"Low",IF(B1615&gt;Outliers!$F$7,"High",""))</f>
        <v/>
      </c>
      <c r="K1615" s="6" t="str">
        <f aca="false">IF(C1615&lt;Outliers!$E$8,"Low",IF(C1615&gt;Outliers!$F$8,"High",""))</f>
        <v/>
      </c>
      <c r="L1615" s="6" t="str">
        <f aca="false">A1615&amp;";"&amp;B1615&amp;";"&amp;C1615</f>
        <v>14.78003032;100.1961762;13.1809872168765</v>
      </c>
      <c r="M1615" s="6" t="n">
        <f aca="false">IF(COUNTIF($L$2:$L$2201,L1615)&gt;1,1,0)</f>
        <v>0</v>
      </c>
      <c r="N1615" s="6" t="str">
        <f aca="false">IF(AND(C1615&lt;Assumptions!$B$9,B1615&lt;Assumptions!$B$10),"Irrigate Now",IF(AND(C1615&gt;=Assumptions!$B$11,B1615&gt;=Assumptions!$B$12),"No Irrigation Needed","Monitor"))</f>
        <v>Monitor</v>
      </c>
      <c r="O1615" s="6" t="n">
        <f aca="false">IF(N1615=G1615,1,0)</f>
        <v>1</v>
      </c>
    </row>
    <row r="1616" customFormat="false" ht="15" hidden="false" customHeight="false" outlineLevel="0" collapsed="false">
      <c r="A1616" s="16" t="n">
        <v>26.56608303</v>
      </c>
      <c r="B1616" s="16" t="n">
        <v>116.3796525</v>
      </c>
      <c r="C1616" s="16" t="n">
        <v>17.8023501829084</v>
      </c>
      <c r="D1616" s="6" t="s">
        <v>57</v>
      </c>
      <c r="E1616" s="6" t="s">
        <v>57</v>
      </c>
      <c r="F1616" s="6" t="s">
        <v>60</v>
      </c>
      <c r="G1616" s="6" t="s">
        <v>61</v>
      </c>
      <c r="H1616" s="6" t="s">
        <v>63</v>
      </c>
      <c r="I1616" s="6" t="str">
        <f aca="false">IF(A1616&lt;Outliers!$E$6,"Low",IF(A1616&gt;Outliers!$F$6,"High",""))</f>
        <v/>
      </c>
      <c r="J1616" s="6" t="str">
        <f aca="false">IF(B1616&lt;Outliers!$E$7,"Low",IF(B1616&gt;Outliers!$F$7,"High",""))</f>
        <v/>
      </c>
      <c r="K1616" s="6" t="str">
        <f aca="false">IF(C1616&lt;Outliers!$E$8,"Low",IF(C1616&gt;Outliers!$F$8,"High",""))</f>
        <v/>
      </c>
      <c r="L1616" s="6" t="str">
        <f aca="false">A1616&amp;";"&amp;B1616&amp;";"&amp;C1616</f>
        <v>26.56608303;116.3796525;17.8023501829084</v>
      </c>
      <c r="M1616" s="6" t="n">
        <f aca="false">IF(COUNTIF($L$2:$L$2201,L1616)&gt;1,1,0)</f>
        <v>0</v>
      </c>
      <c r="N1616" s="6" t="str">
        <f aca="false">IF(AND(C1616&lt;Assumptions!$B$9,B1616&lt;Assumptions!$B$10),"Irrigate Now",IF(AND(C1616&gt;=Assumptions!$B$11,B1616&gt;=Assumptions!$B$12),"No Irrigation Needed","Monitor"))</f>
        <v>Monitor</v>
      </c>
      <c r="O1616" s="6" t="n">
        <f aca="false">IF(N1616=G1616,1,0)</f>
        <v>1</v>
      </c>
    </row>
    <row r="1617" customFormat="false" ht="15" hidden="false" customHeight="false" outlineLevel="0" collapsed="false">
      <c r="A1617" s="16" t="n">
        <v>24.85903405</v>
      </c>
      <c r="B1617" s="16" t="n">
        <v>111.7803734</v>
      </c>
      <c r="C1617" s="16" t="n">
        <v>18.5749422761332</v>
      </c>
      <c r="D1617" s="6" t="s">
        <v>57</v>
      </c>
      <c r="E1617" s="6" t="s">
        <v>57</v>
      </c>
      <c r="F1617" s="6" t="s">
        <v>60</v>
      </c>
      <c r="G1617" s="6" t="s">
        <v>61</v>
      </c>
      <c r="H1617" s="6" t="s">
        <v>63</v>
      </c>
      <c r="I1617" s="6" t="str">
        <f aca="false">IF(A1617&lt;Outliers!$E$6,"Low",IF(A1617&gt;Outliers!$F$6,"High",""))</f>
        <v/>
      </c>
      <c r="J1617" s="6" t="str">
        <f aca="false">IF(B1617&lt;Outliers!$E$7,"Low",IF(B1617&gt;Outliers!$F$7,"High",""))</f>
        <v/>
      </c>
      <c r="K1617" s="6" t="str">
        <f aca="false">IF(C1617&lt;Outliers!$E$8,"Low",IF(C1617&gt;Outliers!$F$8,"High",""))</f>
        <v/>
      </c>
      <c r="L1617" s="6" t="str">
        <f aca="false">A1617&amp;";"&amp;B1617&amp;";"&amp;C1617</f>
        <v>24.85903405;111.7803734;18.5749422761332</v>
      </c>
      <c r="M1617" s="6" t="n">
        <f aca="false">IF(COUNTIF($L$2:$L$2201,L1617)&gt;1,1,0)</f>
        <v>0</v>
      </c>
      <c r="N1617" s="6" t="str">
        <f aca="false">IF(AND(C1617&lt;Assumptions!$B$9,B1617&lt;Assumptions!$B$10),"Irrigate Now",IF(AND(C1617&gt;=Assumptions!$B$11,B1617&gt;=Assumptions!$B$12),"No Irrigation Needed","Monitor"))</f>
        <v>Monitor</v>
      </c>
      <c r="O1617" s="6" t="n">
        <f aca="false">IF(N1617=G1617,1,0)</f>
        <v>1</v>
      </c>
    </row>
    <row r="1618" customFormat="false" ht="15" hidden="false" customHeight="false" outlineLevel="0" collapsed="false">
      <c r="A1618" s="16" t="n">
        <v>34.51465139</v>
      </c>
      <c r="B1618" s="16" t="n">
        <v>103.5684926</v>
      </c>
      <c r="C1618" s="16" t="n">
        <v>29.3908177170497</v>
      </c>
      <c r="D1618" s="6" t="s">
        <v>67</v>
      </c>
      <c r="E1618" s="6" t="s">
        <v>57</v>
      </c>
      <c r="F1618" s="6" t="s">
        <v>23</v>
      </c>
      <c r="G1618" s="6" t="s">
        <v>58</v>
      </c>
      <c r="H1618" s="6" t="s">
        <v>59</v>
      </c>
      <c r="I1618" s="6" t="str">
        <f aca="false">IF(A1618&lt;Outliers!$E$6,"Low",IF(A1618&gt;Outliers!$F$6,"High",""))</f>
        <v/>
      </c>
      <c r="J1618" s="6" t="str">
        <f aca="false">IF(B1618&lt;Outliers!$E$7,"Low",IF(B1618&gt;Outliers!$F$7,"High",""))</f>
        <v/>
      </c>
      <c r="K1618" s="6" t="str">
        <f aca="false">IF(C1618&lt;Outliers!$E$8,"Low",IF(C1618&gt;Outliers!$F$8,"High",""))</f>
        <v/>
      </c>
      <c r="L1618" s="6" t="str">
        <f aca="false">A1618&amp;";"&amp;B1618&amp;";"&amp;C1618</f>
        <v>34.51465139;103.5684926;29.3908177170497</v>
      </c>
      <c r="M1618" s="6" t="n">
        <f aca="false">IF(COUNTIF($L$2:$L$2201,L1618)&gt;1,1,0)</f>
        <v>0</v>
      </c>
      <c r="N1618" s="6" t="str">
        <f aca="false">IF(AND(C1618&lt;Assumptions!$B$9,B1618&lt;Assumptions!$B$10),"Irrigate Now",IF(AND(C1618&gt;=Assumptions!$B$11,B1618&gt;=Assumptions!$B$12),"No Irrigation Needed","Monitor"))</f>
        <v>No Irrigation Needed</v>
      </c>
      <c r="O1618" s="6" t="n">
        <f aca="false">IF(N1618=G1618,1,0)</f>
        <v>1</v>
      </c>
    </row>
    <row r="1619" customFormat="false" ht="15" hidden="false" customHeight="false" outlineLevel="0" collapsed="false">
      <c r="A1619" s="16" t="n">
        <v>24.12188673</v>
      </c>
      <c r="B1619" s="16" t="n">
        <v>102.835632</v>
      </c>
      <c r="C1619" s="16" t="n">
        <v>11.3203507659659</v>
      </c>
      <c r="D1619" s="6" t="s">
        <v>57</v>
      </c>
      <c r="E1619" s="6" t="s">
        <v>57</v>
      </c>
      <c r="F1619" s="6" t="s">
        <v>24</v>
      </c>
      <c r="G1619" s="6" t="s">
        <v>61</v>
      </c>
      <c r="H1619" s="6" t="s">
        <v>63</v>
      </c>
      <c r="I1619" s="6" t="str">
        <f aca="false">IF(A1619&lt;Outliers!$E$6,"Low",IF(A1619&gt;Outliers!$F$6,"High",""))</f>
        <v/>
      </c>
      <c r="J1619" s="6" t="str">
        <f aca="false">IF(B1619&lt;Outliers!$E$7,"Low",IF(B1619&gt;Outliers!$F$7,"High",""))</f>
        <v/>
      </c>
      <c r="K1619" s="6" t="str">
        <f aca="false">IF(C1619&lt;Outliers!$E$8,"Low",IF(C1619&gt;Outliers!$F$8,"High",""))</f>
        <v/>
      </c>
      <c r="L1619" s="6" t="str">
        <f aca="false">A1619&amp;";"&amp;B1619&amp;";"&amp;C1619</f>
        <v>24.12188673;102.835632;11.3203507659659</v>
      </c>
      <c r="M1619" s="6" t="n">
        <f aca="false">IF(COUNTIF($L$2:$L$2201,L1619)&gt;1,1,0)</f>
        <v>0</v>
      </c>
      <c r="N1619" s="6" t="str">
        <f aca="false">IF(AND(C1619&lt;Assumptions!$B$9,B1619&lt;Assumptions!$B$10),"Irrigate Now",IF(AND(C1619&gt;=Assumptions!$B$11,B1619&gt;=Assumptions!$B$12),"No Irrigation Needed","Monitor"))</f>
        <v>Monitor</v>
      </c>
      <c r="O1619" s="6" t="n">
        <f aca="false">IF(N1619=G1619,1,0)</f>
        <v>1</v>
      </c>
    </row>
    <row r="1620" customFormat="false" ht="15" hidden="false" customHeight="false" outlineLevel="0" collapsed="false">
      <c r="A1620" s="16" t="n">
        <v>23.85340379</v>
      </c>
      <c r="B1620" s="16" t="n">
        <v>103.923226</v>
      </c>
      <c r="C1620" s="16" t="n">
        <v>14.4553532036037</v>
      </c>
      <c r="D1620" s="6" t="s">
        <v>57</v>
      </c>
      <c r="E1620" s="6" t="s">
        <v>57</v>
      </c>
      <c r="F1620" s="6" t="s">
        <v>24</v>
      </c>
      <c r="G1620" s="6" t="s">
        <v>61</v>
      </c>
      <c r="H1620" s="6" t="s">
        <v>63</v>
      </c>
      <c r="I1620" s="6" t="str">
        <f aca="false">IF(A1620&lt;Outliers!$E$6,"Low",IF(A1620&gt;Outliers!$F$6,"High",""))</f>
        <v/>
      </c>
      <c r="J1620" s="6" t="str">
        <f aca="false">IF(B1620&lt;Outliers!$E$7,"Low",IF(B1620&gt;Outliers!$F$7,"High",""))</f>
        <v/>
      </c>
      <c r="K1620" s="6" t="str">
        <f aca="false">IF(C1620&lt;Outliers!$E$8,"Low",IF(C1620&gt;Outliers!$F$8,"High",""))</f>
        <v/>
      </c>
      <c r="L1620" s="6" t="str">
        <f aca="false">A1620&amp;";"&amp;B1620&amp;";"&amp;C1620</f>
        <v>23.85340379;103.923226;14.4553532036037</v>
      </c>
      <c r="M1620" s="6" t="n">
        <f aca="false">IF(COUNTIF($L$2:$L$2201,L1620)&gt;1,1,0)</f>
        <v>0</v>
      </c>
      <c r="N1620" s="6" t="str">
        <f aca="false">IF(AND(C1620&lt;Assumptions!$B$9,B1620&lt;Assumptions!$B$10),"Irrigate Now",IF(AND(C1620&gt;=Assumptions!$B$11,B1620&gt;=Assumptions!$B$12),"No Irrigation Needed","Monitor"))</f>
        <v>Monitor</v>
      </c>
      <c r="O1620" s="6" t="n">
        <f aca="false">IF(N1620=G1620,1,0)</f>
        <v>1</v>
      </c>
    </row>
    <row r="1621" customFormat="false" ht="15" hidden="false" customHeight="false" outlineLevel="0" collapsed="false">
      <c r="A1621" s="16" t="n">
        <v>24.60297538</v>
      </c>
      <c r="B1621" s="16" t="n">
        <v>111.2948115</v>
      </c>
      <c r="C1621" s="16" t="n">
        <v>19.1638481273344</v>
      </c>
      <c r="D1621" s="6" t="s">
        <v>57</v>
      </c>
      <c r="E1621" s="6" t="s">
        <v>57</v>
      </c>
      <c r="F1621" s="6" t="s">
        <v>60</v>
      </c>
      <c r="G1621" s="6" t="s">
        <v>61</v>
      </c>
      <c r="H1621" s="6" t="s">
        <v>63</v>
      </c>
      <c r="I1621" s="6" t="str">
        <f aca="false">IF(A1621&lt;Outliers!$E$6,"Low",IF(A1621&gt;Outliers!$F$6,"High",""))</f>
        <v/>
      </c>
      <c r="J1621" s="6" t="str">
        <f aca="false">IF(B1621&lt;Outliers!$E$7,"Low",IF(B1621&gt;Outliers!$F$7,"High",""))</f>
        <v/>
      </c>
      <c r="K1621" s="6" t="str">
        <f aca="false">IF(C1621&lt;Outliers!$E$8,"Low",IF(C1621&gt;Outliers!$F$8,"High",""))</f>
        <v/>
      </c>
      <c r="L1621" s="6" t="str">
        <f aca="false">A1621&amp;";"&amp;B1621&amp;";"&amp;C1621</f>
        <v>24.60297538;111.2948115;19.1638481273344</v>
      </c>
      <c r="M1621" s="6" t="n">
        <f aca="false">IF(COUNTIF($L$2:$L$2201,L1621)&gt;1,1,0)</f>
        <v>0</v>
      </c>
      <c r="N1621" s="6" t="str">
        <f aca="false">IF(AND(C1621&lt;Assumptions!$B$9,B1621&lt;Assumptions!$B$10),"Irrigate Now",IF(AND(C1621&gt;=Assumptions!$B$11,B1621&gt;=Assumptions!$B$12),"No Irrigation Needed","Monitor"))</f>
        <v>Monitor</v>
      </c>
      <c r="O1621" s="6" t="n">
        <f aca="false">IF(N1621=G1621,1,0)</f>
        <v>1</v>
      </c>
    </row>
    <row r="1622" customFormat="false" ht="15" hidden="false" customHeight="false" outlineLevel="0" collapsed="false">
      <c r="A1622" s="16" t="n">
        <v>15.63211033</v>
      </c>
      <c r="B1622" s="16" t="n">
        <v>101.4705704</v>
      </c>
      <c r="C1622" s="16" t="n">
        <v>11.8387773215201</v>
      </c>
      <c r="D1622" s="6" t="s">
        <v>66</v>
      </c>
      <c r="E1622" s="6" t="s">
        <v>57</v>
      </c>
      <c r="F1622" s="6" t="s">
        <v>24</v>
      </c>
      <c r="G1622" s="6" t="s">
        <v>61</v>
      </c>
      <c r="H1622" s="6" t="s">
        <v>63</v>
      </c>
      <c r="I1622" s="6" t="str">
        <f aca="false">IF(A1622&lt;Outliers!$E$6,"Low",IF(A1622&gt;Outliers!$F$6,"High",""))</f>
        <v/>
      </c>
      <c r="J1622" s="6" t="str">
        <f aca="false">IF(B1622&lt;Outliers!$E$7,"Low",IF(B1622&gt;Outliers!$F$7,"High",""))</f>
        <v/>
      </c>
      <c r="K1622" s="6" t="str">
        <f aca="false">IF(C1622&lt;Outliers!$E$8,"Low",IF(C1622&gt;Outliers!$F$8,"High",""))</f>
        <v/>
      </c>
      <c r="L1622" s="6" t="str">
        <f aca="false">A1622&amp;";"&amp;B1622&amp;";"&amp;C1622</f>
        <v>15.63211033;101.4705704;11.8387773215201</v>
      </c>
      <c r="M1622" s="6" t="n">
        <f aca="false">IF(COUNTIF($L$2:$L$2201,L1622)&gt;1,1,0)</f>
        <v>0</v>
      </c>
      <c r="N1622" s="6" t="str">
        <f aca="false">IF(AND(C1622&lt;Assumptions!$B$9,B1622&lt;Assumptions!$B$10),"Irrigate Now",IF(AND(C1622&gt;=Assumptions!$B$11,B1622&gt;=Assumptions!$B$12),"No Irrigation Needed","Monitor"))</f>
        <v>Monitor</v>
      </c>
      <c r="O1622" s="6" t="n">
        <f aca="false">IF(N1622=G1622,1,0)</f>
        <v>1</v>
      </c>
    </row>
    <row r="1623" customFormat="false" ht="15" hidden="false" customHeight="false" outlineLevel="0" collapsed="false">
      <c r="A1623" s="16" t="n">
        <v>19.33516809</v>
      </c>
      <c r="B1623" s="16" t="n">
        <v>116.450422</v>
      </c>
      <c r="C1623" s="16" t="n">
        <v>14.1834094917328</v>
      </c>
      <c r="D1623" s="6" t="s">
        <v>66</v>
      </c>
      <c r="E1623" s="6" t="s">
        <v>57</v>
      </c>
      <c r="F1623" s="6" t="s">
        <v>24</v>
      </c>
      <c r="G1623" s="6" t="s">
        <v>61</v>
      </c>
      <c r="H1623" s="6" t="s">
        <v>63</v>
      </c>
      <c r="I1623" s="6" t="str">
        <f aca="false">IF(A1623&lt;Outliers!$E$6,"Low",IF(A1623&gt;Outliers!$F$6,"High",""))</f>
        <v/>
      </c>
      <c r="J1623" s="6" t="str">
        <f aca="false">IF(B1623&lt;Outliers!$E$7,"Low",IF(B1623&gt;Outliers!$F$7,"High",""))</f>
        <v/>
      </c>
      <c r="K1623" s="6" t="str">
        <f aca="false">IF(C1623&lt;Outliers!$E$8,"Low",IF(C1623&gt;Outliers!$F$8,"High",""))</f>
        <v/>
      </c>
      <c r="L1623" s="6" t="str">
        <f aca="false">A1623&amp;";"&amp;B1623&amp;";"&amp;C1623</f>
        <v>19.33516809;116.450422;14.1834094917328</v>
      </c>
      <c r="M1623" s="6" t="n">
        <f aca="false">IF(COUNTIF($L$2:$L$2201,L1623)&gt;1,1,0)</f>
        <v>0</v>
      </c>
      <c r="N1623" s="6" t="str">
        <f aca="false">IF(AND(C1623&lt;Assumptions!$B$9,B1623&lt;Assumptions!$B$10),"Irrigate Now",IF(AND(C1623&gt;=Assumptions!$B$11,B1623&gt;=Assumptions!$B$12),"No Irrigation Needed","Monitor"))</f>
        <v>Monitor</v>
      </c>
      <c r="O1623" s="6" t="n">
        <f aca="false">IF(N1623=G1623,1,0)</f>
        <v>1</v>
      </c>
    </row>
    <row r="1624" customFormat="false" ht="15" hidden="false" customHeight="false" outlineLevel="0" collapsed="false">
      <c r="A1624" s="16" t="n">
        <v>28.2620488</v>
      </c>
      <c r="B1624" s="16" t="n">
        <v>105.2132259</v>
      </c>
      <c r="C1624" s="16" t="n">
        <v>22.9042466940025</v>
      </c>
      <c r="D1624" s="6" t="s">
        <v>57</v>
      </c>
      <c r="E1624" s="6" t="s">
        <v>57</v>
      </c>
      <c r="F1624" s="6" t="s">
        <v>60</v>
      </c>
      <c r="G1624" s="6" t="s">
        <v>61</v>
      </c>
      <c r="H1624" s="6" t="s">
        <v>63</v>
      </c>
      <c r="I1624" s="6" t="str">
        <f aca="false">IF(A1624&lt;Outliers!$E$6,"Low",IF(A1624&gt;Outliers!$F$6,"High",""))</f>
        <v/>
      </c>
      <c r="J1624" s="6" t="str">
        <f aca="false">IF(B1624&lt;Outliers!$E$7,"Low",IF(B1624&gt;Outliers!$F$7,"High",""))</f>
        <v/>
      </c>
      <c r="K1624" s="6" t="str">
        <f aca="false">IF(C1624&lt;Outliers!$E$8,"Low",IF(C1624&gt;Outliers!$F$8,"High",""))</f>
        <v/>
      </c>
      <c r="L1624" s="6" t="str">
        <f aca="false">A1624&amp;";"&amp;B1624&amp;";"&amp;C1624</f>
        <v>28.2620488;105.2132259;22.9042466940025</v>
      </c>
      <c r="M1624" s="6" t="n">
        <f aca="false">IF(COUNTIF($L$2:$L$2201,L1624)&gt;1,1,0)</f>
        <v>0</v>
      </c>
      <c r="N1624" s="6" t="str">
        <f aca="false">IF(AND(C1624&lt;Assumptions!$B$9,B1624&lt;Assumptions!$B$10),"Irrigate Now",IF(AND(C1624&gt;=Assumptions!$B$11,B1624&gt;=Assumptions!$B$12),"No Irrigation Needed","Monitor"))</f>
        <v>Monitor</v>
      </c>
      <c r="O1624" s="6" t="n">
        <f aca="false">IF(N1624=G1624,1,0)</f>
        <v>1</v>
      </c>
    </row>
    <row r="1625" customFormat="false" ht="15" hidden="false" customHeight="false" outlineLevel="0" collapsed="false">
      <c r="A1625" s="16" t="n">
        <v>22.67594476</v>
      </c>
      <c r="B1625" s="16" t="n">
        <v>110.3332655</v>
      </c>
      <c r="C1625" s="16" t="n">
        <v>19.8048853159575</v>
      </c>
      <c r="D1625" s="6" t="s">
        <v>57</v>
      </c>
      <c r="E1625" s="6" t="s">
        <v>57</v>
      </c>
      <c r="F1625" s="6" t="s">
        <v>60</v>
      </c>
      <c r="G1625" s="6" t="s">
        <v>61</v>
      </c>
      <c r="H1625" s="6" t="s">
        <v>63</v>
      </c>
      <c r="I1625" s="6" t="str">
        <f aca="false">IF(A1625&lt;Outliers!$E$6,"Low",IF(A1625&gt;Outliers!$F$6,"High",""))</f>
        <v/>
      </c>
      <c r="J1625" s="6" t="str">
        <f aca="false">IF(B1625&lt;Outliers!$E$7,"Low",IF(B1625&gt;Outliers!$F$7,"High",""))</f>
        <v/>
      </c>
      <c r="K1625" s="6" t="str">
        <f aca="false">IF(C1625&lt;Outliers!$E$8,"Low",IF(C1625&gt;Outliers!$F$8,"High",""))</f>
        <v/>
      </c>
      <c r="L1625" s="6" t="str">
        <f aca="false">A1625&amp;";"&amp;B1625&amp;";"&amp;C1625</f>
        <v>22.67594476;110.3332655;19.8048853159575</v>
      </c>
      <c r="M1625" s="6" t="n">
        <f aca="false">IF(COUNTIF($L$2:$L$2201,L1625)&gt;1,1,0)</f>
        <v>0</v>
      </c>
      <c r="N1625" s="6" t="str">
        <f aca="false">IF(AND(C1625&lt;Assumptions!$B$9,B1625&lt;Assumptions!$B$10),"Irrigate Now",IF(AND(C1625&gt;=Assumptions!$B$11,B1625&gt;=Assumptions!$B$12),"No Irrigation Needed","Monitor"))</f>
        <v>Monitor</v>
      </c>
      <c r="O1625" s="6" t="n">
        <f aca="false">IF(N1625=G1625,1,0)</f>
        <v>1</v>
      </c>
    </row>
    <row r="1626" customFormat="false" ht="15" hidden="false" customHeight="false" outlineLevel="0" collapsed="false">
      <c r="A1626" s="16" t="n">
        <v>21.03200078</v>
      </c>
      <c r="B1626" s="16" t="n">
        <v>110.6823944</v>
      </c>
      <c r="C1626" s="16" t="n">
        <v>23.8992792933928</v>
      </c>
      <c r="D1626" s="6" t="s">
        <v>57</v>
      </c>
      <c r="E1626" s="6" t="s">
        <v>57</v>
      </c>
      <c r="F1626" s="6" t="s">
        <v>23</v>
      </c>
      <c r="G1626" s="6" t="s">
        <v>61</v>
      </c>
      <c r="H1626" s="6" t="s">
        <v>63</v>
      </c>
      <c r="I1626" s="6" t="str">
        <f aca="false">IF(A1626&lt;Outliers!$E$6,"Low",IF(A1626&gt;Outliers!$F$6,"High",""))</f>
        <v/>
      </c>
      <c r="J1626" s="6" t="str">
        <f aca="false">IF(B1626&lt;Outliers!$E$7,"Low",IF(B1626&gt;Outliers!$F$7,"High",""))</f>
        <v/>
      </c>
      <c r="K1626" s="6" t="str">
        <f aca="false">IF(C1626&lt;Outliers!$E$8,"Low",IF(C1626&gt;Outliers!$F$8,"High",""))</f>
        <v/>
      </c>
      <c r="L1626" s="6" t="str">
        <f aca="false">A1626&amp;";"&amp;B1626&amp;";"&amp;C1626</f>
        <v>21.03200078;110.6823944;23.8992792933928</v>
      </c>
      <c r="M1626" s="6" t="n">
        <f aca="false">IF(COUNTIF($L$2:$L$2201,L1626)&gt;1,1,0)</f>
        <v>0</v>
      </c>
      <c r="N1626" s="6" t="str">
        <f aca="false">IF(AND(C1626&lt;Assumptions!$B$9,B1626&lt;Assumptions!$B$10),"Irrigate Now",IF(AND(C1626&gt;=Assumptions!$B$11,B1626&gt;=Assumptions!$B$12),"No Irrigation Needed","Monitor"))</f>
        <v>Monitor</v>
      </c>
      <c r="O1626" s="6" t="n">
        <f aca="false">IF(N1626=G1626,1,0)</f>
        <v>1</v>
      </c>
    </row>
    <row r="1627" customFormat="false" ht="15" hidden="false" customHeight="false" outlineLevel="0" collapsed="false">
      <c r="A1627" s="16" t="n">
        <v>33.23453301</v>
      </c>
      <c r="B1627" s="16" t="n">
        <v>115.7659902</v>
      </c>
      <c r="C1627" s="16" t="n">
        <v>21.3376249812286</v>
      </c>
      <c r="D1627" s="6" t="s">
        <v>67</v>
      </c>
      <c r="E1627" s="6" t="s">
        <v>57</v>
      </c>
      <c r="F1627" s="6" t="s">
        <v>60</v>
      </c>
      <c r="G1627" s="6" t="s">
        <v>61</v>
      </c>
      <c r="H1627" s="6" t="s">
        <v>68</v>
      </c>
      <c r="I1627" s="6" t="str">
        <f aca="false">IF(A1627&lt;Outliers!$E$6,"Low",IF(A1627&gt;Outliers!$F$6,"High",""))</f>
        <v/>
      </c>
      <c r="J1627" s="6" t="str">
        <f aca="false">IF(B1627&lt;Outliers!$E$7,"Low",IF(B1627&gt;Outliers!$F$7,"High",""))</f>
        <v/>
      </c>
      <c r="K1627" s="6" t="str">
        <f aca="false">IF(C1627&lt;Outliers!$E$8,"Low",IF(C1627&gt;Outliers!$F$8,"High",""))</f>
        <v/>
      </c>
      <c r="L1627" s="6" t="str">
        <f aca="false">A1627&amp;";"&amp;B1627&amp;";"&amp;C1627</f>
        <v>33.23453301;115.7659902;21.3376249812286</v>
      </c>
      <c r="M1627" s="6" t="n">
        <f aca="false">IF(COUNTIF($L$2:$L$2201,L1627)&gt;1,1,0)</f>
        <v>0</v>
      </c>
      <c r="N1627" s="6" t="str">
        <f aca="false">IF(AND(C1627&lt;Assumptions!$B$9,B1627&lt;Assumptions!$B$10),"Irrigate Now",IF(AND(C1627&gt;=Assumptions!$B$11,B1627&gt;=Assumptions!$B$12),"No Irrigation Needed","Monitor"))</f>
        <v>Monitor</v>
      </c>
      <c r="O1627" s="6" t="n">
        <f aca="false">IF(N1627=G1627,1,0)</f>
        <v>1</v>
      </c>
    </row>
    <row r="1628" customFormat="false" ht="15" hidden="false" customHeight="false" outlineLevel="0" collapsed="false">
      <c r="A1628" s="16" t="n">
        <v>22.30318989</v>
      </c>
      <c r="B1628" s="16" t="n">
        <v>117.3688104</v>
      </c>
      <c r="C1628" s="16" t="n">
        <v>24.0689751355308</v>
      </c>
      <c r="D1628" s="6" t="s">
        <v>57</v>
      </c>
      <c r="E1628" s="6" t="s">
        <v>57</v>
      </c>
      <c r="F1628" s="6" t="s">
        <v>23</v>
      </c>
      <c r="G1628" s="6" t="s">
        <v>61</v>
      </c>
      <c r="H1628" s="6" t="s">
        <v>63</v>
      </c>
      <c r="I1628" s="6" t="str">
        <f aca="false">IF(A1628&lt;Outliers!$E$6,"Low",IF(A1628&gt;Outliers!$F$6,"High",""))</f>
        <v/>
      </c>
      <c r="J1628" s="6" t="str">
        <f aca="false">IF(B1628&lt;Outliers!$E$7,"Low",IF(B1628&gt;Outliers!$F$7,"High",""))</f>
        <v/>
      </c>
      <c r="K1628" s="6" t="str">
        <f aca="false">IF(C1628&lt;Outliers!$E$8,"Low",IF(C1628&gt;Outliers!$F$8,"High",""))</f>
        <v/>
      </c>
      <c r="L1628" s="6" t="str">
        <f aca="false">A1628&amp;";"&amp;B1628&amp;";"&amp;C1628</f>
        <v>22.30318989;117.3688104;24.0689751355308</v>
      </c>
      <c r="M1628" s="6" t="n">
        <f aca="false">IF(COUNTIF($L$2:$L$2201,L1628)&gt;1,1,0)</f>
        <v>0</v>
      </c>
      <c r="N1628" s="6" t="str">
        <f aca="false">IF(AND(C1628&lt;Assumptions!$B$9,B1628&lt;Assumptions!$B$10),"Irrigate Now",IF(AND(C1628&gt;=Assumptions!$B$11,B1628&gt;=Assumptions!$B$12),"No Irrigation Needed","Monitor"))</f>
        <v>Monitor</v>
      </c>
      <c r="O1628" s="6" t="n">
        <f aca="false">IF(N1628=G1628,1,0)</f>
        <v>1</v>
      </c>
    </row>
    <row r="1629" customFormat="false" ht="15" hidden="false" customHeight="false" outlineLevel="0" collapsed="false">
      <c r="A1629" s="16" t="n">
        <v>11.50322938</v>
      </c>
      <c r="B1629" s="16" t="n">
        <v>115.5683776</v>
      </c>
      <c r="C1629" s="16" t="n">
        <v>29.7035179302783</v>
      </c>
      <c r="D1629" s="6" t="s">
        <v>66</v>
      </c>
      <c r="E1629" s="6" t="s">
        <v>57</v>
      </c>
      <c r="F1629" s="6" t="s">
        <v>23</v>
      </c>
      <c r="G1629" s="6" t="s">
        <v>58</v>
      </c>
      <c r="H1629" s="6" t="s">
        <v>59</v>
      </c>
      <c r="I1629" s="6" t="str">
        <f aca="false">IF(A1629&lt;Outliers!$E$6,"Low",IF(A1629&gt;Outliers!$F$6,"High",""))</f>
        <v>Low</v>
      </c>
      <c r="J1629" s="6" t="str">
        <f aca="false">IF(B1629&lt;Outliers!$E$7,"Low",IF(B1629&gt;Outliers!$F$7,"High",""))</f>
        <v/>
      </c>
      <c r="K1629" s="6" t="str">
        <f aca="false">IF(C1629&lt;Outliers!$E$8,"Low",IF(C1629&gt;Outliers!$F$8,"High",""))</f>
        <v/>
      </c>
      <c r="L1629" s="6" t="str">
        <f aca="false">A1629&amp;";"&amp;B1629&amp;";"&amp;C1629</f>
        <v>11.50322938;115.5683776;29.7035179302783</v>
      </c>
      <c r="M1629" s="6" t="n">
        <f aca="false">IF(COUNTIF($L$2:$L$2201,L1629)&gt;1,1,0)</f>
        <v>0</v>
      </c>
      <c r="N1629" s="6" t="str">
        <f aca="false">IF(AND(C1629&lt;Assumptions!$B$9,B1629&lt;Assumptions!$B$10),"Irrigate Now",IF(AND(C1629&gt;=Assumptions!$B$11,B1629&gt;=Assumptions!$B$12),"No Irrigation Needed","Monitor"))</f>
        <v>No Irrigation Needed</v>
      </c>
      <c r="O1629" s="6" t="n">
        <f aca="false">IF(N1629=G1629,1,0)</f>
        <v>1</v>
      </c>
    </row>
    <row r="1630" customFormat="false" ht="15" hidden="false" customHeight="false" outlineLevel="0" collapsed="false">
      <c r="A1630" s="16" t="n">
        <v>14.34320488</v>
      </c>
      <c r="B1630" s="16" t="n">
        <v>110.2223123</v>
      </c>
      <c r="C1630" s="16" t="n">
        <v>21.1814825151771</v>
      </c>
      <c r="D1630" s="6" t="s">
        <v>66</v>
      </c>
      <c r="E1630" s="6" t="s">
        <v>57</v>
      </c>
      <c r="F1630" s="6" t="s">
        <v>60</v>
      </c>
      <c r="G1630" s="6" t="s">
        <v>61</v>
      </c>
      <c r="H1630" s="6" t="s">
        <v>63</v>
      </c>
      <c r="I1630" s="6" t="str">
        <f aca="false">IF(A1630&lt;Outliers!$E$6,"Low",IF(A1630&gt;Outliers!$F$6,"High",""))</f>
        <v/>
      </c>
      <c r="J1630" s="6" t="str">
        <f aca="false">IF(B1630&lt;Outliers!$E$7,"Low",IF(B1630&gt;Outliers!$F$7,"High",""))</f>
        <v/>
      </c>
      <c r="K1630" s="6" t="str">
        <f aca="false">IF(C1630&lt;Outliers!$E$8,"Low",IF(C1630&gt;Outliers!$F$8,"High",""))</f>
        <v/>
      </c>
      <c r="L1630" s="6" t="str">
        <f aca="false">A1630&amp;";"&amp;B1630&amp;";"&amp;C1630</f>
        <v>14.34320488;110.2223123;21.1814825151771</v>
      </c>
      <c r="M1630" s="6" t="n">
        <f aca="false">IF(COUNTIF($L$2:$L$2201,L1630)&gt;1,1,0)</f>
        <v>0</v>
      </c>
      <c r="N1630" s="6" t="str">
        <f aca="false">IF(AND(C1630&lt;Assumptions!$B$9,B1630&lt;Assumptions!$B$10),"Irrigate Now",IF(AND(C1630&gt;=Assumptions!$B$11,B1630&gt;=Assumptions!$B$12),"No Irrigation Needed","Monitor"))</f>
        <v>Monitor</v>
      </c>
      <c r="O1630" s="6" t="n">
        <f aca="false">IF(N1630=G1630,1,0)</f>
        <v>1</v>
      </c>
    </row>
    <row r="1631" customFormat="false" ht="15" hidden="false" customHeight="false" outlineLevel="0" collapsed="false">
      <c r="A1631" s="16" t="n">
        <v>33.1056981</v>
      </c>
      <c r="B1631" s="16" t="n">
        <v>119.1709113</v>
      </c>
      <c r="C1631" s="16" t="n">
        <v>15.5364843950246</v>
      </c>
      <c r="D1631" s="6" t="s">
        <v>67</v>
      </c>
      <c r="E1631" s="6" t="s">
        <v>57</v>
      </c>
      <c r="F1631" s="6" t="s">
        <v>24</v>
      </c>
      <c r="G1631" s="6" t="s">
        <v>61</v>
      </c>
      <c r="H1631" s="6" t="s">
        <v>68</v>
      </c>
      <c r="I1631" s="6" t="str">
        <f aca="false">IF(A1631&lt;Outliers!$E$6,"Low",IF(A1631&gt;Outliers!$F$6,"High",""))</f>
        <v/>
      </c>
      <c r="J1631" s="6" t="str">
        <f aca="false">IF(B1631&lt;Outliers!$E$7,"Low",IF(B1631&gt;Outliers!$F$7,"High",""))</f>
        <v/>
      </c>
      <c r="K1631" s="6" t="str">
        <f aca="false">IF(C1631&lt;Outliers!$E$8,"Low",IF(C1631&gt;Outliers!$F$8,"High",""))</f>
        <v/>
      </c>
      <c r="L1631" s="6" t="str">
        <f aca="false">A1631&amp;";"&amp;B1631&amp;";"&amp;C1631</f>
        <v>33.1056981;119.1709113;15.5364843950246</v>
      </c>
      <c r="M1631" s="6" t="n">
        <f aca="false">IF(COUNTIF($L$2:$L$2201,L1631)&gt;1,1,0)</f>
        <v>0</v>
      </c>
      <c r="N1631" s="6" t="str">
        <f aca="false">IF(AND(C1631&lt;Assumptions!$B$9,B1631&lt;Assumptions!$B$10),"Irrigate Now",IF(AND(C1631&gt;=Assumptions!$B$11,B1631&gt;=Assumptions!$B$12),"No Irrigation Needed","Monitor"))</f>
        <v>Monitor</v>
      </c>
      <c r="O1631" s="6" t="n">
        <f aca="false">IF(N1631=G1631,1,0)</f>
        <v>1</v>
      </c>
    </row>
    <row r="1632" customFormat="false" ht="15" hidden="false" customHeight="false" outlineLevel="0" collapsed="false">
      <c r="A1632" s="16" t="n">
        <v>30.49183837</v>
      </c>
      <c r="B1632" s="16" t="n">
        <v>113.3302105</v>
      </c>
      <c r="C1632" s="16" t="n">
        <v>15.5401575613447</v>
      </c>
      <c r="D1632" s="6" t="s">
        <v>67</v>
      </c>
      <c r="E1632" s="6" t="s">
        <v>57</v>
      </c>
      <c r="F1632" s="6" t="s">
        <v>24</v>
      </c>
      <c r="G1632" s="6" t="s">
        <v>61</v>
      </c>
      <c r="H1632" s="6" t="s">
        <v>68</v>
      </c>
      <c r="I1632" s="6" t="str">
        <f aca="false">IF(A1632&lt;Outliers!$E$6,"Low",IF(A1632&gt;Outliers!$F$6,"High",""))</f>
        <v/>
      </c>
      <c r="J1632" s="6" t="str">
        <f aca="false">IF(B1632&lt;Outliers!$E$7,"Low",IF(B1632&gt;Outliers!$F$7,"High",""))</f>
        <v/>
      </c>
      <c r="K1632" s="6" t="str">
        <f aca="false">IF(C1632&lt;Outliers!$E$8,"Low",IF(C1632&gt;Outliers!$F$8,"High",""))</f>
        <v/>
      </c>
      <c r="L1632" s="6" t="str">
        <f aca="false">A1632&amp;";"&amp;B1632&amp;";"&amp;C1632</f>
        <v>30.49183837;113.3302105;15.5401575613447</v>
      </c>
      <c r="M1632" s="6" t="n">
        <f aca="false">IF(COUNTIF($L$2:$L$2201,L1632)&gt;1,1,0)</f>
        <v>0</v>
      </c>
      <c r="N1632" s="6" t="str">
        <f aca="false">IF(AND(C1632&lt;Assumptions!$B$9,B1632&lt;Assumptions!$B$10),"Irrigate Now",IF(AND(C1632&gt;=Assumptions!$B$11,B1632&gt;=Assumptions!$B$12),"No Irrigation Needed","Monitor"))</f>
        <v>Monitor</v>
      </c>
      <c r="O1632" s="6" t="n">
        <f aca="false">IF(N1632=G1632,1,0)</f>
        <v>1</v>
      </c>
    </row>
    <row r="1633" customFormat="false" ht="15" hidden="false" customHeight="false" outlineLevel="0" collapsed="false">
      <c r="A1633" s="16" t="n">
        <v>30.25578031</v>
      </c>
      <c r="B1633" s="16" t="n">
        <v>116.7173125</v>
      </c>
      <c r="C1633" s="16" t="n">
        <v>25.1841490813117</v>
      </c>
      <c r="D1633" s="6" t="s">
        <v>67</v>
      </c>
      <c r="E1633" s="6" t="s">
        <v>57</v>
      </c>
      <c r="F1633" s="6" t="s">
        <v>23</v>
      </c>
      <c r="G1633" s="6" t="s">
        <v>58</v>
      </c>
      <c r="H1633" s="6" t="s">
        <v>59</v>
      </c>
      <c r="I1633" s="6" t="str">
        <f aca="false">IF(A1633&lt;Outliers!$E$6,"Low",IF(A1633&gt;Outliers!$F$6,"High",""))</f>
        <v/>
      </c>
      <c r="J1633" s="6" t="str">
        <f aca="false">IF(B1633&lt;Outliers!$E$7,"Low",IF(B1633&gt;Outliers!$F$7,"High",""))</f>
        <v/>
      </c>
      <c r="K1633" s="6" t="str">
        <f aca="false">IF(C1633&lt;Outliers!$E$8,"Low",IF(C1633&gt;Outliers!$F$8,"High",""))</f>
        <v/>
      </c>
      <c r="L1633" s="6" t="str">
        <f aca="false">A1633&amp;";"&amp;B1633&amp;";"&amp;C1633</f>
        <v>30.25578031;116.7173125;25.1841490813117</v>
      </c>
      <c r="M1633" s="6" t="n">
        <f aca="false">IF(COUNTIF($L$2:$L$2201,L1633)&gt;1,1,0)</f>
        <v>0</v>
      </c>
      <c r="N1633" s="6" t="str">
        <f aca="false">IF(AND(C1633&lt;Assumptions!$B$9,B1633&lt;Assumptions!$B$10),"Irrigate Now",IF(AND(C1633&gt;=Assumptions!$B$11,B1633&gt;=Assumptions!$B$12),"No Irrigation Needed","Monitor"))</f>
        <v>No Irrigation Needed</v>
      </c>
      <c r="O1633" s="6" t="n">
        <f aca="false">IF(N1633=G1633,1,0)</f>
        <v>1</v>
      </c>
    </row>
    <row r="1634" customFormat="false" ht="15" hidden="false" customHeight="false" outlineLevel="0" collapsed="false">
      <c r="A1634" s="16" t="n">
        <v>12.22816189</v>
      </c>
      <c r="B1634" s="16" t="n">
        <v>108.4161706</v>
      </c>
      <c r="C1634" s="16" t="n">
        <v>25.0734038190085</v>
      </c>
      <c r="D1634" s="6" t="s">
        <v>66</v>
      </c>
      <c r="E1634" s="6" t="s">
        <v>57</v>
      </c>
      <c r="F1634" s="6" t="s">
        <v>23</v>
      </c>
      <c r="G1634" s="6" t="s">
        <v>58</v>
      </c>
      <c r="H1634" s="6" t="s">
        <v>59</v>
      </c>
      <c r="I1634" s="6" t="str">
        <f aca="false">IF(A1634&lt;Outliers!$E$6,"Low",IF(A1634&gt;Outliers!$F$6,"High",""))</f>
        <v>Low</v>
      </c>
      <c r="J1634" s="6" t="str">
        <f aca="false">IF(B1634&lt;Outliers!$E$7,"Low",IF(B1634&gt;Outliers!$F$7,"High",""))</f>
        <v/>
      </c>
      <c r="K1634" s="6" t="str">
        <f aca="false">IF(C1634&lt;Outliers!$E$8,"Low",IF(C1634&gt;Outliers!$F$8,"High",""))</f>
        <v/>
      </c>
      <c r="L1634" s="6" t="str">
        <f aca="false">A1634&amp;";"&amp;B1634&amp;";"&amp;C1634</f>
        <v>12.22816189;108.4161706;25.0734038190085</v>
      </c>
      <c r="M1634" s="6" t="n">
        <f aca="false">IF(COUNTIF($L$2:$L$2201,L1634)&gt;1,1,0)</f>
        <v>0</v>
      </c>
      <c r="N1634" s="6" t="str">
        <f aca="false">IF(AND(C1634&lt;Assumptions!$B$9,B1634&lt;Assumptions!$B$10),"Irrigate Now",IF(AND(C1634&gt;=Assumptions!$B$11,B1634&gt;=Assumptions!$B$12),"No Irrigation Needed","Monitor"))</f>
        <v>No Irrigation Needed</v>
      </c>
      <c r="O1634" s="6" t="n">
        <f aca="false">IF(N1634=G1634,1,0)</f>
        <v>1</v>
      </c>
    </row>
    <row r="1635" customFormat="false" ht="15" hidden="false" customHeight="false" outlineLevel="0" collapsed="false">
      <c r="A1635" s="16" t="n">
        <v>10.01081312</v>
      </c>
      <c r="B1635" s="16" t="n">
        <v>119.3941064</v>
      </c>
      <c r="C1635" s="16" t="n">
        <v>19.2092260749951</v>
      </c>
      <c r="D1635" s="6" t="s">
        <v>66</v>
      </c>
      <c r="E1635" s="6" t="s">
        <v>57</v>
      </c>
      <c r="F1635" s="6" t="s">
        <v>60</v>
      </c>
      <c r="G1635" s="6" t="s">
        <v>61</v>
      </c>
      <c r="H1635" s="6" t="s">
        <v>63</v>
      </c>
      <c r="I1635" s="6" t="str">
        <f aca="false">IF(A1635&lt;Outliers!$E$6,"Low",IF(A1635&gt;Outliers!$F$6,"High",""))</f>
        <v>Low</v>
      </c>
      <c r="J1635" s="6" t="str">
        <f aca="false">IF(B1635&lt;Outliers!$E$7,"Low",IF(B1635&gt;Outliers!$F$7,"High",""))</f>
        <v/>
      </c>
      <c r="K1635" s="6" t="str">
        <f aca="false">IF(C1635&lt;Outliers!$E$8,"Low",IF(C1635&gt;Outliers!$F$8,"High",""))</f>
        <v/>
      </c>
      <c r="L1635" s="6" t="str">
        <f aca="false">A1635&amp;";"&amp;B1635&amp;";"&amp;C1635</f>
        <v>10.01081312;119.3941064;19.2092260749951</v>
      </c>
      <c r="M1635" s="6" t="n">
        <f aca="false">IF(COUNTIF($L$2:$L$2201,L1635)&gt;1,1,0)</f>
        <v>0</v>
      </c>
      <c r="N1635" s="6" t="str">
        <f aca="false">IF(AND(C1635&lt;Assumptions!$B$9,B1635&lt;Assumptions!$B$10),"Irrigate Now",IF(AND(C1635&gt;=Assumptions!$B$11,B1635&gt;=Assumptions!$B$12),"No Irrigation Needed","Monitor"))</f>
        <v>Monitor</v>
      </c>
      <c r="O1635" s="6" t="n">
        <f aca="false">IF(N1635=G1635,1,0)</f>
        <v>1</v>
      </c>
    </row>
    <row r="1636" customFormat="false" ht="15" hidden="false" customHeight="false" outlineLevel="0" collapsed="false">
      <c r="A1636" s="16" t="n">
        <v>22.79196751</v>
      </c>
      <c r="B1636" s="16" t="n">
        <v>116.5084074</v>
      </c>
      <c r="C1636" s="16" t="n">
        <v>24.5955387307174</v>
      </c>
      <c r="D1636" s="6" t="s">
        <v>57</v>
      </c>
      <c r="E1636" s="6" t="s">
        <v>57</v>
      </c>
      <c r="F1636" s="6" t="s">
        <v>23</v>
      </c>
      <c r="G1636" s="6" t="s">
        <v>61</v>
      </c>
      <c r="H1636" s="6" t="s">
        <v>63</v>
      </c>
      <c r="I1636" s="6" t="str">
        <f aca="false">IF(A1636&lt;Outliers!$E$6,"Low",IF(A1636&gt;Outliers!$F$6,"High",""))</f>
        <v/>
      </c>
      <c r="J1636" s="6" t="str">
        <f aca="false">IF(B1636&lt;Outliers!$E$7,"Low",IF(B1636&gt;Outliers!$F$7,"High",""))</f>
        <v/>
      </c>
      <c r="K1636" s="6" t="str">
        <f aca="false">IF(C1636&lt;Outliers!$E$8,"Low",IF(C1636&gt;Outliers!$F$8,"High",""))</f>
        <v/>
      </c>
      <c r="L1636" s="6" t="str">
        <f aca="false">A1636&amp;";"&amp;B1636&amp;";"&amp;C1636</f>
        <v>22.79196751;116.5084074;24.5955387307174</v>
      </c>
      <c r="M1636" s="6" t="n">
        <f aca="false">IF(COUNTIF($L$2:$L$2201,L1636)&gt;1,1,0)</f>
        <v>0</v>
      </c>
      <c r="N1636" s="6" t="str">
        <f aca="false">IF(AND(C1636&lt;Assumptions!$B$9,B1636&lt;Assumptions!$B$10),"Irrigate Now",IF(AND(C1636&gt;=Assumptions!$B$11,B1636&gt;=Assumptions!$B$12),"No Irrigation Needed","Monitor"))</f>
        <v>Monitor</v>
      </c>
      <c r="O1636" s="6" t="n">
        <f aca="false">IF(N1636=G1636,1,0)</f>
        <v>1</v>
      </c>
    </row>
    <row r="1637" customFormat="false" ht="15" hidden="false" customHeight="false" outlineLevel="0" collapsed="false">
      <c r="A1637" s="16" t="n">
        <v>20.18432263</v>
      </c>
      <c r="B1637" s="16" t="n">
        <v>116.8130969</v>
      </c>
      <c r="C1637" s="16" t="n">
        <v>26.9098816971751</v>
      </c>
      <c r="D1637" s="6" t="s">
        <v>57</v>
      </c>
      <c r="E1637" s="6" t="s">
        <v>57</v>
      </c>
      <c r="F1637" s="6" t="s">
        <v>23</v>
      </c>
      <c r="G1637" s="6" t="s">
        <v>58</v>
      </c>
      <c r="H1637" s="6" t="s">
        <v>59</v>
      </c>
      <c r="I1637" s="6" t="str">
        <f aca="false">IF(A1637&lt;Outliers!$E$6,"Low",IF(A1637&gt;Outliers!$F$6,"High",""))</f>
        <v/>
      </c>
      <c r="J1637" s="6" t="str">
        <f aca="false">IF(B1637&lt;Outliers!$E$7,"Low",IF(B1637&gt;Outliers!$F$7,"High",""))</f>
        <v/>
      </c>
      <c r="K1637" s="6" t="str">
        <f aca="false">IF(C1637&lt;Outliers!$E$8,"Low",IF(C1637&gt;Outliers!$F$8,"High",""))</f>
        <v/>
      </c>
      <c r="L1637" s="6" t="str">
        <f aca="false">A1637&amp;";"&amp;B1637&amp;";"&amp;C1637</f>
        <v>20.18432263;116.8130969;26.9098816971751</v>
      </c>
      <c r="M1637" s="6" t="n">
        <f aca="false">IF(COUNTIF($L$2:$L$2201,L1637)&gt;1,1,0)</f>
        <v>0</v>
      </c>
      <c r="N1637" s="6" t="str">
        <f aca="false">IF(AND(C1637&lt;Assumptions!$B$9,B1637&lt;Assumptions!$B$10),"Irrigate Now",IF(AND(C1637&gt;=Assumptions!$B$11,B1637&gt;=Assumptions!$B$12),"No Irrigation Needed","Monitor"))</f>
        <v>No Irrigation Needed</v>
      </c>
      <c r="O1637" s="6" t="n">
        <f aca="false">IF(N1637=G1637,1,0)</f>
        <v>1</v>
      </c>
    </row>
    <row r="1638" customFormat="false" ht="15" hidden="false" customHeight="false" outlineLevel="0" collapsed="false">
      <c r="A1638" s="16" t="n">
        <v>30.72119881</v>
      </c>
      <c r="B1638" s="16" t="n">
        <v>106.8118019</v>
      </c>
      <c r="C1638" s="16" t="n">
        <v>22.7924421034316</v>
      </c>
      <c r="D1638" s="6" t="s">
        <v>67</v>
      </c>
      <c r="E1638" s="6" t="s">
        <v>57</v>
      </c>
      <c r="F1638" s="6" t="s">
        <v>60</v>
      </c>
      <c r="G1638" s="6" t="s">
        <v>61</v>
      </c>
      <c r="H1638" s="6" t="s">
        <v>63</v>
      </c>
      <c r="I1638" s="6" t="str">
        <f aca="false">IF(A1638&lt;Outliers!$E$6,"Low",IF(A1638&gt;Outliers!$F$6,"High",""))</f>
        <v/>
      </c>
      <c r="J1638" s="6" t="str">
        <f aca="false">IF(B1638&lt;Outliers!$E$7,"Low",IF(B1638&gt;Outliers!$F$7,"High",""))</f>
        <v/>
      </c>
      <c r="K1638" s="6" t="str">
        <f aca="false">IF(C1638&lt;Outliers!$E$8,"Low",IF(C1638&gt;Outliers!$F$8,"High",""))</f>
        <v/>
      </c>
      <c r="L1638" s="6" t="str">
        <f aca="false">A1638&amp;";"&amp;B1638&amp;";"&amp;C1638</f>
        <v>30.72119881;106.8118019;22.7924421034316</v>
      </c>
      <c r="M1638" s="6" t="n">
        <f aca="false">IF(COUNTIF($L$2:$L$2201,L1638)&gt;1,1,0)</f>
        <v>0</v>
      </c>
      <c r="N1638" s="6" t="str">
        <f aca="false">IF(AND(C1638&lt;Assumptions!$B$9,B1638&lt;Assumptions!$B$10),"Irrigate Now",IF(AND(C1638&gt;=Assumptions!$B$11,B1638&gt;=Assumptions!$B$12),"No Irrigation Needed","Monitor"))</f>
        <v>Monitor</v>
      </c>
      <c r="O1638" s="6" t="n">
        <f aca="false">IF(N1638=G1638,1,0)</f>
        <v>1</v>
      </c>
    </row>
    <row r="1639" customFormat="false" ht="15" hidden="false" customHeight="false" outlineLevel="0" collapsed="false">
      <c r="A1639" s="16" t="n">
        <v>24.35590861</v>
      </c>
      <c r="B1639" s="16" t="n">
        <v>119.6946577</v>
      </c>
      <c r="C1639" s="16" t="n">
        <v>28.6983265759429</v>
      </c>
      <c r="D1639" s="6" t="s">
        <v>57</v>
      </c>
      <c r="E1639" s="6" t="s">
        <v>57</v>
      </c>
      <c r="F1639" s="6" t="s">
        <v>23</v>
      </c>
      <c r="G1639" s="6" t="s">
        <v>58</v>
      </c>
      <c r="H1639" s="6" t="s">
        <v>59</v>
      </c>
      <c r="I1639" s="6" t="str">
        <f aca="false">IF(A1639&lt;Outliers!$E$6,"Low",IF(A1639&gt;Outliers!$F$6,"High",""))</f>
        <v/>
      </c>
      <c r="J1639" s="6" t="str">
        <f aca="false">IF(B1639&lt;Outliers!$E$7,"Low",IF(B1639&gt;Outliers!$F$7,"High",""))</f>
        <v/>
      </c>
      <c r="K1639" s="6" t="str">
        <f aca="false">IF(C1639&lt;Outliers!$E$8,"Low",IF(C1639&gt;Outliers!$F$8,"High",""))</f>
        <v/>
      </c>
      <c r="L1639" s="6" t="str">
        <f aca="false">A1639&amp;";"&amp;B1639&amp;";"&amp;C1639</f>
        <v>24.35590861;119.6946577;28.6983265759429</v>
      </c>
      <c r="M1639" s="6" t="n">
        <f aca="false">IF(COUNTIF($L$2:$L$2201,L1639)&gt;1,1,0)</f>
        <v>0</v>
      </c>
      <c r="N1639" s="6" t="str">
        <f aca="false">IF(AND(C1639&lt;Assumptions!$B$9,B1639&lt;Assumptions!$B$10),"Irrigate Now",IF(AND(C1639&gt;=Assumptions!$B$11,B1639&gt;=Assumptions!$B$12),"No Irrigation Needed","Monitor"))</f>
        <v>No Irrigation Needed</v>
      </c>
      <c r="O1639" s="6" t="n">
        <f aca="false">IF(N1639=G1639,1,0)</f>
        <v>1</v>
      </c>
    </row>
    <row r="1640" customFormat="false" ht="15" hidden="false" customHeight="false" outlineLevel="0" collapsed="false">
      <c r="A1640" s="16" t="n">
        <v>21.21306973</v>
      </c>
      <c r="B1640" s="16" t="n">
        <v>112.9834361</v>
      </c>
      <c r="C1640" s="16" t="n">
        <v>29.4173827298708</v>
      </c>
      <c r="D1640" s="6" t="s">
        <v>57</v>
      </c>
      <c r="E1640" s="6" t="s">
        <v>57</v>
      </c>
      <c r="F1640" s="6" t="s">
        <v>23</v>
      </c>
      <c r="G1640" s="6" t="s">
        <v>58</v>
      </c>
      <c r="H1640" s="6" t="s">
        <v>59</v>
      </c>
      <c r="I1640" s="6" t="str">
        <f aca="false">IF(A1640&lt;Outliers!$E$6,"Low",IF(A1640&gt;Outliers!$F$6,"High",""))</f>
        <v/>
      </c>
      <c r="J1640" s="6" t="str">
        <f aca="false">IF(B1640&lt;Outliers!$E$7,"Low",IF(B1640&gt;Outliers!$F$7,"High",""))</f>
        <v/>
      </c>
      <c r="K1640" s="6" t="str">
        <f aca="false">IF(C1640&lt;Outliers!$E$8,"Low",IF(C1640&gt;Outliers!$F$8,"High",""))</f>
        <v/>
      </c>
      <c r="L1640" s="6" t="str">
        <f aca="false">A1640&amp;";"&amp;B1640&amp;";"&amp;C1640</f>
        <v>21.21306973;112.9834361;29.4173827298708</v>
      </c>
      <c r="M1640" s="6" t="n">
        <f aca="false">IF(COUNTIF($L$2:$L$2201,L1640)&gt;1,1,0)</f>
        <v>0</v>
      </c>
      <c r="N1640" s="6" t="str">
        <f aca="false">IF(AND(C1640&lt;Assumptions!$B$9,B1640&lt;Assumptions!$B$10),"Irrigate Now",IF(AND(C1640&gt;=Assumptions!$B$11,B1640&gt;=Assumptions!$B$12),"No Irrigation Needed","Monitor"))</f>
        <v>No Irrigation Needed</v>
      </c>
      <c r="O1640" s="6" t="n">
        <f aca="false">IF(N1640=G1640,1,0)</f>
        <v>1</v>
      </c>
    </row>
    <row r="1641" customFormat="false" ht="15" hidden="false" customHeight="false" outlineLevel="0" collapsed="false">
      <c r="A1641" s="16" t="n">
        <v>10.78689755</v>
      </c>
      <c r="B1641" s="16" t="n">
        <v>117.5293447</v>
      </c>
      <c r="C1641" s="16" t="n">
        <v>19.7247457919366</v>
      </c>
      <c r="D1641" s="6" t="s">
        <v>66</v>
      </c>
      <c r="E1641" s="6" t="s">
        <v>57</v>
      </c>
      <c r="F1641" s="6" t="s">
        <v>60</v>
      </c>
      <c r="G1641" s="6" t="s">
        <v>61</v>
      </c>
      <c r="H1641" s="6" t="s">
        <v>63</v>
      </c>
      <c r="I1641" s="6" t="str">
        <f aca="false">IF(A1641&lt;Outliers!$E$6,"Low",IF(A1641&gt;Outliers!$F$6,"High",""))</f>
        <v>Low</v>
      </c>
      <c r="J1641" s="6" t="str">
        <f aca="false">IF(B1641&lt;Outliers!$E$7,"Low",IF(B1641&gt;Outliers!$F$7,"High",""))</f>
        <v/>
      </c>
      <c r="K1641" s="6" t="str">
        <f aca="false">IF(C1641&lt;Outliers!$E$8,"Low",IF(C1641&gt;Outliers!$F$8,"High",""))</f>
        <v/>
      </c>
      <c r="L1641" s="6" t="str">
        <f aca="false">A1641&amp;";"&amp;B1641&amp;";"&amp;C1641</f>
        <v>10.78689755;117.5293447;19.7247457919366</v>
      </c>
      <c r="M1641" s="6" t="n">
        <f aca="false">IF(COUNTIF($L$2:$L$2201,L1641)&gt;1,1,0)</f>
        <v>0</v>
      </c>
      <c r="N1641" s="6" t="str">
        <f aca="false">IF(AND(C1641&lt;Assumptions!$B$9,B1641&lt;Assumptions!$B$10),"Irrigate Now",IF(AND(C1641&gt;=Assumptions!$B$11,B1641&gt;=Assumptions!$B$12),"No Irrigation Needed","Monitor"))</f>
        <v>Monitor</v>
      </c>
      <c r="O1641" s="6" t="n">
        <f aca="false">IF(N1641=G1641,1,0)</f>
        <v>1</v>
      </c>
    </row>
    <row r="1642" customFormat="false" ht="15" hidden="false" customHeight="false" outlineLevel="0" collapsed="false">
      <c r="A1642" s="16" t="n">
        <v>11.89925671</v>
      </c>
      <c r="B1642" s="16" t="n">
        <v>103.5771468</v>
      </c>
      <c r="C1642" s="16" t="n">
        <v>15.3584532710269</v>
      </c>
      <c r="D1642" s="6" t="s">
        <v>66</v>
      </c>
      <c r="E1642" s="6" t="s">
        <v>57</v>
      </c>
      <c r="F1642" s="6" t="s">
        <v>24</v>
      </c>
      <c r="G1642" s="6" t="s">
        <v>61</v>
      </c>
      <c r="H1642" s="6" t="s">
        <v>63</v>
      </c>
      <c r="I1642" s="6" t="str">
        <f aca="false">IF(A1642&lt;Outliers!$E$6,"Low",IF(A1642&gt;Outliers!$F$6,"High",""))</f>
        <v>Low</v>
      </c>
      <c r="J1642" s="6" t="str">
        <f aca="false">IF(B1642&lt;Outliers!$E$7,"Low",IF(B1642&gt;Outliers!$F$7,"High",""))</f>
        <v/>
      </c>
      <c r="K1642" s="6" t="str">
        <f aca="false">IF(C1642&lt;Outliers!$E$8,"Low",IF(C1642&gt;Outliers!$F$8,"High",""))</f>
        <v/>
      </c>
      <c r="L1642" s="6" t="str">
        <f aca="false">A1642&amp;";"&amp;B1642&amp;";"&amp;C1642</f>
        <v>11.89925671;103.5771468;15.3584532710269</v>
      </c>
      <c r="M1642" s="6" t="n">
        <f aca="false">IF(COUNTIF($L$2:$L$2201,L1642)&gt;1,1,0)</f>
        <v>0</v>
      </c>
      <c r="N1642" s="6" t="str">
        <f aca="false">IF(AND(C1642&lt;Assumptions!$B$9,B1642&lt;Assumptions!$B$10),"Irrigate Now",IF(AND(C1642&gt;=Assumptions!$B$11,B1642&gt;=Assumptions!$B$12),"No Irrigation Needed","Monitor"))</f>
        <v>Monitor</v>
      </c>
      <c r="O1642" s="6" t="n">
        <f aca="false">IF(N1642=G1642,1,0)</f>
        <v>1</v>
      </c>
    </row>
    <row r="1643" customFormat="false" ht="15" hidden="false" customHeight="false" outlineLevel="0" collapsed="false">
      <c r="A1643" s="16" t="n">
        <v>22.56664172</v>
      </c>
      <c r="B1643" s="16" t="n">
        <v>109.8585753</v>
      </c>
      <c r="C1643" s="16" t="n">
        <v>18.2699904900672</v>
      </c>
      <c r="D1643" s="6" t="s">
        <v>57</v>
      </c>
      <c r="E1643" s="6" t="s">
        <v>57</v>
      </c>
      <c r="F1643" s="6" t="s">
        <v>60</v>
      </c>
      <c r="G1643" s="6" t="s">
        <v>61</v>
      </c>
      <c r="H1643" s="6" t="s">
        <v>63</v>
      </c>
      <c r="I1643" s="6" t="str">
        <f aca="false">IF(A1643&lt;Outliers!$E$6,"Low",IF(A1643&gt;Outliers!$F$6,"High",""))</f>
        <v/>
      </c>
      <c r="J1643" s="6" t="str">
        <f aca="false">IF(B1643&lt;Outliers!$E$7,"Low",IF(B1643&gt;Outliers!$F$7,"High",""))</f>
        <v/>
      </c>
      <c r="K1643" s="6" t="str">
        <f aca="false">IF(C1643&lt;Outliers!$E$8,"Low",IF(C1643&gt;Outliers!$F$8,"High",""))</f>
        <v/>
      </c>
      <c r="L1643" s="6" t="str">
        <f aca="false">A1643&amp;";"&amp;B1643&amp;";"&amp;C1643</f>
        <v>22.56664172;109.8585753;18.2699904900672</v>
      </c>
      <c r="M1643" s="6" t="n">
        <f aca="false">IF(COUNTIF($L$2:$L$2201,L1643)&gt;1,1,0)</f>
        <v>0</v>
      </c>
      <c r="N1643" s="6" t="str">
        <f aca="false">IF(AND(C1643&lt;Assumptions!$B$9,B1643&lt;Assumptions!$B$10),"Irrigate Now",IF(AND(C1643&gt;=Assumptions!$B$11,B1643&gt;=Assumptions!$B$12),"No Irrigation Needed","Monitor"))</f>
        <v>Monitor</v>
      </c>
      <c r="O1643" s="6" t="n">
        <f aca="false">IF(N1643=G1643,1,0)</f>
        <v>1</v>
      </c>
    </row>
    <row r="1644" customFormat="false" ht="15" hidden="false" customHeight="false" outlineLevel="0" collapsed="false">
      <c r="A1644" s="16" t="n">
        <v>18.86883219</v>
      </c>
      <c r="B1644" s="16" t="n">
        <v>119.3936976</v>
      </c>
      <c r="C1644" s="16" t="n">
        <v>11.2145161198641</v>
      </c>
      <c r="D1644" s="6" t="s">
        <v>66</v>
      </c>
      <c r="E1644" s="6" t="s">
        <v>57</v>
      </c>
      <c r="F1644" s="6" t="s">
        <v>24</v>
      </c>
      <c r="G1644" s="6" t="s">
        <v>61</v>
      </c>
      <c r="H1644" s="6" t="s">
        <v>63</v>
      </c>
      <c r="I1644" s="6" t="str">
        <f aca="false">IF(A1644&lt;Outliers!$E$6,"Low",IF(A1644&gt;Outliers!$F$6,"High",""))</f>
        <v/>
      </c>
      <c r="J1644" s="6" t="str">
        <f aca="false">IF(B1644&lt;Outliers!$E$7,"Low",IF(B1644&gt;Outliers!$F$7,"High",""))</f>
        <v/>
      </c>
      <c r="K1644" s="6" t="str">
        <f aca="false">IF(C1644&lt;Outliers!$E$8,"Low",IF(C1644&gt;Outliers!$F$8,"High",""))</f>
        <v/>
      </c>
      <c r="L1644" s="6" t="str">
        <f aca="false">A1644&amp;";"&amp;B1644&amp;";"&amp;C1644</f>
        <v>18.86883219;119.3936976;11.2145161198641</v>
      </c>
      <c r="M1644" s="6" t="n">
        <f aca="false">IF(COUNTIF($L$2:$L$2201,L1644)&gt;1,1,0)</f>
        <v>0</v>
      </c>
      <c r="N1644" s="6" t="str">
        <f aca="false">IF(AND(C1644&lt;Assumptions!$B$9,B1644&lt;Assumptions!$B$10),"Irrigate Now",IF(AND(C1644&gt;=Assumptions!$B$11,B1644&gt;=Assumptions!$B$12),"No Irrigation Needed","Monitor"))</f>
        <v>Monitor</v>
      </c>
      <c r="O1644" s="6" t="n">
        <f aca="false">IF(N1644=G1644,1,0)</f>
        <v>1</v>
      </c>
    </row>
    <row r="1645" customFormat="false" ht="15" hidden="false" customHeight="false" outlineLevel="0" collapsed="false">
      <c r="A1645" s="16" t="n">
        <v>17.34083741</v>
      </c>
      <c r="B1645" s="16" t="n">
        <v>112.7194284</v>
      </c>
      <c r="C1645" s="16" t="n">
        <v>15.4444916005187</v>
      </c>
      <c r="D1645" s="6" t="s">
        <v>66</v>
      </c>
      <c r="E1645" s="6" t="s">
        <v>57</v>
      </c>
      <c r="F1645" s="6" t="s">
        <v>24</v>
      </c>
      <c r="G1645" s="6" t="s">
        <v>61</v>
      </c>
      <c r="H1645" s="6" t="s">
        <v>63</v>
      </c>
      <c r="I1645" s="6" t="str">
        <f aca="false">IF(A1645&lt;Outliers!$E$6,"Low",IF(A1645&gt;Outliers!$F$6,"High",""))</f>
        <v/>
      </c>
      <c r="J1645" s="6" t="str">
        <f aca="false">IF(B1645&lt;Outliers!$E$7,"Low",IF(B1645&gt;Outliers!$F$7,"High",""))</f>
        <v/>
      </c>
      <c r="K1645" s="6" t="str">
        <f aca="false">IF(C1645&lt;Outliers!$E$8,"Low",IF(C1645&gt;Outliers!$F$8,"High",""))</f>
        <v/>
      </c>
      <c r="L1645" s="6" t="str">
        <f aca="false">A1645&amp;";"&amp;B1645&amp;";"&amp;C1645</f>
        <v>17.34083741;112.7194284;15.4444916005187</v>
      </c>
      <c r="M1645" s="6" t="n">
        <f aca="false">IF(COUNTIF($L$2:$L$2201,L1645)&gt;1,1,0)</f>
        <v>0</v>
      </c>
      <c r="N1645" s="6" t="str">
        <f aca="false">IF(AND(C1645&lt;Assumptions!$B$9,B1645&lt;Assumptions!$B$10),"Irrigate Now",IF(AND(C1645&gt;=Assumptions!$B$11,B1645&gt;=Assumptions!$B$12),"No Irrigation Needed","Monitor"))</f>
        <v>Monitor</v>
      </c>
      <c r="O1645" s="6" t="n">
        <f aca="false">IF(N1645=G1645,1,0)</f>
        <v>1</v>
      </c>
    </row>
    <row r="1646" customFormat="false" ht="15" hidden="false" customHeight="false" outlineLevel="0" collapsed="false">
      <c r="A1646" s="16" t="n">
        <v>34.90665289</v>
      </c>
      <c r="B1646" s="16" t="n">
        <v>102.1906333</v>
      </c>
      <c r="C1646" s="16" t="n">
        <v>25.4067867736297</v>
      </c>
      <c r="D1646" s="6" t="s">
        <v>67</v>
      </c>
      <c r="E1646" s="6" t="s">
        <v>57</v>
      </c>
      <c r="F1646" s="6" t="s">
        <v>23</v>
      </c>
      <c r="G1646" s="6" t="s">
        <v>58</v>
      </c>
      <c r="H1646" s="6" t="s">
        <v>59</v>
      </c>
      <c r="I1646" s="6" t="str">
        <f aca="false">IF(A1646&lt;Outliers!$E$6,"Low",IF(A1646&gt;Outliers!$F$6,"High",""))</f>
        <v/>
      </c>
      <c r="J1646" s="6" t="str">
        <f aca="false">IF(B1646&lt;Outliers!$E$7,"Low",IF(B1646&gt;Outliers!$F$7,"High",""))</f>
        <v/>
      </c>
      <c r="K1646" s="6" t="str">
        <f aca="false">IF(C1646&lt;Outliers!$E$8,"Low",IF(C1646&gt;Outliers!$F$8,"High",""))</f>
        <v/>
      </c>
      <c r="L1646" s="6" t="str">
        <f aca="false">A1646&amp;";"&amp;B1646&amp;";"&amp;C1646</f>
        <v>34.90665289;102.1906333;25.4067867736297</v>
      </c>
      <c r="M1646" s="6" t="n">
        <f aca="false">IF(COUNTIF($L$2:$L$2201,L1646)&gt;1,1,0)</f>
        <v>0</v>
      </c>
      <c r="N1646" s="6" t="str">
        <f aca="false">IF(AND(C1646&lt;Assumptions!$B$9,B1646&lt;Assumptions!$B$10),"Irrigate Now",IF(AND(C1646&gt;=Assumptions!$B$11,B1646&gt;=Assumptions!$B$12),"No Irrigation Needed","Monitor"))</f>
        <v>No Irrigation Needed</v>
      </c>
      <c r="O1646" s="6" t="n">
        <f aca="false">IF(N1646=G1646,1,0)</f>
        <v>1</v>
      </c>
    </row>
    <row r="1647" customFormat="false" ht="15" hidden="false" customHeight="false" outlineLevel="0" collapsed="false">
      <c r="A1647" s="16" t="n">
        <v>24.53610067</v>
      </c>
      <c r="B1647" s="16" t="n">
        <v>115.9787989</v>
      </c>
      <c r="C1647" s="16" t="n">
        <v>17.067900874513</v>
      </c>
      <c r="D1647" s="6" t="s">
        <v>57</v>
      </c>
      <c r="E1647" s="6" t="s">
        <v>57</v>
      </c>
      <c r="F1647" s="6" t="s">
        <v>60</v>
      </c>
      <c r="G1647" s="6" t="s">
        <v>61</v>
      </c>
      <c r="H1647" s="6" t="s">
        <v>63</v>
      </c>
      <c r="I1647" s="6" t="str">
        <f aca="false">IF(A1647&lt;Outliers!$E$6,"Low",IF(A1647&gt;Outliers!$F$6,"High",""))</f>
        <v/>
      </c>
      <c r="J1647" s="6" t="str">
        <f aca="false">IF(B1647&lt;Outliers!$E$7,"Low",IF(B1647&gt;Outliers!$F$7,"High",""))</f>
        <v/>
      </c>
      <c r="K1647" s="6" t="str">
        <f aca="false">IF(C1647&lt;Outliers!$E$8,"Low",IF(C1647&gt;Outliers!$F$8,"High",""))</f>
        <v/>
      </c>
      <c r="L1647" s="6" t="str">
        <f aca="false">A1647&amp;";"&amp;B1647&amp;";"&amp;C1647</f>
        <v>24.53610067;115.9787989;17.067900874513</v>
      </c>
      <c r="M1647" s="6" t="n">
        <f aca="false">IF(COUNTIF($L$2:$L$2201,L1647)&gt;1,1,0)</f>
        <v>0</v>
      </c>
      <c r="N1647" s="6" t="str">
        <f aca="false">IF(AND(C1647&lt;Assumptions!$B$9,B1647&lt;Assumptions!$B$10),"Irrigate Now",IF(AND(C1647&gt;=Assumptions!$B$11,B1647&gt;=Assumptions!$B$12),"No Irrigation Needed","Monitor"))</f>
        <v>Monitor</v>
      </c>
      <c r="O1647" s="6" t="n">
        <f aca="false">IF(N1647=G1647,1,0)</f>
        <v>1</v>
      </c>
    </row>
    <row r="1648" customFormat="false" ht="15" hidden="false" customHeight="false" outlineLevel="0" collapsed="false">
      <c r="A1648" s="16" t="n">
        <v>13.8377282</v>
      </c>
      <c r="B1648" s="16" t="n">
        <v>107.9873218</v>
      </c>
      <c r="C1648" s="16" t="n">
        <v>16.8764253283091</v>
      </c>
      <c r="D1648" s="6" t="s">
        <v>66</v>
      </c>
      <c r="E1648" s="6" t="s">
        <v>57</v>
      </c>
      <c r="F1648" s="6" t="s">
        <v>60</v>
      </c>
      <c r="G1648" s="6" t="s">
        <v>61</v>
      </c>
      <c r="H1648" s="6" t="s">
        <v>63</v>
      </c>
      <c r="I1648" s="6" t="str">
        <f aca="false">IF(A1648&lt;Outliers!$E$6,"Low",IF(A1648&gt;Outliers!$F$6,"High",""))</f>
        <v>Low</v>
      </c>
      <c r="J1648" s="6" t="str">
        <f aca="false">IF(B1648&lt;Outliers!$E$7,"Low",IF(B1648&gt;Outliers!$F$7,"High",""))</f>
        <v/>
      </c>
      <c r="K1648" s="6" t="str">
        <f aca="false">IF(C1648&lt;Outliers!$E$8,"Low",IF(C1648&gt;Outliers!$F$8,"High",""))</f>
        <v/>
      </c>
      <c r="L1648" s="6" t="str">
        <f aca="false">A1648&amp;";"&amp;B1648&amp;";"&amp;C1648</f>
        <v>13.8377282;107.9873218;16.8764253283091</v>
      </c>
      <c r="M1648" s="6" t="n">
        <f aca="false">IF(COUNTIF($L$2:$L$2201,L1648)&gt;1,1,0)</f>
        <v>0</v>
      </c>
      <c r="N1648" s="6" t="str">
        <f aca="false">IF(AND(C1648&lt;Assumptions!$B$9,B1648&lt;Assumptions!$B$10),"Irrigate Now",IF(AND(C1648&gt;=Assumptions!$B$11,B1648&gt;=Assumptions!$B$12),"No Irrigation Needed","Monitor"))</f>
        <v>Monitor</v>
      </c>
      <c r="O1648" s="6" t="n">
        <f aca="false">IF(N1648=G1648,1,0)</f>
        <v>1</v>
      </c>
    </row>
    <row r="1649" customFormat="false" ht="15" hidden="false" customHeight="false" outlineLevel="0" collapsed="false">
      <c r="A1649" s="16" t="n">
        <v>22.3551049</v>
      </c>
      <c r="B1649" s="16" t="n">
        <v>101.5164589</v>
      </c>
      <c r="C1649" s="16" t="n">
        <v>28.3997720466879</v>
      </c>
      <c r="D1649" s="6" t="s">
        <v>57</v>
      </c>
      <c r="E1649" s="6" t="s">
        <v>57</v>
      </c>
      <c r="F1649" s="6" t="s">
        <v>23</v>
      </c>
      <c r="G1649" s="6" t="s">
        <v>58</v>
      </c>
      <c r="H1649" s="6" t="s">
        <v>59</v>
      </c>
      <c r="I1649" s="6" t="str">
        <f aca="false">IF(A1649&lt;Outliers!$E$6,"Low",IF(A1649&gt;Outliers!$F$6,"High",""))</f>
        <v/>
      </c>
      <c r="J1649" s="6" t="str">
        <f aca="false">IF(B1649&lt;Outliers!$E$7,"Low",IF(B1649&gt;Outliers!$F$7,"High",""))</f>
        <v/>
      </c>
      <c r="K1649" s="6" t="str">
        <f aca="false">IF(C1649&lt;Outliers!$E$8,"Low",IF(C1649&gt;Outliers!$F$8,"High",""))</f>
        <v/>
      </c>
      <c r="L1649" s="6" t="str">
        <f aca="false">A1649&amp;";"&amp;B1649&amp;";"&amp;C1649</f>
        <v>22.3551049;101.5164589;28.3997720466879</v>
      </c>
      <c r="M1649" s="6" t="n">
        <f aca="false">IF(COUNTIF($L$2:$L$2201,L1649)&gt;1,1,0)</f>
        <v>0</v>
      </c>
      <c r="N1649" s="6" t="str">
        <f aca="false">IF(AND(C1649&lt;Assumptions!$B$9,B1649&lt;Assumptions!$B$10),"Irrigate Now",IF(AND(C1649&gt;=Assumptions!$B$11,B1649&gt;=Assumptions!$B$12),"No Irrigation Needed","Monitor"))</f>
        <v>No Irrigation Needed</v>
      </c>
      <c r="O1649" s="6" t="n">
        <f aca="false">IF(N1649=G1649,1,0)</f>
        <v>1</v>
      </c>
    </row>
    <row r="1650" customFormat="false" ht="15" hidden="false" customHeight="false" outlineLevel="0" collapsed="false">
      <c r="A1650" s="16" t="n">
        <v>34.74004942</v>
      </c>
      <c r="B1650" s="16" t="n">
        <v>100.1967854</v>
      </c>
      <c r="C1650" s="16" t="n">
        <v>28.5807239223616</v>
      </c>
      <c r="D1650" s="6" t="s">
        <v>67</v>
      </c>
      <c r="E1650" s="6" t="s">
        <v>57</v>
      </c>
      <c r="F1650" s="6" t="s">
        <v>23</v>
      </c>
      <c r="G1650" s="6" t="s">
        <v>58</v>
      </c>
      <c r="H1650" s="6" t="s">
        <v>59</v>
      </c>
      <c r="I1650" s="6" t="str">
        <f aca="false">IF(A1650&lt;Outliers!$E$6,"Low",IF(A1650&gt;Outliers!$F$6,"High",""))</f>
        <v/>
      </c>
      <c r="J1650" s="6" t="str">
        <f aca="false">IF(B1650&lt;Outliers!$E$7,"Low",IF(B1650&gt;Outliers!$F$7,"High",""))</f>
        <v/>
      </c>
      <c r="K1650" s="6" t="str">
        <f aca="false">IF(C1650&lt;Outliers!$E$8,"Low",IF(C1650&gt;Outliers!$F$8,"High",""))</f>
        <v/>
      </c>
      <c r="L1650" s="6" t="str">
        <f aca="false">A1650&amp;";"&amp;B1650&amp;";"&amp;C1650</f>
        <v>34.74004942;100.1967854;28.5807239223616</v>
      </c>
      <c r="M1650" s="6" t="n">
        <f aca="false">IF(COUNTIF($L$2:$L$2201,L1650)&gt;1,1,0)</f>
        <v>0</v>
      </c>
      <c r="N1650" s="6" t="str">
        <f aca="false">IF(AND(C1650&lt;Assumptions!$B$9,B1650&lt;Assumptions!$B$10),"Irrigate Now",IF(AND(C1650&gt;=Assumptions!$B$11,B1650&gt;=Assumptions!$B$12),"No Irrigation Needed","Monitor"))</f>
        <v>No Irrigation Needed</v>
      </c>
      <c r="O1650" s="6" t="n">
        <f aca="false">IF(N1650=G1650,1,0)</f>
        <v>1</v>
      </c>
    </row>
    <row r="1651" customFormat="false" ht="15" hidden="false" customHeight="false" outlineLevel="0" collapsed="false">
      <c r="A1651" s="16" t="n">
        <v>11.54785707</v>
      </c>
      <c r="B1651" s="16" t="n">
        <v>108.8289171</v>
      </c>
      <c r="C1651" s="16" t="n">
        <v>17.1182736097166</v>
      </c>
      <c r="D1651" s="6" t="s">
        <v>66</v>
      </c>
      <c r="E1651" s="6" t="s">
        <v>57</v>
      </c>
      <c r="F1651" s="6" t="s">
        <v>60</v>
      </c>
      <c r="G1651" s="6" t="s">
        <v>61</v>
      </c>
      <c r="H1651" s="6" t="s">
        <v>63</v>
      </c>
      <c r="I1651" s="6" t="str">
        <f aca="false">IF(A1651&lt;Outliers!$E$6,"Low",IF(A1651&gt;Outliers!$F$6,"High",""))</f>
        <v>Low</v>
      </c>
      <c r="J1651" s="6" t="str">
        <f aca="false">IF(B1651&lt;Outliers!$E$7,"Low",IF(B1651&gt;Outliers!$F$7,"High",""))</f>
        <v/>
      </c>
      <c r="K1651" s="6" t="str">
        <f aca="false">IF(C1651&lt;Outliers!$E$8,"Low",IF(C1651&gt;Outliers!$F$8,"High",""))</f>
        <v/>
      </c>
      <c r="L1651" s="6" t="str">
        <f aca="false">A1651&amp;";"&amp;B1651&amp;";"&amp;C1651</f>
        <v>11.54785707;108.8289171;17.1182736097166</v>
      </c>
      <c r="M1651" s="6" t="n">
        <f aca="false">IF(COUNTIF($L$2:$L$2201,L1651)&gt;1,1,0)</f>
        <v>0</v>
      </c>
      <c r="N1651" s="6" t="str">
        <f aca="false">IF(AND(C1651&lt;Assumptions!$B$9,B1651&lt;Assumptions!$B$10),"Irrigate Now",IF(AND(C1651&gt;=Assumptions!$B$11,B1651&gt;=Assumptions!$B$12),"No Irrigation Needed","Monitor"))</f>
        <v>Monitor</v>
      </c>
      <c r="O1651" s="6" t="n">
        <f aca="false">IF(N1651=G1651,1,0)</f>
        <v>1</v>
      </c>
    </row>
    <row r="1652" customFormat="false" ht="15" hidden="false" customHeight="false" outlineLevel="0" collapsed="false">
      <c r="A1652" s="16" t="n">
        <v>23.13338811</v>
      </c>
      <c r="B1652" s="16" t="n">
        <v>104.4224145</v>
      </c>
      <c r="C1652" s="16" t="n">
        <v>20.8739680731968</v>
      </c>
      <c r="D1652" s="6" t="s">
        <v>57</v>
      </c>
      <c r="E1652" s="6" t="s">
        <v>57</v>
      </c>
      <c r="F1652" s="6" t="s">
        <v>60</v>
      </c>
      <c r="G1652" s="6" t="s">
        <v>61</v>
      </c>
      <c r="H1652" s="6" t="s">
        <v>63</v>
      </c>
      <c r="I1652" s="6" t="str">
        <f aca="false">IF(A1652&lt;Outliers!$E$6,"Low",IF(A1652&gt;Outliers!$F$6,"High",""))</f>
        <v/>
      </c>
      <c r="J1652" s="6" t="str">
        <f aca="false">IF(B1652&lt;Outliers!$E$7,"Low",IF(B1652&gt;Outliers!$F$7,"High",""))</f>
        <v/>
      </c>
      <c r="K1652" s="6" t="str">
        <f aca="false">IF(C1652&lt;Outliers!$E$8,"Low",IF(C1652&gt;Outliers!$F$8,"High",""))</f>
        <v/>
      </c>
      <c r="L1652" s="6" t="str">
        <f aca="false">A1652&amp;";"&amp;B1652&amp;";"&amp;C1652</f>
        <v>23.13338811;104.4224145;20.8739680731968</v>
      </c>
      <c r="M1652" s="6" t="n">
        <f aca="false">IF(COUNTIF($L$2:$L$2201,L1652)&gt;1,1,0)</f>
        <v>0</v>
      </c>
      <c r="N1652" s="6" t="str">
        <f aca="false">IF(AND(C1652&lt;Assumptions!$B$9,B1652&lt;Assumptions!$B$10),"Irrigate Now",IF(AND(C1652&gt;=Assumptions!$B$11,B1652&gt;=Assumptions!$B$12),"No Irrigation Needed","Monitor"))</f>
        <v>Monitor</v>
      </c>
      <c r="O1652" s="6" t="n">
        <f aca="false">IF(N1652=G1652,1,0)</f>
        <v>1</v>
      </c>
    </row>
    <row r="1653" customFormat="false" ht="15" hidden="false" customHeight="false" outlineLevel="0" collapsed="false">
      <c r="A1653" s="16" t="n">
        <v>29.98364695</v>
      </c>
      <c r="B1653" s="16" t="n">
        <v>115.3560318</v>
      </c>
      <c r="C1653" s="16" t="n">
        <v>15.5329480557719</v>
      </c>
      <c r="D1653" s="6" t="s">
        <v>57</v>
      </c>
      <c r="E1653" s="6" t="s">
        <v>57</v>
      </c>
      <c r="F1653" s="6" t="s">
        <v>24</v>
      </c>
      <c r="G1653" s="6" t="s">
        <v>61</v>
      </c>
      <c r="H1653" s="6" t="s">
        <v>63</v>
      </c>
      <c r="I1653" s="6" t="str">
        <f aca="false">IF(A1653&lt;Outliers!$E$6,"Low",IF(A1653&gt;Outliers!$F$6,"High",""))</f>
        <v/>
      </c>
      <c r="J1653" s="6" t="str">
        <f aca="false">IF(B1653&lt;Outliers!$E$7,"Low",IF(B1653&gt;Outliers!$F$7,"High",""))</f>
        <v/>
      </c>
      <c r="K1653" s="6" t="str">
        <f aca="false">IF(C1653&lt;Outliers!$E$8,"Low",IF(C1653&gt;Outliers!$F$8,"High",""))</f>
        <v/>
      </c>
      <c r="L1653" s="6" t="str">
        <f aca="false">A1653&amp;";"&amp;B1653&amp;";"&amp;C1653</f>
        <v>29.98364695;115.3560318;15.5329480557719</v>
      </c>
      <c r="M1653" s="6" t="n">
        <f aca="false">IF(COUNTIF($L$2:$L$2201,L1653)&gt;1,1,0)</f>
        <v>0</v>
      </c>
      <c r="N1653" s="6" t="str">
        <f aca="false">IF(AND(C1653&lt;Assumptions!$B$9,B1653&lt;Assumptions!$B$10),"Irrigate Now",IF(AND(C1653&gt;=Assumptions!$B$11,B1653&gt;=Assumptions!$B$12),"No Irrigation Needed","Monitor"))</f>
        <v>Monitor</v>
      </c>
      <c r="O1653" s="6" t="n">
        <f aca="false">IF(N1653=G1653,1,0)</f>
        <v>1</v>
      </c>
    </row>
    <row r="1654" customFormat="false" ht="15" hidden="false" customHeight="false" outlineLevel="0" collapsed="false">
      <c r="A1654" s="16" t="n">
        <v>20.87947369</v>
      </c>
      <c r="B1654" s="16" t="n">
        <v>102.4550786</v>
      </c>
      <c r="C1654" s="16" t="n">
        <v>16.3981812192782</v>
      </c>
      <c r="D1654" s="6" t="s">
        <v>57</v>
      </c>
      <c r="E1654" s="6" t="s">
        <v>57</v>
      </c>
      <c r="F1654" s="6" t="s">
        <v>24</v>
      </c>
      <c r="G1654" s="6" t="s">
        <v>61</v>
      </c>
      <c r="H1654" s="6" t="s">
        <v>63</v>
      </c>
      <c r="I1654" s="6" t="str">
        <f aca="false">IF(A1654&lt;Outliers!$E$6,"Low",IF(A1654&gt;Outliers!$F$6,"High",""))</f>
        <v/>
      </c>
      <c r="J1654" s="6" t="str">
        <f aca="false">IF(B1654&lt;Outliers!$E$7,"Low",IF(B1654&gt;Outliers!$F$7,"High",""))</f>
        <v/>
      </c>
      <c r="K1654" s="6" t="str">
        <f aca="false">IF(C1654&lt;Outliers!$E$8,"Low",IF(C1654&gt;Outliers!$F$8,"High",""))</f>
        <v/>
      </c>
      <c r="L1654" s="6" t="str">
        <f aca="false">A1654&amp;";"&amp;B1654&amp;";"&amp;C1654</f>
        <v>20.87947369;102.4550786;16.3981812192782</v>
      </c>
      <c r="M1654" s="6" t="n">
        <f aca="false">IF(COUNTIF($L$2:$L$2201,L1654)&gt;1,1,0)</f>
        <v>0</v>
      </c>
      <c r="N1654" s="6" t="str">
        <f aca="false">IF(AND(C1654&lt;Assumptions!$B$9,B1654&lt;Assumptions!$B$10),"Irrigate Now",IF(AND(C1654&gt;=Assumptions!$B$11,B1654&gt;=Assumptions!$B$12),"No Irrigation Needed","Monitor"))</f>
        <v>Monitor</v>
      </c>
      <c r="O1654" s="6" t="n">
        <f aca="false">IF(N1654=G1654,1,0)</f>
        <v>1</v>
      </c>
    </row>
    <row r="1655" customFormat="false" ht="15" hidden="false" customHeight="false" outlineLevel="0" collapsed="false">
      <c r="A1655" s="16" t="n">
        <v>17.24944623</v>
      </c>
      <c r="B1655" s="16" t="n">
        <v>112.5090516</v>
      </c>
      <c r="C1655" s="16" t="n">
        <v>18.8336812539122</v>
      </c>
      <c r="D1655" s="6" t="s">
        <v>66</v>
      </c>
      <c r="E1655" s="6" t="s">
        <v>57</v>
      </c>
      <c r="F1655" s="6" t="s">
        <v>60</v>
      </c>
      <c r="G1655" s="6" t="s">
        <v>61</v>
      </c>
      <c r="H1655" s="6" t="s">
        <v>63</v>
      </c>
      <c r="I1655" s="6" t="str">
        <f aca="false">IF(A1655&lt;Outliers!$E$6,"Low",IF(A1655&gt;Outliers!$F$6,"High",""))</f>
        <v/>
      </c>
      <c r="J1655" s="6" t="str">
        <f aca="false">IF(B1655&lt;Outliers!$E$7,"Low",IF(B1655&gt;Outliers!$F$7,"High",""))</f>
        <v/>
      </c>
      <c r="K1655" s="6" t="str">
        <f aca="false">IF(C1655&lt;Outliers!$E$8,"Low",IF(C1655&gt;Outliers!$F$8,"High",""))</f>
        <v/>
      </c>
      <c r="L1655" s="6" t="str">
        <f aca="false">A1655&amp;";"&amp;B1655&amp;";"&amp;C1655</f>
        <v>17.24944623;112.5090516;18.8336812539122</v>
      </c>
      <c r="M1655" s="6" t="n">
        <f aca="false">IF(COUNTIF($L$2:$L$2201,L1655)&gt;1,1,0)</f>
        <v>0</v>
      </c>
      <c r="N1655" s="6" t="str">
        <f aca="false">IF(AND(C1655&lt;Assumptions!$B$9,B1655&lt;Assumptions!$B$10),"Irrigate Now",IF(AND(C1655&gt;=Assumptions!$B$11,B1655&gt;=Assumptions!$B$12),"No Irrigation Needed","Monitor"))</f>
        <v>Monitor</v>
      </c>
      <c r="O1655" s="6" t="n">
        <f aca="false">IF(N1655=G1655,1,0)</f>
        <v>1</v>
      </c>
    </row>
    <row r="1656" customFormat="false" ht="15" hidden="false" customHeight="false" outlineLevel="0" collapsed="false">
      <c r="A1656" s="16" t="n">
        <v>15.83388699</v>
      </c>
      <c r="B1656" s="16" t="n">
        <v>109.7571416</v>
      </c>
      <c r="C1656" s="16" t="n">
        <v>27.1523226354241</v>
      </c>
      <c r="D1656" s="6" t="s">
        <v>66</v>
      </c>
      <c r="E1656" s="6" t="s">
        <v>57</v>
      </c>
      <c r="F1656" s="6" t="s">
        <v>23</v>
      </c>
      <c r="G1656" s="6" t="s">
        <v>58</v>
      </c>
      <c r="H1656" s="6" t="s">
        <v>59</v>
      </c>
      <c r="I1656" s="6" t="str">
        <f aca="false">IF(A1656&lt;Outliers!$E$6,"Low",IF(A1656&gt;Outliers!$F$6,"High",""))</f>
        <v/>
      </c>
      <c r="J1656" s="6" t="str">
        <f aca="false">IF(B1656&lt;Outliers!$E$7,"Low",IF(B1656&gt;Outliers!$F$7,"High",""))</f>
        <v/>
      </c>
      <c r="K1656" s="6" t="str">
        <f aca="false">IF(C1656&lt;Outliers!$E$8,"Low",IF(C1656&gt;Outliers!$F$8,"High",""))</f>
        <v/>
      </c>
      <c r="L1656" s="6" t="str">
        <f aca="false">A1656&amp;";"&amp;B1656&amp;";"&amp;C1656</f>
        <v>15.83388699;109.7571416;27.1523226354241</v>
      </c>
      <c r="M1656" s="6" t="n">
        <f aca="false">IF(COUNTIF($L$2:$L$2201,L1656)&gt;1,1,0)</f>
        <v>0</v>
      </c>
      <c r="N1656" s="6" t="str">
        <f aca="false">IF(AND(C1656&lt;Assumptions!$B$9,B1656&lt;Assumptions!$B$10),"Irrigate Now",IF(AND(C1656&gt;=Assumptions!$B$11,B1656&gt;=Assumptions!$B$12),"No Irrigation Needed","Monitor"))</f>
        <v>No Irrigation Needed</v>
      </c>
      <c r="O1656" s="6" t="n">
        <f aca="false">IF(N1656=G1656,1,0)</f>
        <v>1</v>
      </c>
    </row>
    <row r="1657" customFormat="false" ht="15" hidden="false" customHeight="false" outlineLevel="0" collapsed="false">
      <c r="A1657" s="16" t="n">
        <v>23.01014302</v>
      </c>
      <c r="B1657" s="16" t="n">
        <v>112.6738296</v>
      </c>
      <c r="C1657" s="16" t="n">
        <v>18.5566433506083</v>
      </c>
      <c r="D1657" s="6" t="s">
        <v>57</v>
      </c>
      <c r="E1657" s="6" t="s">
        <v>57</v>
      </c>
      <c r="F1657" s="6" t="s">
        <v>60</v>
      </c>
      <c r="G1657" s="6" t="s">
        <v>61</v>
      </c>
      <c r="H1657" s="6" t="s">
        <v>63</v>
      </c>
      <c r="I1657" s="6" t="str">
        <f aca="false">IF(A1657&lt;Outliers!$E$6,"Low",IF(A1657&gt;Outliers!$F$6,"High",""))</f>
        <v/>
      </c>
      <c r="J1657" s="6" t="str">
        <f aca="false">IF(B1657&lt;Outliers!$E$7,"Low",IF(B1657&gt;Outliers!$F$7,"High",""))</f>
        <v/>
      </c>
      <c r="K1657" s="6" t="str">
        <f aca="false">IF(C1657&lt;Outliers!$E$8,"Low",IF(C1657&gt;Outliers!$F$8,"High",""))</f>
        <v/>
      </c>
      <c r="L1657" s="6" t="str">
        <f aca="false">A1657&amp;";"&amp;B1657&amp;";"&amp;C1657</f>
        <v>23.01014302;112.6738296;18.5566433506083</v>
      </c>
      <c r="M1657" s="6" t="n">
        <f aca="false">IF(COUNTIF($L$2:$L$2201,L1657)&gt;1,1,0)</f>
        <v>0</v>
      </c>
      <c r="N1657" s="6" t="str">
        <f aca="false">IF(AND(C1657&lt;Assumptions!$B$9,B1657&lt;Assumptions!$B$10),"Irrigate Now",IF(AND(C1657&gt;=Assumptions!$B$11,B1657&gt;=Assumptions!$B$12),"No Irrigation Needed","Monitor"))</f>
        <v>Monitor</v>
      </c>
      <c r="O1657" s="6" t="n">
        <f aca="false">IF(N1657=G1657,1,0)</f>
        <v>1</v>
      </c>
    </row>
    <row r="1658" customFormat="false" ht="15" hidden="false" customHeight="false" outlineLevel="0" collapsed="false">
      <c r="A1658" s="16" t="n">
        <v>16.39624284</v>
      </c>
      <c r="B1658" s="16" t="n">
        <v>102.944161</v>
      </c>
      <c r="C1658" s="16" t="n">
        <v>24.2890820816084</v>
      </c>
      <c r="D1658" s="6" t="s">
        <v>66</v>
      </c>
      <c r="E1658" s="6" t="s">
        <v>57</v>
      </c>
      <c r="F1658" s="6" t="s">
        <v>23</v>
      </c>
      <c r="G1658" s="6" t="s">
        <v>61</v>
      </c>
      <c r="H1658" s="6" t="s">
        <v>63</v>
      </c>
      <c r="I1658" s="6" t="str">
        <f aca="false">IF(A1658&lt;Outliers!$E$6,"Low",IF(A1658&gt;Outliers!$F$6,"High",""))</f>
        <v/>
      </c>
      <c r="J1658" s="6" t="str">
        <f aca="false">IF(B1658&lt;Outliers!$E$7,"Low",IF(B1658&gt;Outliers!$F$7,"High",""))</f>
        <v/>
      </c>
      <c r="K1658" s="6" t="str">
        <f aca="false">IF(C1658&lt;Outliers!$E$8,"Low",IF(C1658&gt;Outliers!$F$8,"High",""))</f>
        <v/>
      </c>
      <c r="L1658" s="6" t="str">
        <f aca="false">A1658&amp;";"&amp;B1658&amp;";"&amp;C1658</f>
        <v>16.39624284;102.944161;24.2890820816084</v>
      </c>
      <c r="M1658" s="6" t="n">
        <f aca="false">IF(COUNTIF($L$2:$L$2201,L1658)&gt;1,1,0)</f>
        <v>0</v>
      </c>
      <c r="N1658" s="6" t="str">
        <f aca="false">IF(AND(C1658&lt;Assumptions!$B$9,B1658&lt;Assumptions!$B$10),"Irrigate Now",IF(AND(C1658&gt;=Assumptions!$B$11,B1658&gt;=Assumptions!$B$12),"No Irrigation Needed","Monitor"))</f>
        <v>Monitor</v>
      </c>
      <c r="O1658" s="6" t="n">
        <f aca="false">IF(N1658=G1658,1,0)</f>
        <v>1</v>
      </c>
    </row>
    <row r="1659" customFormat="false" ht="15" hidden="false" customHeight="false" outlineLevel="0" collapsed="false">
      <c r="A1659" s="16" t="n">
        <v>24.45132792</v>
      </c>
      <c r="B1659" s="16" t="n">
        <v>109.4711098</v>
      </c>
      <c r="C1659" s="16" t="n">
        <v>12.9058696441832</v>
      </c>
      <c r="D1659" s="6" t="s">
        <v>57</v>
      </c>
      <c r="E1659" s="6" t="s">
        <v>57</v>
      </c>
      <c r="F1659" s="6" t="s">
        <v>24</v>
      </c>
      <c r="G1659" s="6" t="s">
        <v>61</v>
      </c>
      <c r="H1659" s="6" t="s">
        <v>63</v>
      </c>
      <c r="I1659" s="6" t="str">
        <f aca="false">IF(A1659&lt;Outliers!$E$6,"Low",IF(A1659&gt;Outliers!$F$6,"High",""))</f>
        <v/>
      </c>
      <c r="J1659" s="6" t="str">
        <f aca="false">IF(B1659&lt;Outliers!$E$7,"Low",IF(B1659&gt;Outliers!$F$7,"High",""))</f>
        <v/>
      </c>
      <c r="K1659" s="6" t="str">
        <f aca="false">IF(C1659&lt;Outliers!$E$8,"Low",IF(C1659&gt;Outliers!$F$8,"High",""))</f>
        <v/>
      </c>
      <c r="L1659" s="6" t="str">
        <f aca="false">A1659&amp;";"&amp;B1659&amp;";"&amp;C1659</f>
        <v>24.45132792;109.4711098;12.9058696441832</v>
      </c>
      <c r="M1659" s="6" t="n">
        <f aca="false">IF(COUNTIF($L$2:$L$2201,L1659)&gt;1,1,0)</f>
        <v>0</v>
      </c>
      <c r="N1659" s="6" t="str">
        <f aca="false">IF(AND(C1659&lt;Assumptions!$B$9,B1659&lt;Assumptions!$B$10),"Irrigate Now",IF(AND(C1659&gt;=Assumptions!$B$11,B1659&gt;=Assumptions!$B$12),"No Irrigation Needed","Monitor"))</f>
        <v>Monitor</v>
      </c>
      <c r="O1659" s="6" t="n">
        <f aca="false">IF(N1659=G1659,1,0)</f>
        <v>1</v>
      </c>
    </row>
    <row r="1660" customFormat="false" ht="15" hidden="false" customHeight="false" outlineLevel="0" collapsed="false">
      <c r="A1660" s="16" t="n">
        <v>31.87859192</v>
      </c>
      <c r="B1660" s="16" t="n">
        <v>105.3437825</v>
      </c>
      <c r="C1660" s="16" t="n">
        <v>20.9508284187466</v>
      </c>
      <c r="D1660" s="6" t="s">
        <v>67</v>
      </c>
      <c r="E1660" s="6" t="s">
        <v>57</v>
      </c>
      <c r="F1660" s="6" t="s">
        <v>60</v>
      </c>
      <c r="G1660" s="6" t="s">
        <v>61</v>
      </c>
      <c r="H1660" s="6" t="s">
        <v>68</v>
      </c>
      <c r="I1660" s="6" t="str">
        <f aca="false">IF(A1660&lt;Outliers!$E$6,"Low",IF(A1660&gt;Outliers!$F$6,"High",""))</f>
        <v/>
      </c>
      <c r="J1660" s="6" t="str">
        <f aca="false">IF(B1660&lt;Outliers!$E$7,"Low",IF(B1660&gt;Outliers!$F$7,"High",""))</f>
        <v/>
      </c>
      <c r="K1660" s="6" t="str">
        <f aca="false">IF(C1660&lt;Outliers!$E$8,"Low",IF(C1660&gt;Outliers!$F$8,"High",""))</f>
        <v/>
      </c>
      <c r="L1660" s="6" t="str">
        <f aca="false">A1660&amp;";"&amp;B1660&amp;";"&amp;C1660</f>
        <v>31.87859192;105.3437825;20.9508284187466</v>
      </c>
      <c r="M1660" s="6" t="n">
        <f aca="false">IF(COUNTIF($L$2:$L$2201,L1660)&gt;1,1,0)</f>
        <v>0</v>
      </c>
      <c r="N1660" s="6" t="str">
        <f aca="false">IF(AND(C1660&lt;Assumptions!$B$9,B1660&lt;Assumptions!$B$10),"Irrigate Now",IF(AND(C1660&gt;=Assumptions!$B$11,B1660&gt;=Assumptions!$B$12),"No Irrigation Needed","Monitor"))</f>
        <v>Monitor</v>
      </c>
      <c r="O1660" s="6" t="n">
        <f aca="false">IF(N1660=G1660,1,0)</f>
        <v>1</v>
      </c>
    </row>
    <row r="1661" customFormat="false" ht="15" hidden="false" customHeight="false" outlineLevel="0" collapsed="false">
      <c r="A1661" s="16" t="n">
        <v>31.34920143</v>
      </c>
      <c r="B1661" s="16" t="n">
        <v>109.1549823</v>
      </c>
      <c r="C1661" s="16" t="n">
        <v>11.417388819275</v>
      </c>
      <c r="D1661" s="6" t="s">
        <v>67</v>
      </c>
      <c r="E1661" s="6" t="s">
        <v>57</v>
      </c>
      <c r="F1661" s="6" t="s">
        <v>24</v>
      </c>
      <c r="G1661" s="6" t="s">
        <v>61</v>
      </c>
      <c r="H1661" s="6" t="s">
        <v>68</v>
      </c>
      <c r="I1661" s="6" t="str">
        <f aca="false">IF(A1661&lt;Outliers!$E$6,"Low",IF(A1661&gt;Outliers!$F$6,"High",""))</f>
        <v/>
      </c>
      <c r="J1661" s="6" t="str">
        <f aca="false">IF(B1661&lt;Outliers!$E$7,"Low",IF(B1661&gt;Outliers!$F$7,"High",""))</f>
        <v/>
      </c>
      <c r="K1661" s="6" t="str">
        <f aca="false">IF(C1661&lt;Outliers!$E$8,"Low",IF(C1661&gt;Outliers!$F$8,"High",""))</f>
        <v/>
      </c>
      <c r="L1661" s="6" t="str">
        <f aca="false">A1661&amp;";"&amp;B1661&amp;";"&amp;C1661</f>
        <v>31.34920143;109.1549823;11.417388819275</v>
      </c>
      <c r="M1661" s="6" t="n">
        <f aca="false">IF(COUNTIF($L$2:$L$2201,L1661)&gt;1,1,0)</f>
        <v>0</v>
      </c>
      <c r="N1661" s="6" t="str">
        <f aca="false">IF(AND(C1661&lt;Assumptions!$B$9,B1661&lt;Assumptions!$B$10),"Irrigate Now",IF(AND(C1661&gt;=Assumptions!$B$11,B1661&gt;=Assumptions!$B$12),"No Irrigation Needed","Monitor"))</f>
        <v>Monitor</v>
      </c>
      <c r="O1661" s="6" t="n">
        <f aca="false">IF(N1661=G1661,1,0)</f>
        <v>1</v>
      </c>
    </row>
    <row r="1662" customFormat="false" ht="15" hidden="false" customHeight="false" outlineLevel="0" collapsed="false">
      <c r="A1662" s="16" t="n">
        <v>18.05142392</v>
      </c>
      <c r="B1662" s="16" t="n">
        <v>111.7793889</v>
      </c>
      <c r="C1662" s="16" t="n">
        <v>11.1709262135489</v>
      </c>
      <c r="D1662" s="6" t="s">
        <v>66</v>
      </c>
      <c r="E1662" s="6" t="s">
        <v>57</v>
      </c>
      <c r="F1662" s="6" t="s">
        <v>24</v>
      </c>
      <c r="G1662" s="6" t="s">
        <v>61</v>
      </c>
      <c r="H1662" s="6" t="s">
        <v>63</v>
      </c>
      <c r="I1662" s="6" t="str">
        <f aca="false">IF(A1662&lt;Outliers!$E$6,"Low",IF(A1662&gt;Outliers!$F$6,"High",""))</f>
        <v/>
      </c>
      <c r="J1662" s="6" t="str">
        <f aca="false">IF(B1662&lt;Outliers!$E$7,"Low",IF(B1662&gt;Outliers!$F$7,"High",""))</f>
        <v/>
      </c>
      <c r="K1662" s="6" t="str">
        <f aca="false">IF(C1662&lt;Outliers!$E$8,"Low",IF(C1662&gt;Outliers!$F$8,"High",""))</f>
        <v/>
      </c>
      <c r="L1662" s="6" t="str">
        <f aca="false">A1662&amp;";"&amp;B1662&amp;";"&amp;C1662</f>
        <v>18.05142392;111.7793889;11.1709262135489</v>
      </c>
      <c r="M1662" s="6" t="n">
        <f aca="false">IF(COUNTIF($L$2:$L$2201,L1662)&gt;1,1,0)</f>
        <v>0</v>
      </c>
      <c r="N1662" s="6" t="str">
        <f aca="false">IF(AND(C1662&lt;Assumptions!$B$9,B1662&lt;Assumptions!$B$10),"Irrigate Now",IF(AND(C1662&gt;=Assumptions!$B$11,B1662&gt;=Assumptions!$B$12),"No Irrigation Needed","Monitor"))</f>
        <v>Monitor</v>
      </c>
      <c r="O1662" s="6" t="n">
        <f aca="false">IF(N1662=G1662,1,0)</f>
        <v>1</v>
      </c>
    </row>
    <row r="1663" customFormat="false" ht="15" hidden="false" customHeight="false" outlineLevel="0" collapsed="false">
      <c r="A1663" s="16" t="n">
        <v>30.84835031</v>
      </c>
      <c r="B1663" s="16" t="n">
        <v>107.4142681</v>
      </c>
      <c r="C1663" s="16" t="n">
        <v>12.7402818031826</v>
      </c>
      <c r="D1663" s="6" t="s">
        <v>67</v>
      </c>
      <c r="E1663" s="6" t="s">
        <v>57</v>
      </c>
      <c r="F1663" s="6" t="s">
        <v>24</v>
      </c>
      <c r="G1663" s="6" t="s">
        <v>61</v>
      </c>
      <c r="H1663" s="6" t="s">
        <v>68</v>
      </c>
      <c r="I1663" s="6" t="str">
        <f aca="false">IF(A1663&lt;Outliers!$E$6,"Low",IF(A1663&gt;Outliers!$F$6,"High",""))</f>
        <v/>
      </c>
      <c r="J1663" s="6" t="str">
        <f aca="false">IF(B1663&lt;Outliers!$E$7,"Low",IF(B1663&gt;Outliers!$F$7,"High",""))</f>
        <v/>
      </c>
      <c r="K1663" s="6" t="str">
        <f aca="false">IF(C1663&lt;Outliers!$E$8,"Low",IF(C1663&gt;Outliers!$F$8,"High",""))</f>
        <v/>
      </c>
      <c r="L1663" s="6" t="str">
        <f aca="false">A1663&amp;";"&amp;B1663&amp;";"&amp;C1663</f>
        <v>30.84835031;107.4142681;12.7402818031826</v>
      </c>
      <c r="M1663" s="6" t="n">
        <f aca="false">IF(COUNTIF($L$2:$L$2201,L1663)&gt;1,1,0)</f>
        <v>0</v>
      </c>
      <c r="N1663" s="6" t="str">
        <f aca="false">IF(AND(C1663&lt;Assumptions!$B$9,B1663&lt;Assumptions!$B$10),"Irrigate Now",IF(AND(C1663&gt;=Assumptions!$B$11,B1663&gt;=Assumptions!$B$12),"No Irrigation Needed","Monitor"))</f>
        <v>Monitor</v>
      </c>
      <c r="O1663" s="6" t="n">
        <f aca="false">IF(N1663=G1663,1,0)</f>
        <v>1</v>
      </c>
    </row>
    <row r="1664" customFormat="false" ht="15" hidden="false" customHeight="false" outlineLevel="0" collapsed="false">
      <c r="A1664" s="16" t="n">
        <v>22.45616931</v>
      </c>
      <c r="B1664" s="16" t="n">
        <v>118.0069295</v>
      </c>
      <c r="C1664" s="16" t="n">
        <v>23.1095762810452</v>
      </c>
      <c r="D1664" s="6" t="s">
        <v>57</v>
      </c>
      <c r="E1664" s="6" t="s">
        <v>57</v>
      </c>
      <c r="F1664" s="6" t="s">
        <v>23</v>
      </c>
      <c r="G1664" s="6" t="s">
        <v>61</v>
      </c>
      <c r="H1664" s="6" t="s">
        <v>63</v>
      </c>
      <c r="I1664" s="6" t="str">
        <f aca="false">IF(A1664&lt;Outliers!$E$6,"Low",IF(A1664&gt;Outliers!$F$6,"High",""))</f>
        <v/>
      </c>
      <c r="J1664" s="6" t="str">
        <f aca="false">IF(B1664&lt;Outliers!$E$7,"Low",IF(B1664&gt;Outliers!$F$7,"High",""))</f>
        <v/>
      </c>
      <c r="K1664" s="6" t="str">
        <f aca="false">IF(C1664&lt;Outliers!$E$8,"Low",IF(C1664&gt;Outliers!$F$8,"High",""))</f>
        <v/>
      </c>
      <c r="L1664" s="6" t="str">
        <f aca="false">A1664&amp;";"&amp;B1664&amp;";"&amp;C1664</f>
        <v>22.45616931;118.0069295;23.1095762810452</v>
      </c>
      <c r="M1664" s="6" t="n">
        <f aca="false">IF(COUNTIF($L$2:$L$2201,L1664)&gt;1,1,0)</f>
        <v>0</v>
      </c>
      <c r="N1664" s="6" t="str">
        <f aca="false">IF(AND(C1664&lt;Assumptions!$B$9,B1664&lt;Assumptions!$B$10),"Irrigate Now",IF(AND(C1664&gt;=Assumptions!$B$11,B1664&gt;=Assumptions!$B$12),"No Irrigation Needed","Monitor"))</f>
        <v>Monitor</v>
      </c>
      <c r="O1664" s="6" t="n">
        <f aca="false">IF(N1664=G1664,1,0)</f>
        <v>1</v>
      </c>
    </row>
    <row r="1665" customFormat="false" ht="15" hidden="false" customHeight="false" outlineLevel="0" collapsed="false">
      <c r="A1665" s="16" t="n">
        <v>13.70319166</v>
      </c>
      <c r="B1665" s="16" t="n">
        <v>106.2944879</v>
      </c>
      <c r="C1665" s="16" t="n">
        <v>20.5480981442551</v>
      </c>
      <c r="D1665" s="6" t="s">
        <v>66</v>
      </c>
      <c r="E1665" s="6" t="s">
        <v>57</v>
      </c>
      <c r="F1665" s="6" t="s">
        <v>60</v>
      </c>
      <c r="G1665" s="6" t="s">
        <v>61</v>
      </c>
      <c r="H1665" s="6" t="s">
        <v>63</v>
      </c>
      <c r="I1665" s="6" t="str">
        <f aca="false">IF(A1665&lt;Outliers!$E$6,"Low",IF(A1665&gt;Outliers!$F$6,"High",""))</f>
        <v>Low</v>
      </c>
      <c r="J1665" s="6" t="str">
        <f aca="false">IF(B1665&lt;Outliers!$E$7,"Low",IF(B1665&gt;Outliers!$F$7,"High",""))</f>
        <v/>
      </c>
      <c r="K1665" s="6" t="str">
        <f aca="false">IF(C1665&lt;Outliers!$E$8,"Low",IF(C1665&gt;Outliers!$F$8,"High",""))</f>
        <v/>
      </c>
      <c r="L1665" s="6" t="str">
        <f aca="false">A1665&amp;";"&amp;B1665&amp;";"&amp;C1665</f>
        <v>13.70319166;106.2944879;20.5480981442551</v>
      </c>
      <c r="M1665" s="6" t="n">
        <f aca="false">IF(COUNTIF($L$2:$L$2201,L1665)&gt;1,1,0)</f>
        <v>0</v>
      </c>
      <c r="N1665" s="6" t="str">
        <f aca="false">IF(AND(C1665&lt;Assumptions!$B$9,B1665&lt;Assumptions!$B$10),"Irrigate Now",IF(AND(C1665&gt;=Assumptions!$B$11,B1665&gt;=Assumptions!$B$12),"No Irrigation Needed","Monitor"))</f>
        <v>Monitor</v>
      </c>
      <c r="O1665" s="6" t="n">
        <f aca="false">IF(N1665=G1665,1,0)</f>
        <v>1</v>
      </c>
    </row>
    <row r="1666" customFormat="false" ht="15" hidden="false" customHeight="false" outlineLevel="0" collapsed="false">
      <c r="A1666" s="16" t="n">
        <v>20.48954522</v>
      </c>
      <c r="B1666" s="16" t="n">
        <v>111.8391951</v>
      </c>
      <c r="C1666" s="16" t="n">
        <v>16.5017039457064</v>
      </c>
      <c r="D1666" s="6" t="s">
        <v>57</v>
      </c>
      <c r="E1666" s="6" t="s">
        <v>57</v>
      </c>
      <c r="F1666" s="6" t="s">
        <v>60</v>
      </c>
      <c r="G1666" s="6" t="s">
        <v>61</v>
      </c>
      <c r="H1666" s="6" t="s">
        <v>63</v>
      </c>
      <c r="I1666" s="6" t="str">
        <f aca="false">IF(A1666&lt;Outliers!$E$6,"Low",IF(A1666&gt;Outliers!$F$6,"High",""))</f>
        <v/>
      </c>
      <c r="J1666" s="6" t="str">
        <f aca="false">IF(B1666&lt;Outliers!$E$7,"Low",IF(B1666&gt;Outliers!$F$7,"High",""))</f>
        <v/>
      </c>
      <c r="K1666" s="6" t="str">
        <f aca="false">IF(C1666&lt;Outliers!$E$8,"Low",IF(C1666&gt;Outliers!$F$8,"High",""))</f>
        <v/>
      </c>
      <c r="L1666" s="6" t="str">
        <f aca="false">A1666&amp;";"&amp;B1666&amp;";"&amp;C1666</f>
        <v>20.48954522;111.8391951;16.5017039457064</v>
      </c>
      <c r="M1666" s="6" t="n">
        <f aca="false">IF(COUNTIF($L$2:$L$2201,L1666)&gt;1,1,0)</f>
        <v>0</v>
      </c>
      <c r="N1666" s="6" t="str">
        <f aca="false">IF(AND(C1666&lt;Assumptions!$B$9,B1666&lt;Assumptions!$B$10),"Irrigate Now",IF(AND(C1666&gt;=Assumptions!$B$11,B1666&gt;=Assumptions!$B$12),"No Irrigation Needed","Monitor"))</f>
        <v>Monitor</v>
      </c>
      <c r="O1666" s="6" t="n">
        <f aca="false">IF(N1666=G1666,1,0)</f>
        <v>1</v>
      </c>
    </row>
    <row r="1667" customFormat="false" ht="15" hidden="false" customHeight="false" outlineLevel="0" collapsed="false">
      <c r="A1667" s="16" t="n">
        <v>13.20844373</v>
      </c>
      <c r="B1667" s="16" t="n">
        <v>106.2696156</v>
      </c>
      <c r="C1667" s="16" t="n">
        <v>22.3928354200142</v>
      </c>
      <c r="D1667" s="6" t="s">
        <v>66</v>
      </c>
      <c r="E1667" s="6" t="s">
        <v>57</v>
      </c>
      <c r="F1667" s="6" t="s">
        <v>60</v>
      </c>
      <c r="G1667" s="6" t="s">
        <v>61</v>
      </c>
      <c r="H1667" s="6" t="s">
        <v>63</v>
      </c>
      <c r="I1667" s="6" t="str">
        <f aca="false">IF(A1667&lt;Outliers!$E$6,"Low",IF(A1667&gt;Outliers!$F$6,"High",""))</f>
        <v>Low</v>
      </c>
      <c r="J1667" s="6" t="str">
        <f aca="false">IF(B1667&lt;Outliers!$E$7,"Low",IF(B1667&gt;Outliers!$F$7,"High",""))</f>
        <v/>
      </c>
      <c r="K1667" s="6" t="str">
        <f aca="false">IF(C1667&lt;Outliers!$E$8,"Low",IF(C1667&gt;Outliers!$F$8,"High",""))</f>
        <v/>
      </c>
      <c r="L1667" s="6" t="str">
        <f aca="false">A1667&amp;";"&amp;B1667&amp;";"&amp;C1667</f>
        <v>13.20844373;106.2696156;22.3928354200142</v>
      </c>
      <c r="M1667" s="6" t="n">
        <f aca="false">IF(COUNTIF($L$2:$L$2201,L1667)&gt;1,1,0)</f>
        <v>0</v>
      </c>
      <c r="N1667" s="6" t="str">
        <f aca="false">IF(AND(C1667&lt;Assumptions!$B$9,B1667&lt;Assumptions!$B$10),"Irrigate Now",IF(AND(C1667&gt;=Assumptions!$B$11,B1667&gt;=Assumptions!$B$12),"No Irrigation Needed","Monitor"))</f>
        <v>Monitor</v>
      </c>
      <c r="O1667" s="6" t="n">
        <f aca="false">IF(N1667=G1667,1,0)</f>
        <v>1</v>
      </c>
    </row>
    <row r="1668" customFormat="false" ht="15" hidden="false" customHeight="false" outlineLevel="0" collapsed="false">
      <c r="A1668" s="16" t="n">
        <v>32.31944397</v>
      </c>
      <c r="B1668" s="16" t="n">
        <v>117.6236473</v>
      </c>
      <c r="C1668" s="16" t="n">
        <v>25.085537537322</v>
      </c>
      <c r="D1668" s="6" t="s">
        <v>67</v>
      </c>
      <c r="E1668" s="6" t="s">
        <v>57</v>
      </c>
      <c r="F1668" s="6" t="s">
        <v>23</v>
      </c>
      <c r="G1668" s="6" t="s">
        <v>58</v>
      </c>
      <c r="H1668" s="6" t="s">
        <v>59</v>
      </c>
      <c r="I1668" s="6" t="str">
        <f aca="false">IF(A1668&lt;Outliers!$E$6,"Low",IF(A1668&gt;Outliers!$F$6,"High",""))</f>
        <v/>
      </c>
      <c r="J1668" s="6" t="str">
        <f aca="false">IF(B1668&lt;Outliers!$E$7,"Low",IF(B1668&gt;Outliers!$F$7,"High",""))</f>
        <v/>
      </c>
      <c r="K1668" s="6" t="str">
        <f aca="false">IF(C1668&lt;Outliers!$E$8,"Low",IF(C1668&gt;Outliers!$F$8,"High",""))</f>
        <v/>
      </c>
      <c r="L1668" s="6" t="str">
        <f aca="false">A1668&amp;";"&amp;B1668&amp;";"&amp;C1668</f>
        <v>32.31944397;117.6236473;25.085537537322</v>
      </c>
      <c r="M1668" s="6" t="n">
        <f aca="false">IF(COUNTIF($L$2:$L$2201,L1668)&gt;1,1,0)</f>
        <v>0</v>
      </c>
      <c r="N1668" s="6" t="str">
        <f aca="false">IF(AND(C1668&lt;Assumptions!$B$9,B1668&lt;Assumptions!$B$10),"Irrigate Now",IF(AND(C1668&gt;=Assumptions!$B$11,B1668&gt;=Assumptions!$B$12),"No Irrigation Needed","Monitor"))</f>
        <v>No Irrigation Needed</v>
      </c>
      <c r="O1668" s="6" t="n">
        <f aca="false">IF(N1668=G1668,1,0)</f>
        <v>1</v>
      </c>
    </row>
    <row r="1669" customFormat="false" ht="15" hidden="false" customHeight="false" outlineLevel="0" collapsed="false">
      <c r="A1669" s="16" t="n">
        <v>20.68185224</v>
      </c>
      <c r="B1669" s="16" t="n">
        <v>109.7513927</v>
      </c>
      <c r="C1669" s="16" t="n">
        <v>22.4450224250051</v>
      </c>
      <c r="D1669" s="6" t="s">
        <v>57</v>
      </c>
      <c r="E1669" s="6" t="s">
        <v>57</v>
      </c>
      <c r="F1669" s="6" t="s">
        <v>60</v>
      </c>
      <c r="G1669" s="6" t="s">
        <v>61</v>
      </c>
      <c r="H1669" s="6" t="s">
        <v>63</v>
      </c>
      <c r="I1669" s="6" t="str">
        <f aca="false">IF(A1669&lt;Outliers!$E$6,"Low",IF(A1669&gt;Outliers!$F$6,"High",""))</f>
        <v/>
      </c>
      <c r="J1669" s="6" t="str">
        <f aca="false">IF(B1669&lt;Outliers!$E$7,"Low",IF(B1669&gt;Outliers!$F$7,"High",""))</f>
        <v/>
      </c>
      <c r="K1669" s="6" t="str">
        <f aca="false">IF(C1669&lt;Outliers!$E$8,"Low",IF(C1669&gt;Outliers!$F$8,"High",""))</f>
        <v/>
      </c>
      <c r="L1669" s="6" t="str">
        <f aca="false">A1669&amp;";"&amp;B1669&amp;";"&amp;C1669</f>
        <v>20.68185224;109.7513927;22.4450224250051</v>
      </c>
      <c r="M1669" s="6" t="n">
        <f aca="false">IF(COUNTIF($L$2:$L$2201,L1669)&gt;1,1,0)</f>
        <v>0</v>
      </c>
      <c r="N1669" s="6" t="str">
        <f aca="false">IF(AND(C1669&lt;Assumptions!$B$9,B1669&lt;Assumptions!$B$10),"Irrigate Now",IF(AND(C1669&gt;=Assumptions!$B$11,B1669&gt;=Assumptions!$B$12),"No Irrigation Needed","Monitor"))</f>
        <v>Monitor</v>
      </c>
      <c r="O1669" s="6" t="n">
        <f aca="false">IF(N1669=G1669,1,0)</f>
        <v>1</v>
      </c>
    </row>
    <row r="1670" customFormat="false" ht="15" hidden="false" customHeight="false" outlineLevel="0" collapsed="false">
      <c r="A1670" s="16" t="n">
        <v>31.52675982</v>
      </c>
      <c r="B1670" s="16" t="n">
        <v>113.1169398</v>
      </c>
      <c r="C1670" s="16" t="n">
        <v>25.4315155996376</v>
      </c>
      <c r="D1670" s="6" t="s">
        <v>67</v>
      </c>
      <c r="E1670" s="6" t="s">
        <v>57</v>
      </c>
      <c r="F1670" s="6" t="s">
        <v>23</v>
      </c>
      <c r="G1670" s="6" t="s">
        <v>58</v>
      </c>
      <c r="H1670" s="6" t="s">
        <v>59</v>
      </c>
      <c r="I1670" s="6" t="str">
        <f aca="false">IF(A1670&lt;Outliers!$E$6,"Low",IF(A1670&gt;Outliers!$F$6,"High",""))</f>
        <v/>
      </c>
      <c r="J1670" s="6" t="str">
        <f aca="false">IF(B1670&lt;Outliers!$E$7,"Low",IF(B1670&gt;Outliers!$F$7,"High",""))</f>
        <v/>
      </c>
      <c r="K1670" s="6" t="str">
        <f aca="false">IF(C1670&lt;Outliers!$E$8,"Low",IF(C1670&gt;Outliers!$F$8,"High",""))</f>
        <v/>
      </c>
      <c r="L1670" s="6" t="str">
        <f aca="false">A1670&amp;";"&amp;B1670&amp;";"&amp;C1670</f>
        <v>31.52675982;113.1169398;25.4315155996376</v>
      </c>
      <c r="M1670" s="6" t="n">
        <f aca="false">IF(COUNTIF($L$2:$L$2201,L1670)&gt;1,1,0)</f>
        <v>0</v>
      </c>
      <c r="N1670" s="6" t="str">
        <f aca="false">IF(AND(C1670&lt;Assumptions!$B$9,B1670&lt;Assumptions!$B$10),"Irrigate Now",IF(AND(C1670&gt;=Assumptions!$B$11,B1670&gt;=Assumptions!$B$12),"No Irrigation Needed","Monitor"))</f>
        <v>No Irrigation Needed</v>
      </c>
      <c r="O1670" s="6" t="n">
        <f aca="false">IF(N1670=G1670,1,0)</f>
        <v>1</v>
      </c>
    </row>
    <row r="1671" customFormat="false" ht="15" hidden="false" customHeight="false" outlineLevel="0" collapsed="false">
      <c r="A1671" s="16" t="n">
        <v>25.35467646</v>
      </c>
      <c r="B1671" s="16" t="n">
        <v>116.7555937</v>
      </c>
      <c r="C1671" s="16" t="n">
        <v>13.451100527528</v>
      </c>
      <c r="D1671" s="6" t="s">
        <v>57</v>
      </c>
      <c r="E1671" s="6" t="s">
        <v>57</v>
      </c>
      <c r="F1671" s="6" t="s">
        <v>24</v>
      </c>
      <c r="G1671" s="6" t="s">
        <v>61</v>
      </c>
      <c r="H1671" s="6" t="s">
        <v>63</v>
      </c>
      <c r="I1671" s="6" t="str">
        <f aca="false">IF(A1671&lt;Outliers!$E$6,"Low",IF(A1671&gt;Outliers!$F$6,"High",""))</f>
        <v/>
      </c>
      <c r="J1671" s="6" t="str">
        <f aca="false">IF(B1671&lt;Outliers!$E$7,"Low",IF(B1671&gt;Outliers!$F$7,"High",""))</f>
        <v/>
      </c>
      <c r="K1671" s="6" t="str">
        <f aca="false">IF(C1671&lt;Outliers!$E$8,"Low",IF(C1671&gt;Outliers!$F$8,"High",""))</f>
        <v/>
      </c>
      <c r="L1671" s="6" t="str">
        <f aca="false">A1671&amp;";"&amp;B1671&amp;";"&amp;C1671</f>
        <v>25.35467646;116.7555937;13.451100527528</v>
      </c>
      <c r="M1671" s="6" t="n">
        <f aca="false">IF(COUNTIF($L$2:$L$2201,L1671)&gt;1,1,0)</f>
        <v>0</v>
      </c>
      <c r="N1671" s="6" t="str">
        <f aca="false">IF(AND(C1671&lt;Assumptions!$B$9,B1671&lt;Assumptions!$B$10),"Irrigate Now",IF(AND(C1671&gt;=Assumptions!$B$11,B1671&gt;=Assumptions!$B$12),"No Irrigation Needed","Monitor"))</f>
        <v>Monitor</v>
      </c>
      <c r="O1671" s="6" t="n">
        <f aca="false">IF(N1671=G1671,1,0)</f>
        <v>1</v>
      </c>
    </row>
    <row r="1672" customFormat="false" ht="15" hidden="false" customHeight="false" outlineLevel="0" collapsed="false">
      <c r="A1672" s="16" t="n">
        <v>17.66545409</v>
      </c>
      <c r="B1672" s="16" t="n">
        <v>110.6857506</v>
      </c>
      <c r="C1672" s="16" t="n">
        <v>24.6327322211728</v>
      </c>
      <c r="D1672" s="6" t="s">
        <v>66</v>
      </c>
      <c r="E1672" s="6" t="s">
        <v>57</v>
      </c>
      <c r="F1672" s="6" t="s">
        <v>23</v>
      </c>
      <c r="G1672" s="6" t="s">
        <v>61</v>
      </c>
      <c r="H1672" s="6" t="s">
        <v>63</v>
      </c>
      <c r="I1672" s="6" t="str">
        <f aca="false">IF(A1672&lt;Outliers!$E$6,"Low",IF(A1672&gt;Outliers!$F$6,"High",""))</f>
        <v/>
      </c>
      <c r="J1672" s="6" t="str">
        <f aca="false">IF(B1672&lt;Outliers!$E$7,"Low",IF(B1672&gt;Outliers!$F$7,"High",""))</f>
        <v/>
      </c>
      <c r="K1672" s="6" t="str">
        <f aca="false">IF(C1672&lt;Outliers!$E$8,"Low",IF(C1672&gt;Outliers!$F$8,"High",""))</f>
        <v/>
      </c>
      <c r="L1672" s="6" t="str">
        <f aca="false">A1672&amp;";"&amp;B1672&amp;";"&amp;C1672</f>
        <v>17.66545409;110.6857506;24.6327322211728</v>
      </c>
      <c r="M1672" s="6" t="n">
        <f aca="false">IF(COUNTIF($L$2:$L$2201,L1672)&gt;1,1,0)</f>
        <v>0</v>
      </c>
      <c r="N1672" s="6" t="str">
        <f aca="false">IF(AND(C1672&lt;Assumptions!$B$9,B1672&lt;Assumptions!$B$10),"Irrigate Now",IF(AND(C1672&gt;=Assumptions!$B$11,B1672&gt;=Assumptions!$B$12),"No Irrigation Needed","Monitor"))</f>
        <v>Monitor</v>
      </c>
      <c r="O1672" s="6" t="n">
        <f aca="false">IF(N1672=G1672,1,0)</f>
        <v>1</v>
      </c>
    </row>
    <row r="1673" customFormat="false" ht="15" hidden="false" customHeight="false" outlineLevel="0" collapsed="false">
      <c r="A1673" s="16" t="n">
        <v>12.59093977</v>
      </c>
      <c r="B1673" s="16" t="n">
        <v>119.3916718</v>
      </c>
      <c r="C1673" s="16" t="n">
        <v>27.1540319347921</v>
      </c>
      <c r="D1673" s="6" t="s">
        <v>66</v>
      </c>
      <c r="E1673" s="6" t="s">
        <v>57</v>
      </c>
      <c r="F1673" s="6" t="s">
        <v>23</v>
      </c>
      <c r="G1673" s="6" t="s">
        <v>58</v>
      </c>
      <c r="H1673" s="6" t="s">
        <v>59</v>
      </c>
      <c r="I1673" s="6" t="str">
        <f aca="false">IF(A1673&lt;Outliers!$E$6,"Low",IF(A1673&gt;Outliers!$F$6,"High",""))</f>
        <v>Low</v>
      </c>
      <c r="J1673" s="6" t="str">
        <f aca="false">IF(B1673&lt;Outliers!$E$7,"Low",IF(B1673&gt;Outliers!$F$7,"High",""))</f>
        <v/>
      </c>
      <c r="K1673" s="6" t="str">
        <f aca="false">IF(C1673&lt;Outliers!$E$8,"Low",IF(C1673&gt;Outliers!$F$8,"High",""))</f>
        <v/>
      </c>
      <c r="L1673" s="6" t="str">
        <f aca="false">A1673&amp;";"&amp;B1673&amp;";"&amp;C1673</f>
        <v>12.59093977;119.3916718;27.1540319347921</v>
      </c>
      <c r="M1673" s="6" t="n">
        <f aca="false">IF(COUNTIF($L$2:$L$2201,L1673)&gt;1,1,0)</f>
        <v>0</v>
      </c>
      <c r="N1673" s="6" t="str">
        <f aca="false">IF(AND(C1673&lt;Assumptions!$B$9,B1673&lt;Assumptions!$B$10),"Irrigate Now",IF(AND(C1673&gt;=Assumptions!$B$11,B1673&gt;=Assumptions!$B$12),"No Irrigation Needed","Monitor"))</f>
        <v>No Irrigation Needed</v>
      </c>
      <c r="O1673" s="6" t="n">
        <f aca="false">IF(N1673=G1673,1,0)</f>
        <v>1</v>
      </c>
    </row>
    <row r="1674" customFormat="false" ht="15" hidden="false" customHeight="false" outlineLevel="0" collapsed="false">
      <c r="A1674" s="16" t="n">
        <v>11.86631922</v>
      </c>
      <c r="B1674" s="16" t="n">
        <v>106.060149</v>
      </c>
      <c r="C1674" s="16" t="n">
        <v>12.6554528069673</v>
      </c>
      <c r="D1674" s="6" t="s">
        <v>66</v>
      </c>
      <c r="E1674" s="6" t="s">
        <v>57</v>
      </c>
      <c r="F1674" s="6" t="s">
        <v>24</v>
      </c>
      <c r="G1674" s="6" t="s">
        <v>61</v>
      </c>
      <c r="H1674" s="6" t="s">
        <v>63</v>
      </c>
      <c r="I1674" s="6" t="str">
        <f aca="false">IF(A1674&lt;Outliers!$E$6,"Low",IF(A1674&gt;Outliers!$F$6,"High",""))</f>
        <v>Low</v>
      </c>
      <c r="J1674" s="6" t="str">
        <f aca="false">IF(B1674&lt;Outliers!$E$7,"Low",IF(B1674&gt;Outliers!$F$7,"High",""))</f>
        <v/>
      </c>
      <c r="K1674" s="6" t="str">
        <f aca="false">IF(C1674&lt;Outliers!$E$8,"Low",IF(C1674&gt;Outliers!$F$8,"High",""))</f>
        <v/>
      </c>
      <c r="L1674" s="6" t="str">
        <f aca="false">A1674&amp;";"&amp;B1674&amp;";"&amp;C1674</f>
        <v>11.86631922;106.060149;12.6554528069673</v>
      </c>
      <c r="M1674" s="6" t="n">
        <f aca="false">IF(COUNTIF($L$2:$L$2201,L1674)&gt;1,1,0)</f>
        <v>0</v>
      </c>
      <c r="N1674" s="6" t="str">
        <f aca="false">IF(AND(C1674&lt;Assumptions!$B$9,B1674&lt;Assumptions!$B$10),"Irrigate Now",IF(AND(C1674&gt;=Assumptions!$B$11,B1674&gt;=Assumptions!$B$12),"No Irrigation Needed","Monitor"))</f>
        <v>Monitor</v>
      </c>
      <c r="O1674" s="6" t="n">
        <f aca="false">IF(N1674=G1674,1,0)</f>
        <v>1</v>
      </c>
    </row>
    <row r="1675" customFormat="false" ht="15" hidden="false" customHeight="false" outlineLevel="0" collapsed="false">
      <c r="A1675" s="16" t="n">
        <v>11.03367937</v>
      </c>
      <c r="B1675" s="16" t="n">
        <v>112.7715925</v>
      </c>
      <c r="C1675" s="16" t="n">
        <v>14.7178224268359</v>
      </c>
      <c r="D1675" s="6" t="s">
        <v>66</v>
      </c>
      <c r="E1675" s="6" t="s">
        <v>57</v>
      </c>
      <c r="F1675" s="6" t="s">
        <v>24</v>
      </c>
      <c r="G1675" s="6" t="s">
        <v>61</v>
      </c>
      <c r="H1675" s="6" t="s">
        <v>63</v>
      </c>
      <c r="I1675" s="6" t="str">
        <f aca="false">IF(A1675&lt;Outliers!$E$6,"Low",IF(A1675&gt;Outliers!$F$6,"High",""))</f>
        <v>Low</v>
      </c>
      <c r="J1675" s="6" t="str">
        <f aca="false">IF(B1675&lt;Outliers!$E$7,"Low",IF(B1675&gt;Outliers!$F$7,"High",""))</f>
        <v/>
      </c>
      <c r="K1675" s="6" t="str">
        <f aca="false">IF(C1675&lt;Outliers!$E$8,"Low",IF(C1675&gt;Outliers!$F$8,"High",""))</f>
        <v/>
      </c>
      <c r="L1675" s="6" t="str">
        <f aca="false">A1675&amp;";"&amp;B1675&amp;";"&amp;C1675</f>
        <v>11.03367937;112.7715925;14.7178224268359</v>
      </c>
      <c r="M1675" s="6" t="n">
        <f aca="false">IF(COUNTIF($L$2:$L$2201,L1675)&gt;1,1,0)</f>
        <v>0</v>
      </c>
      <c r="N1675" s="6" t="str">
        <f aca="false">IF(AND(C1675&lt;Assumptions!$B$9,B1675&lt;Assumptions!$B$10),"Irrigate Now",IF(AND(C1675&gt;=Assumptions!$B$11,B1675&gt;=Assumptions!$B$12),"No Irrigation Needed","Monitor"))</f>
        <v>Monitor</v>
      </c>
      <c r="O1675" s="6" t="n">
        <f aca="false">IF(N1675=G1675,1,0)</f>
        <v>1</v>
      </c>
    </row>
    <row r="1676" customFormat="false" ht="15" hidden="false" customHeight="false" outlineLevel="0" collapsed="false">
      <c r="A1676" s="16" t="n">
        <v>25.2990432</v>
      </c>
      <c r="B1676" s="16" t="n">
        <v>117.9733424</v>
      </c>
      <c r="C1676" s="16" t="n">
        <v>16.209371791333</v>
      </c>
      <c r="D1676" s="6" t="s">
        <v>57</v>
      </c>
      <c r="E1676" s="6" t="s">
        <v>57</v>
      </c>
      <c r="F1676" s="6" t="s">
        <v>60</v>
      </c>
      <c r="G1676" s="6" t="s">
        <v>61</v>
      </c>
      <c r="H1676" s="6" t="s">
        <v>63</v>
      </c>
      <c r="I1676" s="6" t="str">
        <f aca="false">IF(A1676&lt;Outliers!$E$6,"Low",IF(A1676&gt;Outliers!$F$6,"High",""))</f>
        <v/>
      </c>
      <c r="J1676" s="6" t="str">
        <f aca="false">IF(B1676&lt;Outliers!$E$7,"Low",IF(B1676&gt;Outliers!$F$7,"High",""))</f>
        <v/>
      </c>
      <c r="K1676" s="6" t="str">
        <f aca="false">IF(C1676&lt;Outliers!$E$8,"Low",IF(C1676&gt;Outliers!$F$8,"High",""))</f>
        <v/>
      </c>
      <c r="L1676" s="6" t="str">
        <f aca="false">A1676&amp;";"&amp;B1676&amp;";"&amp;C1676</f>
        <v>25.2990432;117.9733424;16.209371791333</v>
      </c>
      <c r="M1676" s="6" t="n">
        <f aca="false">IF(COUNTIF($L$2:$L$2201,L1676)&gt;1,1,0)</f>
        <v>0</v>
      </c>
      <c r="N1676" s="6" t="str">
        <f aca="false">IF(AND(C1676&lt;Assumptions!$B$9,B1676&lt;Assumptions!$B$10),"Irrigate Now",IF(AND(C1676&gt;=Assumptions!$B$11,B1676&gt;=Assumptions!$B$12),"No Irrigation Needed","Monitor"))</f>
        <v>Monitor</v>
      </c>
      <c r="O1676" s="6" t="n">
        <f aca="false">IF(N1676=G1676,1,0)</f>
        <v>1</v>
      </c>
    </row>
    <row r="1677" customFormat="false" ht="15" hidden="false" customHeight="false" outlineLevel="0" collapsed="false">
      <c r="A1677" s="16" t="n">
        <v>32.23797837</v>
      </c>
      <c r="B1677" s="16" t="n">
        <v>104.7052254</v>
      </c>
      <c r="C1677" s="16" t="n">
        <v>22.927818979213</v>
      </c>
      <c r="D1677" s="6" t="s">
        <v>67</v>
      </c>
      <c r="E1677" s="6" t="s">
        <v>57</v>
      </c>
      <c r="F1677" s="6" t="s">
        <v>60</v>
      </c>
      <c r="G1677" s="6" t="s">
        <v>61</v>
      </c>
      <c r="H1677" s="6" t="s">
        <v>63</v>
      </c>
      <c r="I1677" s="6" t="str">
        <f aca="false">IF(A1677&lt;Outliers!$E$6,"Low",IF(A1677&gt;Outliers!$F$6,"High",""))</f>
        <v/>
      </c>
      <c r="J1677" s="6" t="str">
        <f aca="false">IF(B1677&lt;Outliers!$E$7,"Low",IF(B1677&gt;Outliers!$F$7,"High",""))</f>
        <v/>
      </c>
      <c r="K1677" s="6" t="str">
        <f aca="false">IF(C1677&lt;Outliers!$E$8,"Low",IF(C1677&gt;Outliers!$F$8,"High",""))</f>
        <v/>
      </c>
      <c r="L1677" s="6" t="str">
        <f aca="false">A1677&amp;";"&amp;B1677&amp;";"&amp;C1677</f>
        <v>32.23797837;104.7052254;22.927818979213</v>
      </c>
      <c r="M1677" s="6" t="n">
        <f aca="false">IF(COUNTIF($L$2:$L$2201,L1677)&gt;1,1,0)</f>
        <v>0</v>
      </c>
      <c r="N1677" s="6" t="str">
        <f aca="false">IF(AND(C1677&lt;Assumptions!$B$9,B1677&lt;Assumptions!$B$10),"Irrigate Now",IF(AND(C1677&gt;=Assumptions!$B$11,B1677&gt;=Assumptions!$B$12),"No Irrigation Needed","Monitor"))</f>
        <v>Monitor</v>
      </c>
      <c r="O1677" s="6" t="n">
        <f aca="false">IF(N1677=G1677,1,0)</f>
        <v>1</v>
      </c>
    </row>
    <row r="1678" customFormat="false" ht="15" hidden="false" customHeight="false" outlineLevel="0" collapsed="false">
      <c r="A1678" s="16" t="n">
        <v>17.68408797</v>
      </c>
      <c r="B1678" s="16" t="n">
        <v>108.0638166</v>
      </c>
      <c r="C1678" s="16" t="n">
        <v>21.5595794167767</v>
      </c>
      <c r="D1678" s="6" t="s">
        <v>66</v>
      </c>
      <c r="E1678" s="6" t="s">
        <v>57</v>
      </c>
      <c r="F1678" s="6" t="s">
        <v>60</v>
      </c>
      <c r="G1678" s="6" t="s">
        <v>61</v>
      </c>
      <c r="H1678" s="6" t="s">
        <v>63</v>
      </c>
      <c r="I1678" s="6" t="str">
        <f aca="false">IF(A1678&lt;Outliers!$E$6,"Low",IF(A1678&gt;Outliers!$F$6,"High",""))</f>
        <v/>
      </c>
      <c r="J1678" s="6" t="str">
        <f aca="false">IF(B1678&lt;Outliers!$E$7,"Low",IF(B1678&gt;Outliers!$F$7,"High",""))</f>
        <v/>
      </c>
      <c r="K1678" s="6" t="str">
        <f aca="false">IF(C1678&lt;Outliers!$E$8,"Low",IF(C1678&gt;Outliers!$F$8,"High",""))</f>
        <v/>
      </c>
      <c r="L1678" s="6" t="str">
        <f aca="false">A1678&amp;";"&amp;B1678&amp;";"&amp;C1678</f>
        <v>17.68408797;108.0638166;21.5595794167767</v>
      </c>
      <c r="M1678" s="6" t="n">
        <f aca="false">IF(COUNTIF($L$2:$L$2201,L1678)&gt;1,1,0)</f>
        <v>0</v>
      </c>
      <c r="N1678" s="6" t="str">
        <f aca="false">IF(AND(C1678&lt;Assumptions!$B$9,B1678&lt;Assumptions!$B$10),"Irrigate Now",IF(AND(C1678&gt;=Assumptions!$B$11,B1678&gt;=Assumptions!$B$12),"No Irrigation Needed","Monitor"))</f>
        <v>Monitor</v>
      </c>
      <c r="O1678" s="6" t="n">
        <f aca="false">IF(N1678=G1678,1,0)</f>
        <v>1</v>
      </c>
    </row>
    <row r="1679" customFormat="false" ht="15" hidden="false" customHeight="false" outlineLevel="0" collapsed="false">
      <c r="A1679" s="16" t="n">
        <v>10.2708877</v>
      </c>
      <c r="B1679" s="16" t="n">
        <v>106.6955204</v>
      </c>
      <c r="C1679" s="16" t="n">
        <v>25.8873473437674</v>
      </c>
      <c r="D1679" s="6" t="s">
        <v>66</v>
      </c>
      <c r="E1679" s="6" t="s">
        <v>57</v>
      </c>
      <c r="F1679" s="6" t="s">
        <v>23</v>
      </c>
      <c r="G1679" s="6" t="s">
        <v>58</v>
      </c>
      <c r="H1679" s="6" t="s">
        <v>59</v>
      </c>
      <c r="I1679" s="6" t="str">
        <f aca="false">IF(A1679&lt;Outliers!$E$6,"Low",IF(A1679&gt;Outliers!$F$6,"High",""))</f>
        <v>Low</v>
      </c>
      <c r="J1679" s="6" t="str">
        <f aca="false">IF(B1679&lt;Outliers!$E$7,"Low",IF(B1679&gt;Outliers!$F$7,"High",""))</f>
        <v/>
      </c>
      <c r="K1679" s="6" t="str">
        <f aca="false">IF(C1679&lt;Outliers!$E$8,"Low",IF(C1679&gt;Outliers!$F$8,"High",""))</f>
        <v/>
      </c>
      <c r="L1679" s="6" t="str">
        <f aca="false">A1679&amp;";"&amp;B1679&amp;";"&amp;C1679</f>
        <v>10.2708877;106.6955204;25.8873473437674</v>
      </c>
      <c r="M1679" s="6" t="n">
        <f aca="false">IF(COUNTIF($L$2:$L$2201,L1679)&gt;1,1,0)</f>
        <v>0</v>
      </c>
      <c r="N1679" s="6" t="str">
        <f aca="false">IF(AND(C1679&lt;Assumptions!$B$9,B1679&lt;Assumptions!$B$10),"Irrigate Now",IF(AND(C1679&gt;=Assumptions!$B$11,B1679&gt;=Assumptions!$B$12),"No Irrigation Needed","Monitor"))</f>
        <v>No Irrigation Needed</v>
      </c>
      <c r="O1679" s="6" t="n">
        <f aca="false">IF(N1679=G1679,1,0)</f>
        <v>1</v>
      </c>
    </row>
    <row r="1680" customFormat="false" ht="15" hidden="false" customHeight="false" outlineLevel="0" collapsed="false">
      <c r="A1680" s="16" t="n">
        <v>17.22034507</v>
      </c>
      <c r="B1680" s="16" t="n">
        <v>108.0054343</v>
      </c>
      <c r="C1680" s="16" t="n">
        <v>11.8618134287277</v>
      </c>
      <c r="D1680" s="6" t="s">
        <v>66</v>
      </c>
      <c r="E1680" s="6" t="s">
        <v>57</v>
      </c>
      <c r="F1680" s="6" t="s">
        <v>24</v>
      </c>
      <c r="G1680" s="6" t="s">
        <v>61</v>
      </c>
      <c r="H1680" s="6" t="s">
        <v>63</v>
      </c>
      <c r="I1680" s="6" t="str">
        <f aca="false">IF(A1680&lt;Outliers!$E$6,"Low",IF(A1680&gt;Outliers!$F$6,"High",""))</f>
        <v/>
      </c>
      <c r="J1680" s="6" t="str">
        <f aca="false">IF(B1680&lt;Outliers!$E$7,"Low",IF(B1680&gt;Outliers!$F$7,"High",""))</f>
        <v/>
      </c>
      <c r="K1680" s="6" t="str">
        <f aca="false">IF(C1680&lt;Outliers!$E$8,"Low",IF(C1680&gt;Outliers!$F$8,"High",""))</f>
        <v/>
      </c>
      <c r="L1680" s="6" t="str">
        <f aca="false">A1680&amp;";"&amp;B1680&amp;";"&amp;C1680</f>
        <v>17.22034507;108.0054343;11.8618134287277</v>
      </c>
      <c r="M1680" s="6" t="n">
        <f aca="false">IF(COUNTIF($L$2:$L$2201,L1680)&gt;1,1,0)</f>
        <v>0</v>
      </c>
      <c r="N1680" s="6" t="str">
        <f aca="false">IF(AND(C1680&lt;Assumptions!$B$9,B1680&lt;Assumptions!$B$10),"Irrigate Now",IF(AND(C1680&gt;=Assumptions!$B$11,B1680&gt;=Assumptions!$B$12),"No Irrigation Needed","Monitor"))</f>
        <v>Monitor</v>
      </c>
      <c r="O1680" s="6" t="n">
        <f aca="false">IF(N1680=G1680,1,0)</f>
        <v>1</v>
      </c>
    </row>
    <row r="1681" customFormat="false" ht="15" hidden="false" customHeight="false" outlineLevel="0" collapsed="false">
      <c r="A1681" s="16" t="n">
        <v>19.667056</v>
      </c>
      <c r="B1681" s="16" t="n">
        <v>100.1737964</v>
      </c>
      <c r="C1681" s="16" t="n">
        <v>10.3559365377801</v>
      </c>
      <c r="D1681" s="6" t="s">
        <v>66</v>
      </c>
      <c r="E1681" s="6" t="s">
        <v>57</v>
      </c>
      <c r="F1681" s="6" t="s">
        <v>24</v>
      </c>
      <c r="G1681" s="6" t="s">
        <v>61</v>
      </c>
      <c r="H1681" s="6" t="s">
        <v>63</v>
      </c>
      <c r="I1681" s="6" t="str">
        <f aca="false">IF(A1681&lt;Outliers!$E$6,"Low",IF(A1681&gt;Outliers!$F$6,"High",""))</f>
        <v/>
      </c>
      <c r="J1681" s="6" t="str">
        <f aca="false">IF(B1681&lt;Outliers!$E$7,"Low",IF(B1681&gt;Outliers!$F$7,"High",""))</f>
        <v/>
      </c>
      <c r="K1681" s="6" t="str">
        <f aca="false">IF(C1681&lt;Outliers!$E$8,"Low",IF(C1681&gt;Outliers!$F$8,"High",""))</f>
        <v/>
      </c>
      <c r="L1681" s="6" t="str">
        <f aca="false">A1681&amp;";"&amp;B1681&amp;";"&amp;C1681</f>
        <v>19.667056;100.1737964;10.3559365377801</v>
      </c>
      <c r="M1681" s="6" t="n">
        <f aca="false">IF(COUNTIF($L$2:$L$2201,L1681)&gt;1,1,0)</f>
        <v>0</v>
      </c>
      <c r="N1681" s="6" t="str">
        <f aca="false">IF(AND(C1681&lt;Assumptions!$B$9,B1681&lt;Assumptions!$B$10),"Irrigate Now",IF(AND(C1681&gt;=Assumptions!$B$11,B1681&gt;=Assumptions!$B$12),"No Irrigation Needed","Monitor"))</f>
        <v>Monitor</v>
      </c>
      <c r="O1681" s="6" t="n">
        <f aca="false">IF(N1681=G1681,1,0)</f>
        <v>1</v>
      </c>
    </row>
    <row r="1682" customFormat="false" ht="15" hidden="false" customHeight="false" outlineLevel="0" collapsed="false">
      <c r="A1682" s="16" t="n">
        <v>10.35609594</v>
      </c>
      <c r="B1682" s="16" t="n">
        <v>101.1456947</v>
      </c>
      <c r="C1682" s="16" t="n">
        <v>23.6143640366936</v>
      </c>
      <c r="D1682" s="6" t="s">
        <v>66</v>
      </c>
      <c r="E1682" s="6" t="s">
        <v>57</v>
      </c>
      <c r="F1682" s="6" t="s">
        <v>23</v>
      </c>
      <c r="G1682" s="6" t="s">
        <v>61</v>
      </c>
      <c r="H1682" s="6" t="s">
        <v>63</v>
      </c>
      <c r="I1682" s="6" t="str">
        <f aca="false">IF(A1682&lt;Outliers!$E$6,"Low",IF(A1682&gt;Outliers!$F$6,"High",""))</f>
        <v>Low</v>
      </c>
      <c r="J1682" s="6" t="str">
        <f aca="false">IF(B1682&lt;Outliers!$E$7,"Low",IF(B1682&gt;Outliers!$F$7,"High",""))</f>
        <v/>
      </c>
      <c r="K1682" s="6" t="str">
        <f aca="false">IF(C1682&lt;Outliers!$E$8,"Low",IF(C1682&gt;Outliers!$F$8,"High",""))</f>
        <v/>
      </c>
      <c r="L1682" s="6" t="str">
        <f aca="false">A1682&amp;";"&amp;B1682&amp;";"&amp;C1682</f>
        <v>10.35609594;101.1456947;23.6143640366936</v>
      </c>
      <c r="M1682" s="6" t="n">
        <f aca="false">IF(COUNTIF($L$2:$L$2201,L1682)&gt;1,1,0)</f>
        <v>0</v>
      </c>
      <c r="N1682" s="6" t="str">
        <f aca="false">IF(AND(C1682&lt;Assumptions!$B$9,B1682&lt;Assumptions!$B$10),"Irrigate Now",IF(AND(C1682&gt;=Assumptions!$B$11,B1682&gt;=Assumptions!$B$12),"No Irrigation Needed","Monitor"))</f>
        <v>Monitor</v>
      </c>
      <c r="O1682" s="6" t="n">
        <f aca="false">IF(N1682=G1682,1,0)</f>
        <v>1</v>
      </c>
    </row>
    <row r="1683" customFormat="false" ht="15" hidden="false" customHeight="false" outlineLevel="0" collapsed="false">
      <c r="A1683" s="16" t="n">
        <v>27.255435</v>
      </c>
      <c r="B1683" s="16" t="n">
        <v>101.139435</v>
      </c>
      <c r="C1683" s="16" t="n">
        <v>16.4287779227061</v>
      </c>
      <c r="D1683" s="6" t="s">
        <v>57</v>
      </c>
      <c r="E1683" s="6" t="s">
        <v>57</v>
      </c>
      <c r="F1683" s="6" t="s">
        <v>24</v>
      </c>
      <c r="G1683" s="6" t="s">
        <v>61</v>
      </c>
      <c r="H1683" s="6" t="s">
        <v>63</v>
      </c>
      <c r="I1683" s="6" t="str">
        <f aca="false">IF(A1683&lt;Outliers!$E$6,"Low",IF(A1683&gt;Outliers!$F$6,"High",""))</f>
        <v/>
      </c>
      <c r="J1683" s="6" t="str">
        <f aca="false">IF(B1683&lt;Outliers!$E$7,"Low",IF(B1683&gt;Outliers!$F$7,"High",""))</f>
        <v/>
      </c>
      <c r="K1683" s="6" t="str">
        <f aca="false">IF(C1683&lt;Outliers!$E$8,"Low",IF(C1683&gt;Outliers!$F$8,"High",""))</f>
        <v/>
      </c>
      <c r="L1683" s="6" t="str">
        <f aca="false">A1683&amp;";"&amp;B1683&amp;";"&amp;C1683</f>
        <v>27.255435;101.139435;16.4287779227061</v>
      </c>
      <c r="M1683" s="6" t="n">
        <f aca="false">IF(COUNTIF($L$2:$L$2201,L1683)&gt;1,1,0)</f>
        <v>0</v>
      </c>
      <c r="N1683" s="6" t="str">
        <f aca="false">IF(AND(C1683&lt;Assumptions!$B$9,B1683&lt;Assumptions!$B$10),"Irrigate Now",IF(AND(C1683&gt;=Assumptions!$B$11,B1683&gt;=Assumptions!$B$12),"No Irrigation Needed","Monitor"))</f>
        <v>Monitor</v>
      </c>
      <c r="O1683" s="6" t="n">
        <f aca="false">IF(N1683=G1683,1,0)</f>
        <v>1</v>
      </c>
    </row>
    <row r="1684" customFormat="false" ht="15" hidden="false" customHeight="false" outlineLevel="0" collapsed="false">
      <c r="A1684" s="16" t="n">
        <v>34.5917846</v>
      </c>
      <c r="B1684" s="16" t="n">
        <v>115.5650287</v>
      </c>
      <c r="C1684" s="16" t="n">
        <v>24.7402049263859</v>
      </c>
      <c r="D1684" s="6" t="s">
        <v>67</v>
      </c>
      <c r="E1684" s="6" t="s">
        <v>57</v>
      </c>
      <c r="F1684" s="6" t="s">
        <v>23</v>
      </c>
      <c r="G1684" s="6" t="s">
        <v>61</v>
      </c>
      <c r="H1684" s="6" t="s">
        <v>63</v>
      </c>
      <c r="I1684" s="6" t="str">
        <f aca="false">IF(A1684&lt;Outliers!$E$6,"Low",IF(A1684&gt;Outliers!$F$6,"High",""))</f>
        <v/>
      </c>
      <c r="J1684" s="6" t="str">
        <f aca="false">IF(B1684&lt;Outliers!$E$7,"Low",IF(B1684&gt;Outliers!$F$7,"High",""))</f>
        <v/>
      </c>
      <c r="K1684" s="6" t="str">
        <f aca="false">IF(C1684&lt;Outliers!$E$8,"Low",IF(C1684&gt;Outliers!$F$8,"High",""))</f>
        <v/>
      </c>
      <c r="L1684" s="6" t="str">
        <f aca="false">A1684&amp;";"&amp;B1684&amp;";"&amp;C1684</f>
        <v>34.5917846;115.5650287;24.7402049263859</v>
      </c>
      <c r="M1684" s="6" t="n">
        <f aca="false">IF(COUNTIF($L$2:$L$2201,L1684)&gt;1,1,0)</f>
        <v>0</v>
      </c>
      <c r="N1684" s="6" t="str">
        <f aca="false">IF(AND(C1684&lt;Assumptions!$B$9,B1684&lt;Assumptions!$B$10),"Irrigate Now",IF(AND(C1684&gt;=Assumptions!$B$11,B1684&gt;=Assumptions!$B$12),"No Irrigation Needed","Monitor"))</f>
        <v>Monitor</v>
      </c>
      <c r="O1684" s="6" t="n">
        <f aca="false">IF(N1684=G1684,1,0)</f>
        <v>1</v>
      </c>
    </row>
    <row r="1685" customFormat="false" ht="15" hidden="false" customHeight="false" outlineLevel="0" collapsed="false">
      <c r="A1685" s="16" t="n">
        <v>32.39523995</v>
      </c>
      <c r="B1685" s="16" t="n">
        <v>113.25373</v>
      </c>
      <c r="C1685" s="16" t="n">
        <v>21.525716715644</v>
      </c>
      <c r="D1685" s="6" t="s">
        <v>67</v>
      </c>
      <c r="E1685" s="6" t="s">
        <v>57</v>
      </c>
      <c r="F1685" s="6" t="s">
        <v>60</v>
      </c>
      <c r="G1685" s="6" t="s">
        <v>61</v>
      </c>
      <c r="H1685" s="6" t="s">
        <v>68</v>
      </c>
      <c r="I1685" s="6" t="str">
        <f aca="false">IF(A1685&lt;Outliers!$E$6,"Low",IF(A1685&gt;Outliers!$F$6,"High",""))</f>
        <v/>
      </c>
      <c r="J1685" s="6" t="str">
        <f aca="false">IF(B1685&lt;Outliers!$E$7,"Low",IF(B1685&gt;Outliers!$F$7,"High",""))</f>
        <v/>
      </c>
      <c r="K1685" s="6" t="str">
        <f aca="false">IF(C1685&lt;Outliers!$E$8,"Low",IF(C1685&gt;Outliers!$F$8,"High",""))</f>
        <v/>
      </c>
      <c r="L1685" s="6" t="str">
        <f aca="false">A1685&amp;";"&amp;B1685&amp;";"&amp;C1685</f>
        <v>32.39523995;113.25373;21.525716715644</v>
      </c>
      <c r="M1685" s="6" t="n">
        <f aca="false">IF(COUNTIF($L$2:$L$2201,L1685)&gt;1,1,0)</f>
        <v>0</v>
      </c>
      <c r="N1685" s="6" t="str">
        <f aca="false">IF(AND(C1685&lt;Assumptions!$B$9,B1685&lt;Assumptions!$B$10),"Irrigate Now",IF(AND(C1685&gt;=Assumptions!$B$11,B1685&gt;=Assumptions!$B$12),"No Irrigation Needed","Monitor"))</f>
        <v>Monitor</v>
      </c>
      <c r="O1685" s="6" t="n">
        <f aca="false">IF(N1685=G1685,1,0)</f>
        <v>1</v>
      </c>
    </row>
    <row r="1686" customFormat="false" ht="15" hidden="false" customHeight="false" outlineLevel="0" collapsed="false">
      <c r="A1686" s="16" t="n">
        <v>10.16431299</v>
      </c>
      <c r="B1686" s="16" t="n">
        <v>106.362551</v>
      </c>
      <c r="C1686" s="16" t="n">
        <v>20.6319267094906</v>
      </c>
      <c r="D1686" s="6" t="s">
        <v>66</v>
      </c>
      <c r="E1686" s="6" t="s">
        <v>57</v>
      </c>
      <c r="F1686" s="6" t="s">
        <v>60</v>
      </c>
      <c r="G1686" s="6" t="s">
        <v>61</v>
      </c>
      <c r="H1686" s="6" t="s">
        <v>63</v>
      </c>
      <c r="I1686" s="6" t="str">
        <f aca="false">IF(A1686&lt;Outliers!$E$6,"Low",IF(A1686&gt;Outliers!$F$6,"High",""))</f>
        <v>Low</v>
      </c>
      <c r="J1686" s="6" t="str">
        <f aca="false">IF(B1686&lt;Outliers!$E$7,"Low",IF(B1686&gt;Outliers!$F$7,"High",""))</f>
        <v/>
      </c>
      <c r="K1686" s="6" t="str">
        <f aca="false">IF(C1686&lt;Outliers!$E$8,"Low",IF(C1686&gt;Outliers!$F$8,"High",""))</f>
        <v/>
      </c>
      <c r="L1686" s="6" t="str">
        <f aca="false">A1686&amp;";"&amp;B1686&amp;";"&amp;C1686</f>
        <v>10.16431299;106.362551;20.6319267094906</v>
      </c>
      <c r="M1686" s="6" t="n">
        <f aca="false">IF(COUNTIF($L$2:$L$2201,L1686)&gt;1,1,0)</f>
        <v>0</v>
      </c>
      <c r="N1686" s="6" t="str">
        <f aca="false">IF(AND(C1686&lt;Assumptions!$B$9,B1686&lt;Assumptions!$B$10),"Irrigate Now",IF(AND(C1686&gt;=Assumptions!$B$11,B1686&gt;=Assumptions!$B$12),"No Irrigation Needed","Monitor"))</f>
        <v>Monitor</v>
      </c>
      <c r="O1686" s="6" t="n">
        <f aca="false">IF(N1686=G1686,1,0)</f>
        <v>1</v>
      </c>
    </row>
    <row r="1687" customFormat="false" ht="15" hidden="false" customHeight="false" outlineLevel="0" collapsed="false">
      <c r="A1687" s="16" t="n">
        <v>21.49118657</v>
      </c>
      <c r="B1687" s="16" t="n">
        <v>101.4819888</v>
      </c>
      <c r="C1687" s="16" t="n">
        <v>25.3162375375973</v>
      </c>
      <c r="D1687" s="6" t="s">
        <v>57</v>
      </c>
      <c r="E1687" s="6" t="s">
        <v>57</v>
      </c>
      <c r="F1687" s="6" t="s">
        <v>23</v>
      </c>
      <c r="G1687" s="6" t="s">
        <v>58</v>
      </c>
      <c r="H1687" s="6" t="s">
        <v>59</v>
      </c>
      <c r="I1687" s="6" t="str">
        <f aca="false">IF(A1687&lt;Outliers!$E$6,"Low",IF(A1687&gt;Outliers!$F$6,"High",""))</f>
        <v/>
      </c>
      <c r="J1687" s="6" t="str">
        <f aca="false">IF(B1687&lt;Outliers!$E$7,"Low",IF(B1687&gt;Outliers!$F$7,"High",""))</f>
        <v/>
      </c>
      <c r="K1687" s="6" t="str">
        <f aca="false">IF(C1687&lt;Outliers!$E$8,"Low",IF(C1687&gt;Outliers!$F$8,"High",""))</f>
        <v/>
      </c>
      <c r="L1687" s="6" t="str">
        <f aca="false">A1687&amp;";"&amp;B1687&amp;";"&amp;C1687</f>
        <v>21.49118657;101.4819888;25.3162375375973</v>
      </c>
      <c r="M1687" s="6" t="n">
        <f aca="false">IF(COUNTIF($L$2:$L$2201,L1687)&gt;1,1,0)</f>
        <v>0</v>
      </c>
      <c r="N1687" s="6" t="str">
        <f aca="false">IF(AND(C1687&lt;Assumptions!$B$9,B1687&lt;Assumptions!$B$10),"Irrigate Now",IF(AND(C1687&gt;=Assumptions!$B$11,B1687&gt;=Assumptions!$B$12),"No Irrigation Needed","Monitor"))</f>
        <v>No Irrigation Needed</v>
      </c>
      <c r="O1687" s="6" t="n">
        <f aca="false">IF(N1687=G1687,1,0)</f>
        <v>1</v>
      </c>
    </row>
    <row r="1688" customFormat="false" ht="15" hidden="false" customHeight="false" outlineLevel="0" collapsed="false">
      <c r="A1688" s="16" t="n">
        <v>16.53460397</v>
      </c>
      <c r="B1688" s="16" t="n">
        <v>110.0447896</v>
      </c>
      <c r="C1688" s="16" t="n">
        <v>28.5833401861507</v>
      </c>
      <c r="D1688" s="6" t="s">
        <v>66</v>
      </c>
      <c r="E1688" s="6" t="s">
        <v>57</v>
      </c>
      <c r="F1688" s="6" t="s">
        <v>23</v>
      </c>
      <c r="G1688" s="6" t="s">
        <v>58</v>
      </c>
      <c r="H1688" s="6" t="s">
        <v>59</v>
      </c>
      <c r="I1688" s="6" t="str">
        <f aca="false">IF(A1688&lt;Outliers!$E$6,"Low",IF(A1688&gt;Outliers!$F$6,"High",""))</f>
        <v/>
      </c>
      <c r="J1688" s="6" t="str">
        <f aca="false">IF(B1688&lt;Outliers!$E$7,"Low",IF(B1688&gt;Outliers!$F$7,"High",""))</f>
        <v/>
      </c>
      <c r="K1688" s="6" t="str">
        <f aca="false">IF(C1688&lt;Outliers!$E$8,"Low",IF(C1688&gt;Outliers!$F$8,"High",""))</f>
        <v/>
      </c>
      <c r="L1688" s="6" t="str">
        <f aca="false">A1688&amp;";"&amp;B1688&amp;";"&amp;C1688</f>
        <v>16.53460397;110.0447896;28.5833401861507</v>
      </c>
      <c r="M1688" s="6" t="n">
        <f aca="false">IF(COUNTIF($L$2:$L$2201,L1688)&gt;1,1,0)</f>
        <v>0</v>
      </c>
      <c r="N1688" s="6" t="str">
        <f aca="false">IF(AND(C1688&lt;Assumptions!$B$9,B1688&lt;Assumptions!$B$10),"Irrigate Now",IF(AND(C1688&gt;=Assumptions!$B$11,B1688&gt;=Assumptions!$B$12),"No Irrigation Needed","Monitor"))</f>
        <v>No Irrigation Needed</v>
      </c>
      <c r="O1688" s="6" t="n">
        <f aca="false">IF(N1688=G1688,1,0)</f>
        <v>1</v>
      </c>
    </row>
    <row r="1689" customFormat="false" ht="15" hidden="false" customHeight="false" outlineLevel="0" collapsed="false">
      <c r="A1689" s="16" t="n">
        <v>31.8520694</v>
      </c>
      <c r="B1689" s="16" t="n">
        <v>109.9455062</v>
      </c>
      <c r="C1689" s="16" t="n">
        <v>20.0224934553364</v>
      </c>
      <c r="D1689" s="6" t="s">
        <v>67</v>
      </c>
      <c r="E1689" s="6" t="s">
        <v>57</v>
      </c>
      <c r="F1689" s="6" t="s">
        <v>60</v>
      </c>
      <c r="G1689" s="6" t="s">
        <v>61</v>
      </c>
      <c r="H1689" s="6" t="s">
        <v>68</v>
      </c>
      <c r="I1689" s="6" t="str">
        <f aca="false">IF(A1689&lt;Outliers!$E$6,"Low",IF(A1689&gt;Outliers!$F$6,"High",""))</f>
        <v/>
      </c>
      <c r="J1689" s="6" t="str">
        <f aca="false">IF(B1689&lt;Outliers!$E$7,"Low",IF(B1689&gt;Outliers!$F$7,"High",""))</f>
        <v/>
      </c>
      <c r="K1689" s="6" t="str">
        <f aca="false">IF(C1689&lt;Outliers!$E$8,"Low",IF(C1689&gt;Outliers!$F$8,"High",""))</f>
        <v/>
      </c>
      <c r="L1689" s="6" t="str">
        <f aca="false">A1689&amp;";"&amp;B1689&amp;";"&amp;C1689</f>
        <v>31.8520694;109.9455062;20.0224934553364</v>
      </c>
      <c r="M1689" s="6" t="n">
        <f aca="false">IF(COUNTIF($L$2:$L$2201,L1689)&gt;1,1,0)</f>
        <v>0</v>
      </c>
      <c r="N1689" s="6" t="str">
        <f aca="false">IF(AND(C1689&lt;Assumptions!$B$9,B1689&lt;Assumptions!$B$10),"Irrigate Now",IF(AND(C1689&gt;=Assumptions!$B$11,B1689&gt;=Assumptions!$B$12),"No Irrigation Needed","Monitor"))</f>
        <v>Monitor</v>
      </c>
      <c r="O1689" s="6" t="n">
        <f aca="false">IF(N1689=G1689,1,0)</f>
        <v>1</v>
      </c>
    </row>
    <row r="1690" customFormat="false" ht="15" hidden="false" customHeight="false" outlineLevel="0" collapsed="false">
      <c r="A1690" s="16" t="n">
        <v>28.04799508</v>
      </c>
      <c r="B1690" s="16" t="n">
        <v>117.1311498</v>
      </c>
      <c r="C1690" s="16" t="n">
        <v>22.8695328872749</v>
      </c>
      <c r="D1690" s="6" t="s">
        <v>57</v>
      </c>
      <c r="E1690" s="6" t="s">
        <v>57</v>
      </c>
      <c r="F1690" s="6" t="s">
        <v>23</v>
      </c>
      <c r="G1690" s="6" t="s">
        <v>61</v>
      </c>
      <c r="H1690" s="6" t="s">
        <v>63</v>
      </c>
      <c r="I1690" s="6" t="str">
        <f aca="false">IF(A1690&lt;Outliers!$E$6,"Low",IF(A1690&gt;Outliers!$F$6,"High",""))</f>
        <v/>
      </c>
      <c r="J1690" s="6" t="str">
        <f aca="false">IF(B1690&lt;Outliers!$E$7,"Low",IF(B1690&gt;Outliers!$F$7,"High",""))</f>
        <v/>
      </c>
      <c r="K1690" s="6" t="str">
        <f aca="false">IF(C1690&lt;Outliers!$E$8,"Low",IF(C1690&gt;Outliers!$F$8,"High",""))</f>
        <v/>
      </c>
      <c r="L1690" s="6" t="str">
        <f aca="false">A1690&amp;";"&amp;B1690&amp;";"&amp;C1690</f>
        <v>28.04799508;117.1311498;22.8695328872749</v>
      </c>
      <c r="M1690" s="6" t="n">
        <f aca="false">IF(COUNTIF($L$2:$L$2201,L1690)&gt;1,1,0)</f>
        <v>0</v>
      </c>
      <c r="N1690" s="6" t="str">
        <f aca="false">IF(AND(C1690&lt;Assumptions!$B$9,B1690&lt;Assumptions!$B$10),"Irrigate Now",IF(AND(C1690&gt;=Assumptions!$B$11,B1690&gt;=Assumptions!$B$12),"No Irrigation Needed","Monitor"))</f>
        <v>Monitor</v>
      </c>
      <c r="O1690" s="6" t="n">
        <f aca="false">IF(N1690=G1690,1,0)</f>
        <v>1</v>
      </c>
    </row>
    <row r="1691" customFormat="false" ht="15" hidden="false" customHeight="false" outlineLevel="0" collapsed="false">
      <c r="A1691" s="16" t="n">
        <v>31.75048899</v>
      </c>
      <c r="B1691" s="16" t="n">
        <v>115.1989301</v>
      </c>
      <c r="C1691" s="16" t="n">
        <v>14.2547468743073</v>
      </c>
      <c r="D1691" s="6" t="s">
        <v>67</v>
      </c>
      <c r="E1691" s="6" t="s">
        <v>57</v>
      </c>
      <c r="F1691" s="6" t="s">
        <v>24</v>
      </c>
      <c r="G1691" s="6" t="s">
        <v>61</v>
      </c>
      <c r="H1691" s="6" t="s">
        <v>68</v>
      </c>
      <c r="I1691" s="6" t="str">
        <f aca="false">IF(A1691&lt;Outliers!$E$6,"Low",IF(A1691&gt;Outliers!$F$6,"High",""))</f>
        <v/>
      </c>
      <c r="J1691" s="6" t="str">
        <f aca="false">IF(B1691&lt;Outliers!$E$7,"Low",IF(B1691&gt;Outliers!$F$7,"High",""))</f>
        <v/>
      </c>
      <c r="K1691" s="6" t="str">
        <f aca="false">IF(C1691&lt;Outliers!$E$8,"Low",IF(C1691&gt;Outliers!$F$8,"High",""))</f>
        <v/>
      </c>
      <c r="L1691" s="6" t="str">
        <f aca="false">A1691&amp;";"&amp;B1691&amp;";"&amp;C1691</f>
        <v>31.75048899;115.1989301;14.2547468743073</v>
      </c>
      <c r="M1691" s="6" t="n">
        <f aca="false">IF(COUNTIF($L$2:$L$2201,L1691)&gt;1,1,0)</f>
        <v>0</v>
      </c>
      <c r="N1691" s="6" t="str">
        <f aca="false">IF(AND(C1691&lt;Assumptions!$B$9,B1691&lt;Assumptions!$B$10),"Irrigate Now",IF(AND(C1691&gt;=Assumptions!$B$11,B1691&gt;=Assumptions!$B$12),"No Irrigation Needed","Monitor"))</f>
        <v>Monitor</v>
      </c>
      <c r="O1691" s="6" t="n">
        <f aca="false">IF(N1691=G1691,1,0)</f>
        <v>1</v>
      </c>
    </row>
    <row r="1692" customFormat="false" ht="15" hidden="false" customHeight="false" outlineLevel="0" collapsed="false">
      <c r="A1692" s="16" t="n">
        <v>29.07412717</v>
      </c>
      <c r="B1692" s="16" t="n">
        <v>100.7896871</v>
      </c>
      <c r="C1692" s="16" t="n">
        <v>25.5390722446519</v>
      </c>
      <c r="D1692" s="6" t="s">
        <v>57</v>
      </c>
      <c r="E1692" s="6" t="s">
        <v>57</v>
      </c>
      <c r="F1692" s="6" t="s">
        <v>23</v>
      </c>
      <c r="G1692" s="6" t="s">
        <v>58</v>
      </c>
      <c r="H1692" s="6" t="s">
        <v>59</v>
      </c>
      <c r="I1692" s="6" t="str">
        <f aca="false">IF(A1692&lt;Outliers!$E$6,"Low",IF(A1692&gt;Outliers!$F$6,"High",""))</f>
        <v/>
      </c>
      <c r="J1692" s="6" t="str">
        <f aca="false">IF(B1692&lt;Outliers!$E$7,"Low",IF(B1692&gt;Outliers!$F$7,"High",""))</f>
        <v/>
      </c>
      <c r="K1692" s="6" t="str">
        <f aca="false">IF(C1692&lt;Outliers!$E$8,"Low",IF(C1692&gt;Outliers!$F$8,"High",""))</f>
        <v/>
      </c>
      <c r="L1692" s="6" t="str">
        <f aca="false">A1692&amp;";"&amp;B1692&amp;";"&amp;C1692</f>
        <v>29.07412717;100.7896871;25.5390722446519</v>
      </c>
      <c r="M1692" s="6" t="n">
        <f aca="false">IF(COUNTIF($L$2:$L$2201,L1692)&gt;1,1,0)</f>
        <v>0</v>
      </c>
      <c r="N1692" s="6" t="str">
        <f aca="false">IF(AND(C1692&lt;Assumptions!$B$9,B1692&lt;Assumptions!$B$10),"Irrigate Now",IF(AND(C1692&gt;=Assumptions!$B$11,B1692&gt;=Assumptions!$B$12),"No Irrigation Needed","Monitor"))</f>
        <v>No Irrigation Needed</v>
      </c>
      <c r="O1692" s="6" t="n">
        <f aca="false">IF(N1692=G1692,1,0)</f>
        <v>1</v>
      </c>
    </row>
    <row r="1693" customFormat="false" ht="15" hidden="false" customHeight="false" outlineLevel="0" collapsed="false">
      <c r="A1693" s="16" t="n">
        <v>19.14381903</v>
      </c>
      <c r="B1693" s="16" t="n">
        <v>108.0230792</v>
      </c>
      <c r="C1693" s="16" t="n">
        <v>23.5998256916504</v>
      </c>
      <c r="D1693" s="6" t="s">
        <v>66</v>
      </c>
      <c r="E1693" s="6" t="s">
        <v>57</v>
      </c>
      <c r="F1693" s="6" t="s">
        <v>23</v>
      </c>
      <c r="G1693" s="6" t="s">
        <v>61</v>
      </c>
      <c r="H1693" s="6" t="s">
        <v>63</v>
      </c>
      <c r="I1693" s="6" t="str">
        <f aca="false">IF(A1693&lt;Outliers!$E$6,"Low",IF(A1693&gt;Outliers!$F$6,"High",""))</f>
        <v/>
      </c>
      <c r="J1693" s="6" t="str">
        <f aca="false">IF(B1693&lt;Outliers!$E$7,"Low",IF(B1693&gt;Outliers!$F$7,"High",""))</f>
        <v/>
      </c>
      <c r="K1693" s="6" t="str">
        <f aca="false">IF(C1693&lt;Outliers!$E$8,"Low",IF(C1693&gt;Outliers!$F$8,"High",""))</f>
        <v/>
      </c>
      <c r="L1693" s="6" t="str">
        <f aca="false">A1693&amp;";"&amp;B1693&amp;";"&amp;C1693</f>
        <v>19.14381903;108.0230792;23.5998256916504</v>
      </c>
      <c r="M1693" s="6" t="n">
        <f aca="false">IF(COUNTIF($L$2:$L$2201,L1693)&gt;1,1,0)</f>
        <v>0</v>
      </c>
      <c r="N1693" s="6" t="str">
        <f aca="false">IF(AND(C1693&lt;Assumptions!$B$9,B1693&lt;Assumptions!$B$10),"Irrigate Now",IF(AND(C1693&gt;=Assumptions!$B$11,B1693&gt;=Assumptions!$B$12),"No Irrigation Needed","Monitor"))</f>
        <v>Monitor</v>
      </c>
      <c r="O1693" s="6" t="n">
        <f aca="false">IF(N1693=G1693,1,0)</f>
        <v>1</v>
      </c>
    </row>
    <row r="1694" customFormat="false" ht="15" hidden="false" customHeight="false" outlineLevel="0" collapsed="false">
      <c r="A1694" s="16" t="n">
        <v>16.14820285</v>
      </c>
      <c r="B1694" s="16" t="n">
        <v>107.4287664</v>
      </c>
      <c r="C1694" s="16" t="n">
        <v>16.8944016966797</v>
      </c>
      <c r="D1694" s="6" t="s">
        <v>66</v>
      </c>
      <c r="E1694" s="6" t="s">
        <v>57</v>
      </c>
      <c r="F1694" s="6" t="s">
        <v>60</v>
      </c>
      <c r="G1694" s="6" t="s">
        <v>61</v>
      </c>
      <c r="H1694" s="6" t="s">
        <v>63</v>
      </c>
      <c r="I1694" s="6" t="str">
        <f aca="false">IF(A1694&lt;Outliers!$E$6,"Low",IF(A1694&gt;Outliers!$F$6,"High",""))</f>
        <v/>
      </c>
      <c r="J1694" s="6" t="str">
        <f aca="false">IF(B1694&lt;Outliers!$E$7,"Low",IF(B1694&gt;Outliers!$F$7,"High",""))</f>
        <v/>
      </c>
      <c r="K1694" s="6" t="str">
        <f aca="false">IF(C1694&lt;Outliers!$E$8,"Low",IF(C1694&gt;Outliers!$F$8,"High",""))</f>
        <v/>
      </c>
      <c r="L1694" s="6" t="str">
        <f aca="false">A1694&amp;";"&amp;B1694&amp;";"&amp;C1694</f>
        <v>16.14820285;107.4287664;16.8944016966797</v>
      </c>
      <c r="M1694" s="6" t="n">
        <f aca="false">IF(COUNTIF($L$2:$L$2201,L1694)&gt;1,1,0)</f>
        <v>0</v>
      </c>
      <c r="N1694" s="6" t="str">
        <f aca="false">IF(AND(C1694&lt;Assumptions!$B$9,B1694&lt;Assumptions!$B$10),"Irrigate Now",IF(AND(C1694&gt;=Assumptions!$B$11,B1694&gt;=Assumptions!$B$12),"No Irrigation Needed","Monitor"))</f>
        <v>Monitor</v>
      </c>
      <c r="O1694" s="6" t="n">
        <f aca="false">IF(N1694=G1694,1,0)</f>
        <v>1</v>
      </c>
    </row>
    <row r="1695" customFormat="false" ht="15" hidden="false" customHeight="false" outlineLevel="0" collapsed="false">
      <c r="A1695" s="16" t="n">
        <v>34.05296914</v>
      </c>
      <c r="B1695" s="16" t="n">
        <v>116.8020848</v>
      </c>
      <c r="C1695" s="16" t="n">
        <v>17.5061049003383</v>
      </c>
      <c r="D1695" s="6" t="s">
        <v>67</v>
      </c>
      <c r="E1695" s="6" t="s">
        <v>57</v>
      </c>
      <c r="F1695" s="6" t="s">
        <v>60</v>
      </c>
      <c r="G1695" s="6" t="s">
        <v>61</v>
      </c>
      <c r="H1695" s="6" t="s">
        <v>68</v>
      </c>
      <c r="I1695" s="6" t="str">
        <f aca="false">IF(A1695&lt;Outliers!$E$6,"Low",IF(A1695&gt;Outliers!$F$6,"High",""))</f>
        <v/>
      </c>
      <c r="J1695" s="6" t="str">
        <f aca="false">IF(B1695&lt;Outliers!$E$7,"Low",IF(B1695&gt;Outliers!$F$7,"High",""))</f>
        <v/>
      </c>
      <c r="K1695" s="6" t="str">
        <f aca="false">IF(C1695&lt;Outliers!$E$8,"Low",IF(C1695&gt;Outliers!$F$8,"High",""))</f>
        <v/>
      </c>
      <c r="L1695" s="6" t="str">
        <f aca="false">A1695&amp;";"&amp;B1695&amp;";"&amp;C1695</f>
        <v>34.05296914;116.8020848;17.5061049003383</v>
      </c>
      <c r="M1695" s="6" t="n">
        <f aca="false">IF(COUNTIF($L$2:$L$2201,L1695)&gt;1,1,0)</f>
        <v>0</v>
      </c>
      <c r="N1695" s="6" t="str">
        <f aca="false">IF(AND(C1695&lt;Assumptions!$B$9,B1695&lt;Assumptions!$B$10),"Irrigate Now",IF(AND(C1695&gt;=Assumptions!$B$11,B1695&gt;=Assumptions!$B$12),"No Irrigation Needed","Monitor"))</f>
        <v>Monitor</v>
      </c>
      <c r="O1695" s="6" t="n">
        <f aca="false">IF(N1695=G1695,1,0)</f>
        <v>1</v>
      </c>
    </row>
    <row r="1696" customFormat="false" ht="15" hidden="false" customHeight="false" outlineLevel="0" collapsed="false">
      <c r="A1696" s="16" t="n">
        <v>34.51423957</v>
      </c>
      <c r="B1696" s="16" t="n">
        <v>118.3271968</v>
      </c>
      <c r="C1696" s="16" t="n">
        <v>19.1633082499711</v>
      </c>
      <c r="D1696" s="6" t="s">
        <v>67</v>
      </c>
      <c r="E1696" s="6" t="s">
        <v>57</v>
      </c>
      <c r="F1696" s="6" t="s">
        <v>60</v>
      </c>
      <c r="G1696" s="6" t="s">
        <v>61</v>
      </c>
      <c r="H1696" s="6" t="s">
        <v>68</v>
      </c>
      <c r="I1696" s="6" t="str">
        <f aca="false">IF(A1696&lt;Outliers!$E$6,"Low",IF(A1696&gt;Outliers!$F$6,"High",""))</f>
        <v/>
      </c>
      <c r="J1696" s="6" t="str">
        <f aca="false">IF(B1696&lt;Outliers!$E$7,"Low",IF(B1696&gt;Outliers!$F$7,"High",""))</f>
        <v/>
      </c>
      <c r="K1696" s="6" t="str">
        <f aca="false">IF(C1696&lt;Outliers!$E$8,"Low",IF(C1696&gt;Outliers!$F$8,"High",""))</f>
        <v/>
      </c>
      <c r="L1696" s="6" t="str">
        <f aca="false">A1696&amp;";"&amp;B1696&amp;";"&amp;C1696</f>
        <v>34.51423957;118.3271968;19.1633082499711</v>
      </c>
      <c r="M1696" s="6" t="n">
        <f aca="false">IF(COUNTIF($L$2:$L$2201,L1696)&gt;1,1,0)</f>
        <v>0</v>
      </c>
      <c r="N1696" s="6" t="str">
        <f aca="false">IF(AND(C1696&lt;Assumptions!$B$9,B1696&lt;Assumptions!$B$10),"Irrigate Now",IF(AND(C1696&gt;=Assumptions!$B$11,B1696&gt;=Assumptions!$B$12),"No Irrigation Needed","Monitor"))</f>
        <v>Monitor</v>
      </c>
      <c r="O1696" s="6" t="n">
        <f aca="false">IF(N1696=G1696,1,0)</f>
        <v>1</v>
      </c>
    </row>
    <row r="1697" customFormat="false" ht="15" hidden="false" customHeight="false" outlineLevel="0" collapsed="false">
      <c r="A1697" s="16" t="n">
        <v>32.71748548</v>
      </c>
      <c r="B1697" s="16" t="n">
        <v>113.328978</v>
      </c>
      <c r="C1697" s="16" t="n">
        <v>11.7680063543087</v>
      </c>
      <c r="D1697" s="6" t="s">
        <v>67</v>
      </c>
      <c r="E1697" s="6" t="s">
        <v>57</v>
      </c>
      <c r="F1697" s="6" t="s">
        <v>24</v>
      </c>
      <c r="G1697" s="6" t="s">
        <v>61</v>
      </c>
      <c r="H1697" s="6" t="s">
        <v>68</v>
      </c>
      <c r="I1697" s="6" t="str">
        <f aca="false">IF(A1697&lt;Outliers!$E$6,"Low",IF(A1697&gt;Outliers!$F$6,"High",""))</f>
        <v/>
      </c>
      <c r="J1697" s="6" t="str">
        <f aca="false">IF(B1697&lt;Outliers!$E$7,"Low",IF(B1697&gt;Outliers!$F$7,"High",""))</f>
        <v/>
      </c>
      <c r="K1697" s="6" t="str">
        <f aca="false">IF(C1697&lt;Outliers!$E$8,"Low",IF(C1697&gt;Outliers!$F$8,"High",""))</f>
        <v/>
      </c>
      <c r="L1697" s="6" t="str">
        <f aca="false">A1697&amp;";"&amp;B1697&amp;";"&amp;C1697</f>
        <v>32.71748548;113.328978;11.7680063543087</v>
      </c>
      <c r="M1697" s="6" t="n">
        <f aca="false">IF(COUNTIF($L$2:$L$2201,L1697)&gt;1,1,0)</f>
        <v>0</v>
      </c>
      <c r="N1697" s="6" t="str">
        <f aca="false">IF(AND(C1697&lt;Assumptions!$B$9,B1697&lt;Assumptions!$B$10),"Irrigate Now",IF(AND(C1697&gt;=Assumptions!$B$11,B1697&gt;=Assumptions!$B$12),"No Irrigation Needed","Monitor"))</f>
        <v>Monitor</v>
      </c>
      <c r="O1697" s="6" t="n">
        <f aca="false">IF(N1697=G1697,1,0)</f>
        <v>1</v>
      </c>
    </row>
    <row r="1698" customFormat="false" ht="15" hidden="false" customHeight="false" outlineLevel="0" collapsed="false">
      <c r="A1698" s="16" t="n">
        <v>25.16296632</v>
      </c>
      <c r="B1698" s="16" t="n">
        <v>114.3117197</v>
      </c>
      <c r="C1698" s="16" t="n">
        <v>27.860009940954</v>
      </c>
      <c r="D1698" s="6" t="s">
        <v>57</v>
      </c>
      <c r="E1698" s="6" t="s">
        <v>57</v>
      </c>
      <c r="F1698" s="6" t="s">
        <v>23</v>
      </c>
      <c r="G1698" s="6" t="s">
        <v>58</v>
      </c>
      <c r="H1698" s="6" t="s">
        <v>59</v>
      </c>
      <c r="I1698" s="6" t="str">
        <f aca="false">IF(A1698&lt;Outliers!$E$6,"Low",IF(A1698&gt;Outliers!$F$6,"High",""))</f>
        <v/>
      </c>
      <c r="J1698" s="6" t="str">
        <f aca="false">IF(B1698&lt;Outliers!$E$7,"Low",IF(B1698&gt;Outliers!$F$7,"High",""))</f>
        <v/>
      </c>
      <c r="K1698" s="6" t="str">
        <f aca="false">IF(C1698&lt;Outliers!$E$8,"Low",IF(C1698&gt;Outliers!$F$8,"High",""))</f>
        <v/>
      </c>
      <c r="L1698" s="6" t="str">
        <f aca="false">A1698&amp;";"&amp;B1698&amp;";"&amp;C1698</f>
        <v>25.16296632;114.3117197;27.860009940954</v>
      </c>
      <c r="M1698" s="6" t="n">
        <f aca="false">IF(COUNTIF($L$2:$L$2201,L1698)&gt;1,1,0)</f>
        <v>0</v>
      </c>
      <c r="N1698" s="6" t="str">
        <f aca="false">IF(AND(C1698&lt;Assumptions!$B$9,B1698&lt;Assumptions!$B$10),"Irrigate Now",IF(AND(C1698&gt;=Assumptions!$B$11,B1698&gt;=Assumptions!$B$12),"No Irrigation Needed","Monitor"))</f>
        <v>No Irrigation Needed</v>
      </c>
      <c r="O1698" s="6" t="n">
        <f aca="false">IF(N1698=G1698,1,0)</f>
        <v>1</v>
      </c>
    </row>
    <row r="1699" customFormat="false" ht="15" hidden="false" customHeight="false" outlineLevel="0" collapsed="false">
      <c r="A1699" s="16" t="n">
        <v>27.68167318</v>
      </c>
      <c r="B1699" s="16" t="n">
        <v>113.9995146</v>
      </c>
      <c r="C1699" s="16" t="n">
        <v>25.6073551033752</v>
      </c>
      <c r="D1699" s="6" t="s">
        <v>57</v>
      </c>
      <c r="E1699" s="6" t="s">
        <v>57</v>
      </c>
      <c r="F1699" s="6" t="s">
        <v>23</v>
      </c>
      <c r="G1699" s="6" t="s">
        <v>58</v>
      </c>
      <c r="H1699" s="6" t="s">
        <v>59</v>
      </c>
      <c r="I1699" s="6" t="str">
        <f aca="false">IF(A1699&lt;Outliers!$E$6,"Low",IF(A1699&gt;Outliers!$F$6,"High",""))</f>
        <v/>
      </c>
      <c r="J1699" s="6" t="str">
        <f aca="false">IF(B1699&lt;Outliers!$E$7,"Low",IF(B1699&gt;Outliers!$F$7,"High",""))</f>
        <v/>
      </c>
      <c r="K1699" s="6" t="str">
        <f aca="false">IF(C1699&lt;Outliers!$E$8,"Low",IF(C1699&gt;Outliers!$F$8,"High",""))</f>
        <v/>
      </c>
      <c r="L1699" s="6" t="str">
        <f aca="false">A1699&amp;";"&amp;B1699&amp;";"&amp;C1699</f>
        <v>27.68167318;113.9995146;25.6073551033752</v>
      </c>
      <c r="M1699" s="6" t="n">
        <f aca="false">IF(COUNTIF($L$2:$L$2201,L1699)&gt;1,1,0)</f>
        <v>0</v>
      </c>
      <c r="N1699" s="6" t="str">
        <f aca="false">IF(AND(C1699&lt;Assumptions!$B$9,B1699&lt;Assumptions!$B$10),"Irrigate Now",IF(AND(C1699&gt;=Assumptions!$B$11,B1699&gt;=Assumptions!$B$12),"No Irrigation Needed","Monitor"))</f>
        <v>No Irrigation Needed</v>
      </c>
      <c r="O1699" s="6" t="n">
        <f aca="false">IF(N1699=G1699,1,0)</f>
        <v>1</v>
      </c>
    </row>
    <row r="1700" customFormat="false" ht="15" hidden="false" customHeight="false" outlineLevel="0" collapsed="false">
      <c r="A1700" s="16" t="n">
        <v>21.35093384</v>
      </c>
      <c r="B1700" s="16" t="n">
        <v>107.0862095</v>
      </c>
      <c r="C1700" s="16" t="n">
        <v>21.3932898870034</v>
      </c>
      <c r="D1700" s="6" t="s">
        <v>57</v>
      </c>
      <c r="E1700" s="6" t="s">
        <v>57</v>
      </c>
      <c r="F1700" s="6" t="s">
        <v>60</v>
      </c>
      <c r="G1700" s="6" t="s">
        <v>61</v>
      </c>
      <c r="H1700" s="6" t="s">
        <v>63</v>
      </c>
      <c r="I1700" s="6" t="str">
        <f aca="false">IF(A1700&lt;Outliers!$E$6,"Low",IF(A1700&gt;Outliers!$F$6,"High",""))</f>
        <v/>
      </c>
      <c r="J1700" s="6" t="str">
        <f aca="false">IF(B1700&lt;Outliers!$E$7,"Low",IF(B1700&gt;Outliers!$F$7,"High",""))</f>
        <v/>
      </c>
      <c r="K1700" s="6" t="str">
        <f aca="false">IF(C1700&lt;Outliers!$E$8,"Low",IF(C1700&gt;Outliers!$F$8,"High",""))</f>
        <v/>
      </c>
      <c r="L1700" s="6" t="str">
        <f aca="false">A1700&amp;";"&amp;B1700&amp;";"&amp;C1700</f>
        <v>21.35093384;107.0862095;21.3932898870034</v>
      </c>
      <c r="M1700" s="6" t="n">
        <f aca="false">IF(COUNTIF($L$2:$L$2201,L1700)&gt;1,1,0)</f>
        <v>0</v>
      </c>
      <c r="N1700" s="6" t="str">
        <f aca="false">IF(AND(C1700&lt;Assumptions!$B$9,B1700&lt;Assumptions!$B$10),"Irrigate Now",IF(AND(C1700&gt;=Assumptions!$B$11,B1700&gt;=Assumptions!$B$12),"No Irrigation Needed","Monitor"))</f>
        <v>Monitor</v>
      </c>
      <c r="O1700" s="6" t="n">
        <f aca="false">IF(N1700=G1700,1,0)</f>
        <v>1</v>
      </c>
    </row>
    <row r="1701" customFormat="false" ht="15" hidden="false" customHeight="false" outlineLevel="0" collapsed="false">
      <c r="A1701" s="16" t="n">
        <v>11.69894639</v>
      </c>
      <c r="B1701" s="16" t="n">
        <v>103.2005992</v>
      </c>
      <c r="C1701" s="16" t="n">
        <v>15.9375231193142</v>
      </c>
      <c r="D1701" s="6" t="s">
        <v>66</v>
      </c>
      <c r="E1701" s="6" t="s">
        <v>57</v>
      </c>
      <c r="F1701" s="6" t="s">
        <v>24</v>
      </c>
      <c r="G1701" s="6" t="s">
        <v>61</v>
      </c>
      <c r="H1701" s="6" t="s">
        <v>63</v>
      </c>
      <c r="I1701" s="6" t="str">
        <f aca="false">IF(A1701&lt;Outliers!$E$6,"Low",IF(A1701&gt;Outliers!$F$6,"High",""))</f>
        <v>Low</v>
      </c>
      <c r="J1701" s="6" t="str">
        <f aca="false">IF(B1701&lt;Outliers!$E$7,"Low",IF(B1701&gt;Outliers!$F$7,"High",""))</f>
        <v/>
      </c>
      <c r="K1701" s="6" t="str">
        <f aca="false">IF(C1701&lt;Outliers!$E$8,"Low",IF(C1701&gt;Outliers!$F$8,"High",""))</f>
        <v/>
      </c>
      <c r="L1701" s="6" t="str">
        <f aca="false">A1701&amp;";"&amp;B1701&amp;";"&amp;C1701</f>
        <v>11.69894639;103.2005992;15.9375231193142</v>
      </c>
      <c r="M1701" s="6" t="n">
        <f aca="false">IF(COUNTIF($L$2:$L$2201,L1701)&gt;1,1,0)</f>
        <v>0</v>
      </c>
      <c r="N1701" s="6" t="str">
        <f aca="false">IF(AND(C1701&lt;Assumptions!$B$9,B1701&lt;Assumptions!$B$10),"Irrigate Now",IF(AND(C1701&gt;=Assumptions!$B$11,B1701&gt;=Assumptions!$B$12),"No Irrigation Needed","Monitor"))</f>
        <v>Monitor</v>
      </c>
      <c r="O1701" s="6" t="n">
        <f aca="false">IF(N1701=G1701,1,0)</f>
        <v>1</v>
      </c>
    </row>
    <row r="1702" customFormat="false" ht="15" hidden="false" customHeight="false" outlineLevel="0" collapsed="false">
      <c r="A1702" s="16" t="n">
        <v>35.21462816</v>
      </c>
      <c r="B1702" s="16" t="n">
        <v>243.0745066</v>
      </c>
      <c r="C1702" s="16" t="n">
        <v>26.9067334318163</v>
      </c>
      <c r="D1702" s="6" t="s">
        <v>67</v>
      </c>
      <c r="E1702" s="6" t="s">
        <v>24</v>
      </c>
      <c r="F1702" s="6" t="s">
        <v>23</v>
      </c>
      <c r="G1702" s="6" t="s">
        <v>58</v>
      </c>
      <c r="H1702" s="6" t="s">
        <v>59</v>
      </c>
      <c r="I1702" s="6" t="str">
        <f aca="false">IF(A1702&lt;Outliers!$E$6,"Low",IF(A1702&gt;Outliers!$F$6,"High",""))</f>
        <v/>
      </c>
      <c r="J1702" s="6" t="str">
        <f aca="false">IF(B1702&lt;Outliers!$E$7,"Low",IF(B1702&gt;Outliers!$F$7,"High",""))</f>
        <v>High</v>
      </c>
      <c r="K1702" s="6" t="str">
        <f aca="false">IF(C1702&lt;Outliers!$E$8,"Low",IF(C1702&gt;Outliers!$F$8,"High",""))</f>
        <v/>
      </c>
      <c r="L1702" s="6" t="str">
        <f aca="false">A1702&amp;";"&amp;B1702&amp;";"&amp;C1702</f>
        <v>35.21462816;243.0745066;26.9067334318163</v>
      </c>
      <c r="M1702" s="6" t="n">
        <f aca="false">IF(COUNTIF($L$2:$L$2201,L1702)&gt;1,1,0)</f>
        <v>0</v>
      </c>
      <c r="N1702" s="6" t="str">
        <f aca="false">IF(AND(C1702&lt;Assumptions!$B$9,B1702&lt;Assumptions!$B$10),"Irrigate Now",IF(AND(C1702&gt;=Assumptions!$B$11,B1702&gt;=Assumptions!$B$12),"No Irrigation Needed","Monitor"))</f>
        <v>No Irrigation Needed</v>
      </c>
      <c r="O1702" s="6" t="n">
        <f aca="false">IF(N1702=G1702,1,0)</f>
        <v>1</v>
      </c>
    </row>
    <row r="1703" customFormat="false" ht="15" hidden="false" customHeight="false" outlineLevel="0" collapsed="false">
      <c r="A1703" s="16" t="n">
        <v>42.39413392</v>
      </c>
      <c r="B1703" s="16" t="n">
        <v>88.46607497</v>
      </c>
      <c r="C1703" s="16" t="n">
        <v>24.6307053557253</v>
      </c>
      <c r="D1703" s="6" t="s">
        <v>67</v>
      </c>
      <c r="E1703" s="6" t="s">
        <v>57</v>
      </c>
      <c r="F1703" s="6" t="s">
        <v>23</v>
      </c>
      <c r="G1703" s="6" t="s">
        <v>61</v>
      </c>
      <c r="H1703" s="6" t="s">
        <v>63</v>
      </c>
      <c r="I1703" s="6" t="str">
        <f aca="false">IF(A1703&lt;Outliers!$E$6,"Low",IF(A1703&gt;Outliers!$F$6,"High",""))</f>
        <v>High</v>
      </c>
      <c r="J1703" s="6" t="str">
        <f aca="false">IF(B1703&lt;Outliers!$E$7,"Low",IF(B1703&gt;Outliers!$F$7,"High",""))</f>
        <v/>
      </c>
      <c r="K1703" s="6" t="str">
        <f aca="false">IF(C1703&lt;Outliers!$E$8,"Low",IF(C1703&gt;Outliers!$F$8,"High",""))</f>
        <v/>
      </c>
      <c r="L1703" s="6" t="str">
        <f aca="false">A1703&amp;";"&amp;B1703&amp;";"&amp;C1703</f>
        <v>42.39413392;88.46607497;24.6307053557253</v>
      </c>
      <c r="M1703" s="6" t="n">
        <f aca="false">IF(COUNTIF($L$2:$L$2201,L1703)&gt;1,1,0)</f>
        <v>0</v>
      </c>
      <c r="N1703" s="6" t="str">
        <f aca="false">IF(AND(C1703&lt;Assumptions!$B$9,B1703&lt;Assumptions!$B$10),"Irrigate Now",IF(AND(C1703&gt;=Assumptions!$B$11,B1703&gt;=Assumptions!$B$12),"No Irrigation Needed","Monitor"))</f>
        <v>Monitor</v>
      </c>
      <c r="O1703" s="6" t="n">
        <f aca="false">IF(N1703=G1703,1,0)</f>
        <v>1</v>
      </c>
    </row>
    <row r="1704" customFormat="false" ht="15" hidden="false" customHeight="false" outlineLevel="0" collapsed="false">
      <c r="A1704" s="16" t="n">
        <v>38.4191628</v>
      </c>
      <c r="B1704" s="16" t="n">
        <v>119.2653877</v>
      </c>
      <c r="C1704" s="16" t="n">
        <v>17.6898876855893</v>
      </c>
      <c r="D1704" s="6" t="s">
        <v>67</v>
      </c>
      <c r="E1704" s="6" t="s">
        <v>57</v>
      </c>
      <c r="F1704" s="6" t="s">
        <v>60</v>
      </c>
      <c r="G1704" s="6" t="s">
        <v>61</v>
      </c>
      <c r="H1704" s="6" t="s">
        <v>68</v>
      </c>
      <c r="I1704" s="6" t="str">
        <f aca="false">IF(A1704&lt;Outliers!$E$6,"Low",IF(A1704&gt;Outliers!$F$6,"High",""))</f>
        <v>High</v>
      </c>
      <c r="J1704" s="6" t="str">
        <f aca="false">IF(B1704&lt;Outliers!$E$7,"Low",IF(B1704&gt;Outliers!$F$7,"High",""))</f>
        <v/>
      </c>
      <c r="K1704" s="6" t="str">
        <f aca="false">IF(C1704&lt;Outliers!$E$8,"Low",IF(C1704&gt;Outliers!$F$8,"High",""))</f>
        <v/>
      </c>
      <c r="L1704" s="6" t="str">
        <f aca="false">A1704&amp;";"&amp;B1704&amp;";"&amp;C1704</f>
        <v>38.4191628;119.2653877;17.6898876855893</v>
      </c>
      <c r="M1704" s="6" t="n">
        <f aca="false">IF(COUNTIF($L$2:$L$2201,L1704)&gt;1,1,0)</f>
        <v>0</v>
      </c>
      <c r="N1704" s="6" t="str">
        <f aca="false">IF(AND(C1704&lt;Assumptions!$B$9,B1704&lt;Assumptions!$B$10),"Irrigate Now",IF(AND(C1704&gt;=Assumptions!$B$11,B1704&gt;=Assumptions!$B$12),"No Irrigation Needed","Monitor"))</f>
        <v>Monitor</v>
      </c>
      <c r="O1704" s="6" t="n">
        <f aca="false">IF(N1704=G1704,1,0)</f>
        <v>1</v>
      </c>
    </row>
    <row r="1705" customFormat="false" ht="15" hidden="false" customHeight="false" outlineLevel="0" collapsed="false">
      <c r="A1705" s="16" t="n">
        <v>35.33294932</v>
      </c>
      <c r="B1705" s="16" t="n">
        <v>235.6133585</v>
      </c>
      <c r="C1705" s="16" t="n">
        <v>16.7190324008166</v>
      </c>
      <c r="D1705" s="6" t="s">
        <v>67</v>
      </c>
      <c r="E1705" s="6" t="s">
        <v>24</v>
      </c>
      <c r="F1705" s="6" t="s">
        <v>60</v>
      </c>
      <c r="G1705" s="6" t="s">
        <v>61</v>
      </c>
      <c r="H1705" s="6" t="s">
        <v>68</v>
      </c>
      <c r="I1705" s="6" t="str">
        <f aca="false">IF(A1705&lt;Outliers!$E$6,"Low",IF(A1705&gt;Outliers!$F$6,"High",""))</f>
        <v/>
      </c>
      <c r="J1705" s="6" t="str">
        <f aca="false">IF(B1705&lt;Outliers!$E$7,"Low",IF(B1705&gt;Outliers!$F$7,"High",""))</f>
        <v>High</v>
      </c>
      <c r="K1705" s="6" t="str">
        <f aca="false">IF(C1705&lt;Outliers!$E$8,"Low",IF(C1705&gt;Outliers!$F$8,"High",""))</f>
        <v/>
      </c>
      <c r="L1705" s="6" t="str">
        <f aca="false">A1705&amp;";"&amp;B1705&amp;";"&amp;C1705</f>
        <v>35.33294932;235.6133585;16.7190324008166</v>
      </c>
      <c r="M1705" s="6" t="n">
        <f aca="false">IF(COUNTIF($L$2:$L$2201,L1705)&gt;1,1,0)</f>
        <v>0</v>
      </c>
      <c r="N1705" s="6" t="str">
        <f aca="false">IF(AND(C1705&lt;Assumptions!$B$9,B1705&lt;Assumptions!$B$10),"Irrigate Now",IF(AND(C1705&gt;=Assumptions!$B$11,B1705&gt;=Assumptions!$B$12),"No Irrigation Needed","Monitor"))</f>
        <v>Monitor</v>
      </c>
      <c r="O1705" s="6" t="n">
        <f aca="false">IF(N1705=G1705,1,0)</f>
        <v>1</v>
      </c>
    </row>
    <row r="1706" customFormat="false" ht="15" hidden="false" customHeight="false" outlineLevel="0" collapsed="false">
      <c r="A1706" s="16" t="n">
        <v>42.92325255</v>
      </c>
      <c r="B1706" s="16" t="n">
        <v>196.2408242</v>
      </c>
      <c r="C1706" s="16" t="n">
        <v>15.8010021805527</v>
      </c>
      <c r="D1706" s="6" t="s">
        <v>67</v>
      </c>
      <c r="E1706" s="6" t="s">
        <v>24</v>
      </c>
      <c r="F1706" s="6" t="s">
        <v>60</v>
      </c>
      <c r="G1706" s="6" t="s">
        <v>61</v>
      </c>
      <c r="H1706" s="6" t="s">
        <v>68</v>
      </c>
      <c r="I1706" s="6" t="str">
        <f aca="false">IF(A1706&lt;Outliers!$E$6,"Low",IF(A1706&gt;Outliers!$F$6,"High",""))</f>
        <v>High</v>
      </c>
      <c r="J1706" s="6" t="str">
        <f aca="false">IF(B1706&lt;Outliers!$E$7,"Low",IF(B1706&gt;Outliers!$F$7,"High",""))</f>
        <v/>
      </c>
      <c r="K1706" s="6" t="str">
        <f aca="false">IF(C1706&lt;Outliers!$E$8,"Low",IF(C1706&gt;Outliers!$F$8,"High",""))</f>
        <v/>
      </c>
      <c r="L1706" s="6" t="str">
        <f aca="false">A1706&amp;";"&amp;B1706&amp;";"&amp;C1706</f>
        <v>42.92325255;196.2408242;15.8010021805527</v>
      </c>
      <c r="M1706" s="6" t="n">
        <f aca="false">IF(COUNTIF($L$2:$L$2201,L1706)&gt;1,1,0)</f>
        <v>0</v>
      </c>
      <c r="N1706" s="6" t="str">
        <f aca="false">IF(AND(C1706&lt;Assumptions!$B$9,B1706&lt;Assumptions!$B$10),"Irrigate Now",IF(AND(C1706&gt;=Assumptions!$B$11,B1706&gt;=Assumptions!$B$12),"No Irrigation Needed","Monitor"))</f>
        <v>Monitor</v>
      </c>
      <c r="O1706" s="6" t="n">
        <f aca="false">IF(N1706=G1706,1,0)</f>
        <v>1</v>
      </c>
    </row>
    <row r="1707" customFormat="false" ht="15" hidden="false" customHeight="false" outlineLevel="0" collapsed="false">
      <c r="A1707" s="16" t="n">
        <v>33.83508569</v>
      </c>
      <c r="B1707" s="16" t="n">
        <v>203.4044028</v>
      </c>
      <c r="C1707" s="16" t="n">
        <v>28.5127210270271</v>
      </c>
      <c r="D1707" s="6" t="s">
        <v>67</v>
      </c>
      <c r="E1707" s="6" t="s">
        <v>24</v>
      </c>
      <c r="F1707" s="6" t="s">
        <v>23</v>
      </c>
      <c r="G1707" s="6" t="s">
        <v>58</v>
      </c>
      <c r="H1707" s="6" t="s">
        <v>59</v>
      </c>
      <c r="I1707" s="6" t="str">
        <f aca="false">IF(A1707&lt;Outliers!$E$6,"Low",IF(A1707&gt;Outliers!$F$6,"High",""))</f>
        <v/>
      </c>
      <c r="J1707" s="6" t="str">
        <f aca="false">IF(B1707&lt;Outliers!$E$7,"Low",IF(B1707&gt;Outliers!$F$7,"High",""))</f>
        <v/>
      </c>
      <c r="K1707" s="6" t="str">
        <f aca="false">IF(C1707&lt;Outliers!$E$8,"Low",IF(C1707&gt;Outliers!$F$8,"High",""))</f>
        <v/>
      </c>
      <c r="L1707" s="6" t="str">
        <f aca="false">A1707&amp;";"&amp;B1707&amp;";"&amp;C1707</f>
        <v>33.83508569;203.4044028;28.5127210270271</v>
      </c>
      <c r="M1707" s="6" t="n">
        <f aca="false">IF(COUNTIF($L$2:$L$2201,L1707)&gt;1,1,0)</f>
        <v>0</v>
      </c>
      <c r="N1707" s="6" t="str">
        <f aca="false">IF(AND(C1707&lt;Assumptions!$B$9,B1707&lt;Assumptions!$B$10),"Irrigate Now",IF(AND(C1707&gt;=Assumptions!$B$11,B1707&gt;=Assumptions!$B$12),"No Irrigation Needed","Monitor"))</f>
        <v>No Irrigation Needed</v>
      </c>
      <c r="O1707" s="6" t="n">
        <f aca="false">IF(N1707=G1707,1,0)</f>
        <v>1</v>
      </c>
    </row>
    <row r="1708" customFormat="false" ht="15" hidden="false" customHeight="false" outlineLevel="0" collapsed="false">
      <c r="A1708" s="16" t="n">
        <v>33.20258348</v>
      </c>
      <c r="B1708" s="16" t="n">
        <v>197.5282582</v>
      </c>
      <c r="C1708" s="16" t="n">
        <v>23.1333117607939</v>
      </c>
      <c r="D1708" s="6" t="s">
        <v>67</v>
      </c>
      <c r="E1708" s="6" t="s">
        <v>24</v>
      </c>
      <c r="F1708" s="6" t="s">
        <v>23</v>
      </c>
      <c r="G1708" s="6" t="s">
        <v>61</v>
      </c>
      <c r="H1708" s="6" t="s">
        <v>62</v>
      </c>
      <c r="I1708" s="6" t="str">
        <f aca="false">IF(A1708&lt;Outliers!$E$6,"Low",IF(A1708&gt;Outliers!$F$6,"High",""))</f>
        <v/>
      </c>
      <c r="J1708" s="6" t="str">
        <f aca="false">IF(B1708&lt;Outliers!$E$7,"Low",IF(B1708&gt;Outliers!$F$7,"High",""))</f>
        <v/>
      </c>
      <c r="K1708" s="6" t="str">
        <f aca="false">IF(C1708&lt;Outliers!$E$8,"Low",IF(C1708&gt;Outliers!$F$8,"High",""))</f>
        <v/>
      </c>
      <c r="L1708" s="6" t="str">
        <f aca="false">A1708&amp;";"&amp;B1708&amp;";"&amp;C1708</f>
        <v>33.20258348;197.5282582;23.1333117607939</v>
      </c>
      <c r="M1708" s="6" t="n">
        <f aca="false">IF(COUNTIF($L$2:$L$2201,L1708)&gt;1,1,0)</f>
        <v>0</v>
      </c>
      <c r="N1708" s="6" t="str">
        <f aca="false">IF(AND(C1708&lt;Assumptions!$B$9,B1708&lt;Assumptions!$B$10),"Irrigate Now",IF(AND(C1708&gt;=Assumptions!$B$11,B1708&gt;=Assumptions!$B$12),"No Irrigation Needed","Monitor"))</f>
        <v>Monitor</v>
      </c>
      <c r="O1708" s="6" t="n">
        <f aca="false">IF(N1708=G1708,1,0)</f>
        <v>1</v>
      </c>
    </row>
    <row r="1709" customFormat="false" ht="15" hidden="false" customHeight="false" outlineLevel="0" collapsed="false">
      <c r="A1709" s="16" t="n">
        <v>23.48546973</v>
      </c>
      <c r="B1709" s="16" t="n">
        <v>191.7760562</v>
      </c>
      <c r="C1709" s="16" t="n">
        <v>24.3622171897178</v>
      </c>
      <c r="D1709" s="6" t="s">
        <v>57</v>
      </c>
      <c r="E1709" s="6" t="s">
        <v>24</v>
      </c>
      <c r="F1709" s="6" t="s">
        <v>23</v>
      </c>
      <c r="G1709" s="6" t="s">
        <v>61</v>
      </c>
      <c r="H1709" s="6" t="s">
        <v>62</v>
      </c>
      <c r="I1709" s="6" t="str">
        <f aca="false">IF(A1709&lt;Outliers!$E$6,"Low",IF(A1709&gt;Outliers!$F$6,"High",""))</f>
        <v/>
      </c>
      <c r="J1709" s="6" t="str">
        <f aca="false">IF(B1709&lt;Outliers!$E$7,"Low",IF(B1709&gt;Outliers!$F$7,"High",""))</f>
        <v/>
      </c>
      <c r="K1709" s="6" t="str">
        <f aca="false">IF(C1709&lt;Outliers!$E$8,"Low",IF(C1709&gt;Outliers!$F$8,"High",""))</f>
        <v/>
      </c>
      <c r="L1709" s="6" t="str">
        <f aca="false">A1709&amp;";"&amp;B1709&amp;";"&amp;C1709</f>
        <v>23.48546973;191.7760562;24.3622171897178</v>
      </c>
      <c r="M1709" s="6" t="n">
        <f aca="false">IF(COUNTIF($L$2:$L$2201,L1709)&gt;1,1,0)</f>
        <v>0</v>
      </c>
      <c r="N1709" s="6" t="str">
        <f aca="false">IF(AND(C1709&lt;Assumptions!$B$9,B1709&lt;Assumptions!$B$10),"Irrigate Now",IF(AND(C1709&gt;=Assumptions!$B$11,B1709&gt;=Assumptions!$B$12),"No Irrigation Needed","Monitor"))</f>
        <v>Monitor</v>
      </c>
      <c r="O1709" s="6" t="n">
        <f aca="false">IF(N1709=G1709,1,0)</f>
        <v>1</v>
      </c>
    </row>
    <row r="1710" customFormat="false" ht="15" hidden="false" customHeight="false" outlineLevel="0" collapsed="false">
      <c r="A1710" s="16" t="n">
        <v>29.33710543</v>
      </c>
      <c r="B1710" s="16" t="n">
        <v>202.0572747</v>
      </c>
      <c r="C1710" s="16" t="n">
        <v>20.5780687104167</v>
      </c>
      <c r="D1710" s="6" t="s">
        <v>57</v>
      </c>
      <c r="E1710" s="6" t="s">
        <v>24</v>
      </c>
      <c r="F1710" s="6" t="s">
        <v>23</v>
      </c>
      <c r="G1710" s="6" t="s">
        <v>61</v>
      </c>
      <c r="H1710" s="6" t="s">
        <v>62</v>
      </c>
      <c r="I1710" s="6" t="str">
        <f aca="false">IF(A1710&lt;Outliers!$E$6,"Low",IF(A1710&gt;Outliers!$F$6,"High",""))</f>
        <v/>
      </c>
      <c r="J1710" s="6" t="str">
        <f aca="false">IF(B1710&lt;Outliers!$E$7,"Low",IF(B1710&gt;Outliers!$F$7,"High",""))</f>
        <v/>
      </c>
      <c r="K1710" s="6" t="str">
        <f aca="false">IF(C1710&lt;Outliers!$E$8,"Low",IF(C1710&gt;Outliers!$F$8,"High",""))</f>
        <v/>
      </c>
      <c r="L1710" s="6" t="str">
        <f aca="false">A1710&amp;";"&amp;B1710&amp;";"&amp;C1710</f>
        <v>29.33710543;202.0572747;20.5780687104167</v>
      </c>
      <c r="M1710" s="6" t="n">
        <f aca="false">IF(COUNTIF($L$2:$L$2201,L1710)&gt;1,1,0)</f>
        <v>0</v>
      </c>
      <c r="N1710" s="6" t="str">
        <f aca="false">IF(AND(C1710&lt;Assumptions!$B$9,B1710&lt;Assumptions!$B$10),"Irrigate Now",IF(AND(C1710&gt;=Assumptions!$B$11,B1710&gt;=Assumptions!$B$12),"No Irrigation Needed","Monitor"))</f>
        <v>Monitor</v>
      </c>
      <c r="O1710" s="6" t="n">
        <f aca="false">IF(N1710=G1710,1,0)</f>
        <v>1</v>
      </c>
    </row>
    <row r="1711" customFormat="false" ht="15" hidden="false" customHeight="false" outlineLevel="0" collapsed="false">
      <c r="A1711" s="16" t="n">
        <v>40.21199348</v>
      </c>
      <c r="B1711" s="16" t="n">
        <v>186.6762324</v>
      </c>
      <c r="C1711" s="16" t="n">
        <v>15.9985372174461</v>
      </c>
      <c r="D1711" s="6" t="s">
        <v>67</v>
      </c>
      <c r="E1711" s="6" t="s">
        <v>24</v>
      </c>
      <c r="F1711" s="6" t="s">
        <v>60</v>
      </c>
      <c r="G1711" s="6" t="s">
        <v>61</v>
      </c>
      <c r="H1711" s="6" t="s">
        <v>68</v>
      </c>
      <c r="I1711" s="6" t="str">
        <f aca="false">IF(A1711&lt;Outliers!$E$6,"Low",IF(A1711&gt;Outliers!$F$6,"High",""))</f>
        <v>High</v>
      </c>
      <c r="J1711" s="6" t="str">
        <f aca="false">IF(B1711&lt;Outliers!$E$7,"Low",IF(B1711&gt;Outliers!$F$7,"High",""))</f>
        <v/>
      </c>
      <c r="K1711" s="6" t="str">
        <f aca="false">IF(C1711&lt;Outliers!$E$8,"Low",IF(C1711&gt;Outliers!$F$8,"High",""))</f>
        <v/>
      </c>
      <c r="L1711" s="6" t="str">
        <f aca="false">A1711&amp;";"&amp;B1711&amp;";"&amp;C1711</f>
        <v>40.21199348;186.6762324;15.9985372174461</v>
      </c>
      <c r="M1711" s="6" t="n">
        <f aca="false">IF(COUNTIF($L$2:$L$2201,L1711)&gt;1,1,0)</f>
        <v>0</v>
      </c>
      <c r="N1711" s="6" t="str">
        <f aca="false">IF(AND(C1711&lt;Assumptions!$B$9,B1711&lt;Assumptions!$B$10),"Irrigate Now",IF(AND(C1711&gt;=Assumptions!$B$11,B1711&gt;=Assumptions!$B$12),"No Irrigation Needed","Monitor"))</f>
        <v>Monitor</v>
      </c>
      <c r="O1711" s="6" t="n">
        <f aca="false">IF(N1711=G1711,1,0)</f>
        <v>1</v>
      </c>
    </row>
    <row r="1712" customFormat="false" ht="15" hidden="false" customHeight="false" outlineLevel="0" collapsed="false">
      <c r="A1712" s="16" t="n">
        <v>42.13473976</v>
      </c>
      <c r="B1712" s="16" t="n">
        <v>197.402901</v>
      </c>
      <c r="C1712" s="16" t="n">
        <v>29.9651005355507</v>
      </c>
      <c r="D1712" s="6" t="s">
        <v>67</v>
      </c>
      <c r="E1712" s="6" t="s">
        <v>24</v>
      </c>
      <c r="F1712" s="6" t="s">
        <v>23</v>
      </c>
      <c r="G1712" s="6" t="s">
        <v>58</v>
      </c>
      <c r="H1712" s="6" t="s">
        <v>59</v>
      </c>
      <c r="I1712" s="6" t="str">
        <f aca="false">IF(A1712&lt;Outliers!$E$6,"Low",IF(A1712&gt;Outliers!$F$6,"High",""))</f>
        <v>High</v>
      </c>
      <c r="J1712" s="6" t="str">
        <f aca="false">IF(B1712&lt;Outliers!$E$7,"Low",IF(B1712&gt;Outliers!$F$7,"High",""))</f>
        <v/>
      </c>
      <c r="K1712" s="6" t="str">
        <f aca="false">IF(C1712&lt;Outliers!$E$8,"Low",IF(C1712&gt;Outliers!$F$8,"High",""))</f>
        <v/>
      </c>
      <c r="L1712" s="6" t="str">
        <f aca="false">A1712&amp;";"&amp;B1712&amp;";"&amp;C1712</f>
        <v>42.13473976;197.402901;29.9651005355507</v>
      </c>
      <c r="M1712" s="6" t="n">
        <f aca="false">IF(COUNTIF($L$2:$L$2201,L1712)&gt;1,1,0)</f>
        <v>0</v>
      </c>
      <c r="N1712" s="6" t="str">
        <f aca="false">IF(AND(C1712&lt;Assumptions!$B$9,B1712&lt;Assumptions!$B$10),"Irrigate Now",IF(AND(C1712&gt;=Assumptions!$B$11,B1712&gt;=Assumptions!$B$12),"No Irrigation Needed","Monitor"))</f>
        <v>No Irrigation Needed</v>
      </c>
      <c r="O1712" s="6" t="n">
        <f aca="false">IF(N1712=G1712,1,0)</f>
        <v>1</v>
      </c>
    </row>
    <row r="1713" customFormat="false" ht="15" hidden="false" customHeight="false" outlineLevel="0" collapsed="false">
      <c r="A1713" s="16" t="n">
        <v>32.86316618</v>
      </c>
      <c r="B1713" s="16" t="n">
        <v>47.271547</v>
      </c>
      <c r="C1713" s="16" t="n">
        <v>26.0258714105823</v>
      </c>
      <c r="D1713" s="6" t="s">
        <v>67</v>
      </c>
      <c r="E1713" s="6" t="s">
        <v>23</v>
      </c>
      <c r="F1713" s="6" t="s">
        <v>60</v>
      </c>
      <c r="G1713" s="6" t="s">
        <v>61</v>
      </c>
      <c r="H1713" s="6" t="s">
        <v>63</v>
      </c>
      <c r="I1713" s="6" t="str">
        <f aca="false">IF(A1713&lt;Outliers!$E$6,"Low",IF(A1713&gt;Outliers!$F$6,"High",""))</f>
        <v/>
      </c>
      <c r="J1713" s="6" t="str">
        <f aca="false">IF(B1713&lt;Outliers!$E$7,"Low",IF(B1713&gt;Outliers!$F$7,"High",""))</f>
        <v/>
      </c>
      <c r="K1713" s="6" t="str">
        <f aca="false">IF(C1713&lt;Outliers!$E$8,"Low",IF(C1713&gt;Outliers!$F$8,"High",""))</f>
        <v/>
      </c>
      <c r="L1713" s="6" t="str">
        <f aca="false">A1713&amp;";"&amp;B1713&amp;";"&amp;C1713</f>
        <v>32.86316618;47.271547;26.0258714105823</v>
      </c>
      <c r="M1713" s="6" t="n">
        <f aca="false">IF(COUNTIF($L$2:$L$2201,L1713)&gt;1,1,0)</f>
        <v>0</v>
      </c>
      <c r="N1713" s="6" t="str">
        <f aca="false">IF(AND(C1713&lt;Assumptions!$B$9,B1713&lt;Assumptions!$B$10),"Irrigate Now",IF(AND(C1713&gt;=Assumptions!$B$11,B1713&gt;=Assumptions!$B$12),"No Irrigation Needed","Monitor"))</f>
        <v>Monitor</v>
      </c>
      <c r="O1713" s="6" t="n">
        <f aca="false">IF(N1713=G1713,1,0)</f>
        <v>1</v>
      </c>
    </row>
    <row r="1714" customFormat="false" ht="15" hidden="false" customHeight="false" outlineLevel="0" collapsed="false">
      <c r="A1714" s="16" t="n">
        <v>29.80744318</v>
      </c>
      <c r="B1714" s="16" t="n">
        <v>232.7046126</v>
      </c>
      <c r="C1714" s="16" t="n">
        <v>11.758750963343</v>
      </c>
      <c r="D1714" s="6" t="s">
        <v>57</v>
      </c>
      <c r="E1714" s="6" t="s">
        <v>24</v>
      </c>
      <c r="F1714" s="6" t="s">
        <v>60</v>
      </c>
      <c r="G1714" s="6" t="s">
        <v>61</v>
      </c>
      <c r="H1714" s="6" t="s">
        <v>62</v>
      </c>
      <c r="I1714" s="6" t="str">
        <f aca="false">IF(A1714&lt;Outliers!$E$6,"Low",IF(A1714&gt;Outliers!$F$6,"High",""))</f>
        <v/>
      </c>
      <c r="J1714" s="6" t="str">
        <f aca="false">IF(B1714&lt;Outliers!$E$7,"Low",IF(B1714&gt;Outliers!$F$7,"High",""))</f>
        <v>High</v>
      </c>
      <c r="K1714" s="6" t="str">
        <f aca="false">IF(C1714&lt;Outliers!$E$8,"Low",IF(C1714&gt;Outliers!$F$8,"High",""))</f>
        <v/>
      </c>
      <c r="L1714" s="6" t="str">
        <f aca="false">A1714&amp;";"&amp;B1714&amp;";"&amp;C1714</f>
        <v>29.80744318;232.7046126;11.758750963343</v>
      </c>
      <c r="M1714" s="6" t="n">
        <f aca="false">IF(COUNTIF($L$2:$L$2201,L1714)&gt;1,1,0)</f>
        <v>0</v>
      </c>
      <c r="N1714" s="6" t="str">
        <f aca="false">IF(AND(C1714&lt;Assumptions!$B$9,B1714&lt;Assumptions!$B$10),"Irrigate Now",IF(AND(C1714&gt;=Assumptions!$B$11,B1714&gt;=Assumptions!$B$12),"No Irrigation Needed","Monitor"))</f>
        <v>Monitor</v>
      </c>
      <c r="O1714" s="6" t="n">
        <f aca="false">IF(N1714=G1714,1,0)</f>
        <v>1</v>
      </c>
    </row>
    <row r="1715" customFormat="false" ht="15" hidden="false" customHeight="false" outlineLevel="0" collapsed="false">
      <c r="A1715" s="16" t="n">
        <v>31.56213762</v>
      </c>
      <c r="B1715" s="16" t="n">
        <v>63.62250788</v>
      </c>
      <c r="C1715" s="16" t="n">
        <v>13.0769118095011</v>
      </c>
      <c r="D1715" s="6" t="s">
        <v>67</v>
      </c>
      <c r="E1715" s="6" t="s">
        <v>57</v>
      </c>
      <c r="F1715" s="6" t="s">
        <v>24</v>
      </c>
      <c r="G1715" s="6" t="s">
        <v>64</v>
      </c>
      <c r="H1715" s="6" t="s">
        <v>65</v>
      </c>
      <c r="I1715" s="6" t="str">
        <f aca="false">IF(A1715&lt;Outliers!$E$6,"Low",IF(A1715&gt;Outliers!$F$6,"High",""))</f>
        <v/>
      </c>
      <c r="J1715" s="6" t="str">
        <f aca="false">IF(B1715&lt;Outliers!$E$7,"Low",IF(B1715&gt;Outliers!$F$7,"High",""))</f>
        <v/>
      </c>
      <c r="K1715" s="6" t="str">
        <f aca="false">IF(C1715&lt;Outliers!$E$8,"Low",IF(C1715&gt;Outliers!$F$8,"High",""))</f>
        <v/>
      </c>
      <c r="L1715" s="6" t="str">
        <f aca="false">A1715&amp;";"&amp;B1715&amp;";"&amp;C1715</f>
        <v>31.56213762;63.62250788;13.0769118095011</v>
      </c>
      <c r="M1715" s="6" t="n">
        <f aca="false">IF(COUNTIF($L$2:$L$2201,L1715)&gt;1,1,0)</f>
        <v>0</v>
      </c>
      <c r="N1715" s="6" t="str">
        <f aca="false">IF(AND(C1715&lt;Assumptions!$B$9,B1715&lt;Assumptions!$B$10),"Irrigate Now",IF(AND(C1715&gt;=Assumptions!$B$11,B1715&gt;=Assumptions!$B$12),"No Irrigation Needed","Monitor"))</f>
        <v>Irrigate Now</v>
      </c>
      <c r="O1715" s="6" t="n">
        <f aca="false">IF(N1715=G1715,1,0)</f>
        <v>1</v>
      </c>
    </row>
    <row r="1716" customFormat="false" ht="15" hidden="false" customHeight="false" outlineLevel="0" collapsed="false">
      <c r="A1716" s="16" t="n">
        <v>36.32268069</v>
      </c>
      <c r="B1716" s="16" t="n">
        <v>141.1736926</v>
      </c>
      <c r="C1716" s="16" t="n">
        <v>27.5992434999125</v>
      </c>
      <c r="D1716" s="6" t="s">
        <v>67</v>
      </c>
      <c r="E1716" s="6" t="s">
        <v>57</v>
      </c>
      <c r="F1716" s="6" t="s">
        <v>23</v>
      </c>
      <c r="G1716" s="6" t="s">
        <v>58</v>
      </c>
      <c r="H1716" s="6" t="s">
        <v>59</v>
      </c>
      <c r="I1716" s="6" t="str">
        <f aca="false">IF(A1716&lt;Outliers!$E$6,"Low",IF(A1716&gt;Outliers!$F$6,"High",""))</f>
        <v/>
      </c>
      <c r="J1716" s="6" t="str">
        <f aca="false">IF(B1716&lt;Outliers!$E$7,"Low",IF(B1716&gt;Outliers!$F$7,"High",""))</f>
        <v/>
      </c>
      <c r="K1716" s="6" t="str">
        <f aca="false">IF(C1716&lt;Outliers!$E$8,"Low",IF(C1716&gt;Outliers!$F$8,"High",""))</f>
        <v/>
      </c>
      <c r="L1716" s="6" t="str">
        <f aca="false">A1716&amp;";"&amp;B1716&amp;";"&amp;C1716</f>
        <v>36.32268069;141.1736926;27.5992434999125</v>
      </c>
      <c r="M1716" s="6" t="n">
        <f aca="false">IF(COUNTIF($L$2:$L$2201,L1716)&gt;1,1,0)</f>
        <v>0</v>
      </c>
      <c r="N1716" s="6" t="str">
        <f aca="false">IF(AND(C1716&lt;Assumptions!$B$9,B1716&lt;Assumptions!$B$10),"Irrigate Now",IF(AND(C1716&gt;=Assumptions!$B$11,B1716&gt;=Assumptions!$B$12),"No Irrigation Needed","Monitor"))</f>
        <v>No Irrigation Needed</v>
      </c>
      <c r="O1716" s="6" t="n">
        <f aca="false">IF(N1716=G1716,1,0)</f>
        <v>1</v>
      </c>
    </row>
    <row r="1717" customFormat="false" ht="15" hidden="false" customHeight="false" outlineLevel="0" collapsed="false">
      <c r="A1717" s="16" t="n">
        <v>37.13165026</v>
      </c>
      <c r="B1717" s="16" t="n">
        <v>172.4788062</v>
      </c>
      <c r="C1717" s="16" t="n">
        <v>21.4727092882721</v>
      </c>
      <c r="D1717" s="6" t="s">
        <v>67</v>
      </c>
      <c r="E1717" s="6" t="s">
        <v>24</v>
      </c>
      <c r="F1717" s="6" t="s">
        <v>23</v>
      </c>
      <c r="G1717" s="6" t="s">
        <v>61</v>
      </c>
      <c r="H1717" s="6" t="s">
        <v>68</v>
      </c>
      <c r="I1717" s="6" t="str">
        <f aca="false">IF(A1717&lt;Outliers!$E$6,"Low",IF(A1717&gt;Outliers!$F$6,"High",""))</f>
        <v/>
      </c>
      <c r="J1717" s="6" t="str">
        <f aca="false">IF(B1717&lt;Outliers!$E$7,"Low",IF(B1717&gt;Outliers!$F$7,"High",""))</f>
        <v/>
      </c>
      <c r="K1717" s="6" t="str">
        <f aca="false">IF(C1717&lt;Outliers!$E$8,"Low",IF(C1717&gt;Outliers!$F$8,"High",""))</f>
        <v/>
      </c>
      <c r="L1717" s="6" t="str">
        <f aca="false">A1717&amp;";"&amp;B1717&amp;";"&amp;C1717</f>
        <v>37.13165026;172.4788062;21.4727092882721</v>
      </c>
      <c r="M1717" s="6" t="n">
        <f aca="false">IF(COUNTIF($L$2:$L$2201,L1717)&gt;1,1,0)</f>
        <v>0</v>
      </c>
      <c r="N1717" s="6" t="str">
        <f aca="false">IF(AND(C1717&lt;Assumptions!$B$9,B1717&lt;Assumptions!$B$10),"Irrigate Now",IF(AND(C1717&gt;=Assumptions!$B$11,B1717&gt;=Assumptions!$B$12),"No Irrigation Needed","Monitor"))</f>
        <v>Monitor</v>
      </c>
      <c r="O1717" s="6" t="n">
        <f aca="false">IF(N1717=G1717,1,0)</f>
        <v>1</v>
      </c>
    </row>
    <row r="1718" customFormat="false" ht="15" hidden="false" customHeight="false" outlineLevel="0" collapsed="false">
      <c r="A1718" s="16" t="n">
        <v>38.4418717</v>
      </c>
      <c r="B1718" s="16" t="n">
        <v>77.71566883</v>
      </c>
      <c r="C1718" s="16" t="n">
        <v>22.713438687696</v>
      </c>
      <c r="D1718" s="6" t="s">
        <v>67</v>
      </c>
      <c r="E1718" s="6" t="s">
        <v>57</v>
      </c>
      <c r="F1718" s="6" t="s">
        <v>60</v>
      </c>
      <c r="G1718" s="6" t="s">
        <v>61</v>
      </c>
      <c r="H1718" s="6" t="s">
        <v>63</v>
      </c>
      <c r="I1718" s="6" t="str">
        <f aca="false">IF(A1718&lt;Outliers!$E$6,"Low",IF(A1718&gt;Outliers!$F$6,"High",""))</f>
        <v>High</v>
      </c>
      <c r="J1718" s="6" t="str">
        <f aca="false">IF(B1718&lt;Outliers!$E$7,"Low",IF(B1718&gt;Outliers!$F$7,"High",""))</f>
        <v/>
      </c>
      <c r="K1718" s="6" t="str">
        <f aca="false">IF(C1718&lt;Outliers!$E$8,"Low",IF(C1718&gt;Outliers!$F$8,"High",""))</f>
        <v/>
      </c>
      <c r="L1718" s="6" t="str">
        <f aca="false">A1718&amp;";"&amp;B1718&amp;";"&amp;C1718</f>
        <v>38.4418717;77.71566883;22.713438687696</v>
      </c>
      <c r="M1718" s="6" t="n">
        <f aca="false">IF(COUNTIF($L$2:$L$2201,L1718)&gt;1,1,0)</f>
        <v>0</v>
      </c>
      <c r="N1718" s="6" t="str">
        <f aca="false">IF(AND(C1718&lt;Assumptions!$B$9,B1718&lt;Assumptions!$B$10),"Irrigate Now",IF(AND(C1718&gt;=Assumptions!$B$11,B1718&gt;=Assumptions!$B$12),"No Irrigation Needed","Monitor"))</f>
        <v>Monitor</v>
      </c>
      <c r="O1718" s="6" t="n">
        <f aca="false">IF(N1718=G1718,1,0)</f>
        <v>1</v>
      </c>
    </row>
    <row r="1719" customFormat="false" ht="15" hidden="false" customHeight="false" outlineLevel="0" collapsed="false">
      <c r="A1719" s="16" t="n">
        <v>32.66160599</v>
      </c>
      <c r="B1719" s="16" t="n">
        <v>78.85085502</v>
      </c>
      <c r="C1719" s="16" t="n">
        <v>25.4436790766497</v>
      </c>
      <c r="D1719" s="6" t="s">
        <v>67</v>
      </c>
      <c r="E1719" s="6" t="s">
        <v>57</v>
      </c>
      <c r="F1719" s="6" t="s">
        <v>23</v>
      </c>
      <c r="G1719" s="6" t="s">
        <v>61</v>
      </c>
      <c r="H1719" s="6" t="s">
        <v>63</v>
      </c>
      <c r="I1719" s="6" t="str">
        <f aca="false">IF(A1719&lt;Outliers!$E$6,"Low",IF(A1719&gt;Outliers!$F$6,"High",""))</f>
        <v/>
      </c>
      <c r="J1719" s="6" t="str">
        <f aca="false">IF(B1719&lt;Outliers!$E$7,"Low",IF(B1719&gt;Outliers!$F$7,"High",""))</f>
        <v/>
      </c>
      <c r="K1719" s="6" t="str">
        <f aca="false">IF(C1719&lt;Outliers!$E$8,"Low",IF(C1719&gt;Outliers!$F$8,"High",""))</f>
        <v/>
      </c>
      <c r="L1719" s="6" t="str">
        <f aca="false">A1719&amp;";"&amp;B1719&amp;";"&amp;C1719</f>
        <v>32.66160599;78.85085502;25.4436790766497</v>
      </c>
      <c r="M1719" s="6" t="n">
        <f aca="false">IF(COUNTIF($L$2:$L$2201,L1719)&gt;1,1,0)</f>
        <v>0</v>
      </c>
      <c r="N1719" s="6" t="str">
        <f aca="false">IF(AND(C1719&lt;Assumptions!$B$9,B1719&lt;Assumptions!$B$10),"Irrigate Now",IF(AND(C1719&gt;=Assumptions!$B$11,B1719&gt;=Assumptions!$B$12),"No Irrigation Needed","Monitor"))</f>
        <v>Monitor</v>
      </c>
      <c r="O1719" s="6" t="n">
        <f aca="false">IF(N1719=G1719,1,0)</f>
        <v>1</v>
      </c>
    </row>
    <row r="1720" customFormat="false" ht="15" hidden="false" customHeight="false" outlineLevel="0" collapsed="false">
      <c r="A1720" s="16" t="n">
        <v>27.92765919</v>
      </c>
      <c r="B1720" s="16" t="n">
        <v>149.9107557</v>
      </c>
      <c r="C1720" s="16" t="n">
        <v>14.2809818708901</v>
      </c>
      <c r="D1720" s="6" t="s">
        <v>57</v>
      </c>
      <c r="E1720" s="6" t="s">
        <v>57</v>
      </c>
      <c r="F1720" s="6" t="s">
        <v>24</v>
      </c>
      <c r="G1720" s="6" t="s">
        <v>61</v>
      </c>
      <c r="H1720" s="6" t="s">
        <v>63</v>
      </c>
      <c r="I1720" s="6" t="str">
        <f aca="false">IF(A1720&lt;Outliers!$E$6,"Low",IF(A1720&gt;Outliers!$F$6,"High",""))</f>
        <v/>
      </c>
      <c r="J1720" s="6" t="str">
        <f aca="false">IF(B1720&lt;Outliers!$E$7,"Low",IF(B1720&gt;Outliers!$F$7,"High",""))</f>
        <v/>
      </c>
      <c r="K1720" s="6" t="str">
        <f aca="false">IF(C1720&lt;Outliers!$E$8,"Low",IF(C1720&gt;Outliers!$F$8,"High",""))</f>
        <v/>
      </c>
      <c r="L1720" s="6" t="str">
        <f aca="false">A1720&amp;";"&amp;B1720&amp;";"&amp;C1720</f>
        <v>27.92765919;149.9107557;14.2809818708901</v>
      </c>
      <c r="M1720" s="6" t="n">
        <f aca="false">IF(COUNTIF($L$2:$L$2201,L1720)&gt;1,1,0)</f>
        <v>0</v>
      </c>
      <c r="N1720" s="6" t="str">
        <f aca="false">IF(AND(C1720&lt;Assumptions!$B$9,B1720&lt;Assumptions!$B$10),"Irrigate Now",IF(AND(C1720&gt;=Assumptions!$B$11,B1720&gt;=Assumptions!$B$12),"No Irrigation Needed","Monitor"))</f>
        <v>Monitor</v>
      </c>
      <c r="O1720" s="6" t="n">
        <f aca="false">IF(N1720=G1720,1,0)</f>
        <v>1</v>
      </c>
    </row>
    <row r="1721" customFormat="false" ht="15" hidden="false" customHeight="false" outlineLevel="0" collapsed="false">
      <c r="A1721" s="16" t="n">
        <v>39.01793345</v>
      </c>
      <c r="B1721" s="16" t="n">
        <v>105.8841531</v>
      </c>
      <c r="C1721" s="16" t="n">
        <v>21.4009039585369</v>
      </c>
      <c r="D1721" s="6" t="s">
        <v>67</v>
      </c>
      <c r="E1721" s="6" t="s">
        <v>57</v>
      </c>
      <c r="F1721" s="6" t="s">
        <v>60</v>
      </c>
      <c r="G1721" s="6" t="s">
        <v>61</v>
      </c>
      <c r="H1721" s="6" t="s">
        <v>68</v>
      </c>
      <c r="I1721" s="6" t="str">
        <f aca="false">IF(A1721&lt;Outliers!$E$6,"Low",IF(A1721&gt;Outliers!$F$6,"High",""))</f>
        <v>High</v>
      </c>
      <c r="J1721" s="6" t="str">
        <f aca="false">IF(B1721&lt;Outliers!$E$7,"Low",IF(B1721&gt;Outliers!$F$7,"High",""))</f>
        <v/>
      </c>
      <c r="K1721" s="6" t="str">
        <f aca="false">IF(C1721&lt;Outliers!$E$8,"Low",IF(C1721&gt;Outliers!$F$8,"High",""))</f>
        <v/>
      </c>
      <c r="L1721" s="6" t="str">
        <f aca="false">A1721&amp;";"&amp;B1721&amp;";"&amp;C1721</f>
        <v>39.01793345;105.8841531;21.4009039585369</v>
      </c>
      <c r="M1721" s="6" t="n">
        <f aca="false">IF(COUNTIF($L$2:$L$2201,L1721)&gt;1,1,0)</f>
        <v>0</v>
      </c>
      <c r="N1721" s="6" t="str">
        <f aca="false">IF(AND(C1721&lt;Assumptions!$B$9,B1721&lt;Assumptions!$B$10),"Irrigate Now",IF(AND(C1721&gt;=Assumptions!$B$11,B1721&gt;=Assumptions!$B$12),"No Irrigation Needed","Monitor"))</f>
        <v>Monitor</v>
      </c>
      <c r="O1721" s="6" t="n">
        <f aca="false">IF(N1721=G1721,1,0)</f>
        <v>1</v>
      </c>
    </row>
    <row r="1722" customFormat="false" ht="15" hidden="false" customHeight="false" outlineLevel="0" collapsed="false">
      <c r="A1722" s="16" t="n">
        <v>32.51247398</v>
      </c>
      <c r="B1722" s="16" t="n">
        <v>51.07048113</v>
      </c>
      <c r="C1722" s="16" t="n">
        <v>27.5168078253577</v>
      </c>
      <c r="D1722" s="6" t="s">
        <v>67</v>
      </c>
      <c r="E1722" s="6" t="s">
        <v>57</v>
      </c>
      <c r="F1722" s="6" t="s">
        <v>23</v>
      </c>
      <c r="G1722" s="6" t="s">
        <v>61</v>
      </c>
      <c r="H1722" s="6" t="s">
        <v>63</v>
      </c>
      <c r="I1722" s="6" t="str">
        <f aca="false">IF(A1722&lt;Outliers!$E$6,"Low",IF(A1722&gt;Outliers!$F$6,"High",""))</f>
        <v/>
      </c>
      <c r="J1722" s="6" t="str">
        <f aca="false">IF(B1722&lt;Outliers!$E$7,"Low",IF(B1722&gt;Outliers!$F$7,"High",""))</f>
        <v/>
      </c>
      <c r="K1722" s="6" t="str">
        <f aca="false">IF(C1722&lt;Outliers!$E$8,"Low",IF(C1722&gt;Outliers!$F$8,"High",""))</f>
        <v/>
      </c>
      <c r="L1722" s="6" t="str">
        <f aca="false">A1722&amp;";"&amp;B1722&amp;";"&amp;C1722</f>
        <v>32.51247398;51.07048113;27.5168078253577</v>
      </c>
      <c r="M1722" s="6" t="n">
        <f aca="false">IF(COUNTIF($L$2:$L$2201,L1722)&gt;1,1,0)</f>
        <v>0</v>
      </c>
      <c r="N1722" s="6" t="str">
        <f aca="false">IF(AND(C1722&lt;Assumptions!$B$9,B1722&lt;Assumptions!$B$10),"Irrigate Now",IF(AND(C1722&gt;=Assumptions!$B$11,B1722&gt;=Assumptions!$B$12),"No Irrigation Needed","Monitor"))</f>
        <v>Monitor</v>
      </c>
      <c r="O1722" s="6" t="n">
        <f aca="false">IF(N1722=G1722,1,0)</f>
        <v>1</v>
      </c>
    </row>
    <row r="1723" customFormat="false" ht="15" hidden="false" customHeight="false" outlineLevel="0" collapsed="false">
      <c r="A1723" s="16" t="n">
        <v>38.72382798</v>
      </c>
      <c r="B1723" s="16" t="n">
        <v>62.62377075</v>
      </c>
      <c r="C1723" s="16" t="n">
        <v>12.3202078642197</v>
      </c>
      <c r="D1723" s="6" t="s">
        <v>67</v>
      </c>
      <c r="E1723" s="6" t="s">
        <v>57</v>
      </c>
      <c r="F1723" s="6" t="s">
        <v>24</v>
      </c>
      <c r="G1723" s="6" t="s">
        <v>64</v>
      </c>
      <c r="H1723" s="6" t="s">
        <v>65</v>
      </c>
      <c r="I1723" s="6" t="str">
        <f aca="false">IF(A1723&lt;Outliers!$E$6,"Low",IF(A1723&gt;Outliers!$F$6,"High",""))</f>
        <v>High</v>
      </c>
      <c r="J1723" s="6" t="str">
        <f aca="false">IF(B1723&lt;Outliers!$E$7,"Low",IF(B1723&gt;Outliers!$F$7,"High",""))</f>
        <v/>
      </c>
      <c r="K1723" s="6" t="str">
        <f aca="false">IF(C1723&lt;Outliers!$E$8,"Low",IF(C1723&gt;Outliers!$F$8,"High",""))</f>
        <v/>
      </c>
      <c r="L1723" s="6" t="str">
        <f aca="false">A1723&amp;";"&amp;B1723&amp;";"&amp;C1723</f>
        <v>38.72382798;62.62377075;12.3202078642197</v>
      </c>
      <c r="M1723" s="6" t="n">
        <f aca="false">IF(COUNTIF($L$2:$L$2201,L1723)&gt;1,1,0)</f>
        <v>0</v>
      </c>
      <c r="N1723" s="6" t="str">
        <f aca="false">IF(AND(C1723&lt;Assumptions!$B$9,B1723&lt;Assumptions!$B$10),"Irrigate Now",IF(AND(C1723&gt;=Assumptions!$B$11,B1723&gt;=Assumptions!$B$12),"No Irrigation Needed","Monitor"))</f>
        <v>Irrigate Now</v>
      </c>
      <c r="O1723" s="6" t="n">
        <f aca="false">IF(N1723=G1723,1,0)</f>
        <v>1</v>
      </c>
    </row>
    <row r="1724" customFormat="false" ht="15" hidden="false" customHeight="false" outlineLevel="0" collapsed="false">
      <c r="A1724" s="16" t="n">
        <v>43.30204933</v>
      </c>
      <c r="B1724" s="16" t="n">
        <v>110.562229</v>
      </c>
      <c r="C1724" s="16" t="n">
        <v>15.6720191502186</v>
      </c>
      <c r="D1724" s="6" t="s">
        <v>67</v>
      </c>
      <c r="E1724" s="6" t="s">
        <v>57</v>
      </c>
      <c r="F1724" s="6" t="s">
        <v>24</v>
      </c>
      <c r="G1724" s="6" t="s">
        <v>61</v>
      </c>
      <c r="H1724" s="6" t="s">
        <v>68</v>
      </c>
      <c r="I1724" s="6" t="str">
        <f aca="false">IF(A1724&lt;Outliers!$E$6,"Low",IF(A1724&gt;Outliers!$F$6,"High",""))</f>
        <v>High</v>
      </c>
      <c r="J1724" s="6" t="str">
        <f aca="false">IF(B1724&lt;Outliers!$E$7,"Low",IF(B1724&gt;Outliers!$F$7,"High",""))</f>
        <v/>
      </c>
      <c r="K1724" s="6" t="str">
        <f aca="false">IF(C1724&lt;Outliers!$E$8,"Low",IF(C1724&gt;Outliers!$F$8,"High",""))</f>
        <v/>
      </c>
      <c r="L1724" s="6" t="str">
        <f aca="false">A1724&amp;";"&amp;B1724&amp;";"&amp;C1724</f>
        <v>43.30204933;110.562229;15.6720191502186</v>
      </c>
      <c r="M1724" s="6" t="n">
        <f aca="false">IF(COUNTIF($L$2:$L$2201,L1724)&gt;1,1,0)</f>
        <v>0</v>
      </c>
      <c r="N1724" s="6" t="str">
        <f aca="false">IF(AND(C1724&lt;Assumptions!$B$9,B1724&lt;Assumptions!$B$10),"Irrigate Now",IF(AND(C1724&gt;=Assumptions!$B$11,B1724&gt;=Assumptions!$B$12),"No Irrigation Needed","Monitor"))</f>
        <v>Monitor</v>
      </c>
      <c r="O1724" s="6" t="n">
        <f aca="false">IF(N1724=G1724,1,0)</f>
        <v>1</v>
      </c>
    </row>
    <row r="1725" customFormat="false" ht="15" hidden="false" customHeight="false" outlineLevel="0" collapsed="false">
      <c r="A1725" s="16" t="n">
        <v>27.58548913</v>
      </c>
      <c r="B1725" s="16" t="n">
        <v>238.5008779</v>
      </c>
      <c r="C1725" s="16" t="n">
        <v>26.4724150852206</v>
      </c>
      <c r="D1725" s="6" t="s">
        <v>57</v>
      </c>
      <c r="E1725" s="6" t="s">
        <v>24</v>
      </c>
      <c r="F1725" s="6" t="s">
        <v>23</v>
      </c>
      <c r="G1725" s="6" t="s">
        <v>58</v>
      </c>
      <c r="H1725" s="6" t="s">
        <v>59</v>
      </c>
      <c r="I1725" s="6" t="str">
        <f aca="false">IF(A1725&lt;Outliers!$E$6,"Low",IF(A1725&gt;Outliers!$F$6,"High",""))</f>
        <v/>
      </c>
      <c r="J1725" s="6" t="str">
        <f aca="false">IF(B1725&lt;Outliers!$E$7,"Low",IF(B1725&gt;Outliers!$F$7,"High",""))</f>
        <v>High</v>
      </c>
      <c r="K1725" s="6" t="str">
        <f aca="false">IF(C1725&lt;Outliers!$E$8,"Low",IF(C1725&gt;Outliers!$F$8,"High",""))</f>
        <v/>
      </c>
      <c r="L1725" s="6" t="str">
        <f aca="false">A1725&amp;";"&amp;B1725&amp;";"&amp;C1725</f>
        <v>27.58548913;238.5008779;26.4724150852206</v>
      </c>
      <c r="M1725" s="6" t="n">
        <f aca="false">IF(COUNTIF($L$2:$L$2201,L1725)&gt;1,1,0)</f>
        <v>0</v>
      </c>
      <c r="N1725" s="6" t="str">
        <f aca="false">IF(AND(C1725&lt;Assumptions!$B$9,B1725&lt;Assumptions!$B$10),"Irrigate Now",IF(AND(C1725&gt;=Assumptions!$B$11,B1725&gt;=Assumptions!$B$12),"No Irrigation Needed","Monitor"))</f>
        <v>No Irrigation Needed</v>
      </c>
      <c r="O1725" s="6" t="n">
        <f aca="false">IF(N1725=G1725,1,0)</f>
        <v>1</v>
      </c>
    </row>
    <row r="1726" customFormat="false" ht="15" hidden="false" customHeight="false" outlineLevel="0" collapsed="false">
      <c r="A1726" s="16" t="n">
        <v>40.78881819</v>
      </c>
      <c r="B1726" s="16" t="n">
        <v>132.7923586</v>
      </c>
      <c r="C1726" s="16" t="n">
        <v>28.2567042529291</v>
      </c>
      <c r="D1726" s="6" t="s">
        <v>67</v>
      </c>
      <c r="E1726" s="6" t="s">
        <v>57</v>
      </c>
      <c r="F1726" s="6" t="s">
        <v>23</v>
      </c>
      <c r="G1726" s="6" t="s">
        <v>58</v>
      </c>
      <c r="H1726" s="6" t="s">
        <v>59</v>
      </c>
      <c r="I1726" s="6" t="str">
        <f aca="false">IF(A1726&lt;Outliers!$E$6,"Low",IF(A1726&gt;Outliers!$F$6,"High",""))</f>
        <v>High</v>
      </c>
      <c r="J1726" s="6" t="str">
        <f aca="false">IF(B1726&lt;Outliers!$E$7,"Low",IF(B1726&gt;Outliers!$F$7,"High",""))</f>
        <v/>
      </c>
      <c r="K1726" s="6" t="str">
        <f aca="false">IF(C1726&lt;Outliers!$E$8,"Low",IF(C1726&gt;Outliers!$F$8,"High",""))</f>
        <v/>
      </c>
      <c r="L1726" s="6" t="str">
        <f aca="false">A1726&amp;";"&amp;B1726&amp;";"&amp;C1726</f>
        <v>40.78881819;132.7923586;28.2567042529291</v>
      </c>
      <c r="M1726" s="6" t="n">
        <f aca="false">IF(COUNTIF($L$2:$L$2201,L1726)&gt;1,1,0)</f>
        <v>0</v>
      </c>
      <c r="N1726" s="6" t="str">
        <f aca="false">IF(AND(C1726&lt;Assumptions!$B$9,B1726&lt;Assumptions!$B$10),"Irrigate Now",IF(AND(C1726&gt;=Assumptions!$B$11,B1726&gt;=Assumptions!$B$12),"No Irrigation Needed","Monitor"))</f>
        <v>No Irrigation Needed</v>
      </c>
      <c r="O1726" s="6" t="n">
        <f aca="false">IF(N1726=G1726,1,0)</f>
        <v>1</v>
      </c>
    </row>
    <row r="1727" customFormat="false" ht="15" hidden="false" customHeight="false" outlineLevel="0" collapsed="false">
      <c r="A1727" s="16" t="n">
        <v>23.19451074</v>
      </c>
      <c r="B1727" s="16" t="n">
        <v>206.3999208</v>
      </c>
      <c r="C1727" s="16" t="n">
        <v>20.6069431905082</v>
      </c>
      <c r="D1727" s="6" t="s">
        <v>57</v>
      </c>
      <c r="E1727" s="6" t="s">
        <v>24</v>
      </c>
      <c r="F1727" s="6" t="s">
        <v>23</v>
      </c>
      <c r="G1727" s="6" t="s">
        <v>61</v>
      </c>
      <c r="H1727" s="6" t="s">
        <v>62</v>
      </c>
      <c r="I1727" s="6" t="str">
        <f aca="false">IF(A1727&lt;Outliers!$E$6,"Low",IF(A1727&gt;Outliers!$F$6,"High",""))</f>
        <v/>
      </c>
      <c r="J1727" s="6" t="str">
        <f aca="false">IF(B1727&lt;Outliers!$E$7,"Low",IF(B1727&gt;Outliers!$F$7,"High",""))</f>
        <v/>
      </c>
      <c r="K1727" s="6" t="str">
        <f aca="false">IF(C1727&lt;Outliers!$E$8,"Low",IF(C1727&gt;Outliers!$F$8,"High",""))</f>
        <v/>
      </c>
      <c r="L1727" s="6" t="str">
        <f aca="false">A1727&amp;";"&amp;B1727&amp;";"&amp;C1727</f>
        <v>23.19451074;206.3999208;20.6069431905082</v>
      </c>
      <c r="M1727" s="6" t="n">
        <f aca="false">IF(COUNTIF($L$2:$L$2201,L1727)&gt;1,1,0)</f>
        <v>0</v>
      </c>
      <c r="N1727" s="6" t="str">
        <f aca="false">IF(AND(C1727&lt;Assumptions!$B$9,B1727&lt;Assumptions!$B$10),"Irrigate Now",IF(AND(C1727&gt;=Assumptions!$B$11,B1727&gt;=Assumptions!$B$12),"No Irrigation Needed","Monitor"))</f>
        <v>Monitor</v>
      </c>
      <c r="O1727" s="6" t="n">
        <f aca="false">IF(N1727=G1727,1,0)</f>
        <v>1</v>
      </c>
    </row>
    <row r="1728" customFormat="false" ht="15" hidden="false" customHeight="false" outlineLevel="0" collapsed="false">
      <c r="A1728" s="16" t="n">
        <v>32.68067385</v>
      </c>
      <c r="B1728" s="16" t="n">
        <v>248.8592986</v>
      </c>
      <c r="C1728" s="16" t="n">
        <v>10.2195042848142</v>
      </c>
      <c r="D1728" s="6" t="s">
        <v>67</v>
      </c>
      <c r="E1728" s="6" t="s">
        <v>24</v>
      </c>
      <c r="F1728" s="6" t="s">
        <v>60</v>
      </c>
      <c r="G1728" s="6" t="s">
        <v>61</v>
      </c>
      <c r="H1728" s="6" t="s">
        <v>68</v>
      </c>
      <c r="I1728" s="6" t="str">
        <f aca="false">IF(A1728&lt;Outliers!$E$6,"Low",IF(A1728&gt;Outliers!$F$6,"High",""))</f>
        <v/>
      </c>
      <c r="J1728" s="6" t="str">
        <f aca="false">IF(B1728&lt;Outliers!$E$7,"Low",IF(B1728&gt;Outliers!$F$7,"High",""))</f>
        <v>High</v>
      </c>
      <c r="K1728" s="6" t="str">
        <f aca="false">IF(C1728&lt;Outliers!$E$8,"Low",IF(C1728&gt;Outliers!$F$8,"High",""))</f>
        <v/>
      </c>
      <c r="L1728" s="6" t="str">
        <f aca="false">A1728&amp;";"&amp;B1728&amp;";"&amp;C1728</f>
        <v>32.68067385;248.8592986;10.2195042848142</v>
      </c>
      <c r="M1728" s="6" t="n">
        <f aca="false">IF(COUNTIF($L$2:$L$2201,L1728)&gt;1,1,0)</f>
        <v>0</v>
      </c>
      <c r="N1728" s="6" t="str">
        <f aca="false">IF(AND(C1728&lt;Assumptions!$B$9,B1728&lt;Assumptions!$B$10),"Irrigate Now",IF(AND(C1728&gt;=Assumptions!$B$11,B1728&gt;=Assumptions!$B$12),"No Irrigation Needed","Monitor"))</f>
        <v>Monitor</v>
      </c>
      <c r="O1728" s="6" t="n">
        <f aca="false">IF(N1728=G1728,1,0)</f>
        <v>1</v>
      </c>
    </row>
    <row r="1729" customFormat="false" ht="15" hidden="false" customHeight="false" outlineLevel="0" collapsed="false">
      <c r="A1729" s="16" t="n">
        <v>34.28879307</v>
      </c>
      <c r="B1729" s="16" t="n">
        <v>127.2509777</v>
      </c>
      <c r="C1729" s="16" t="n">
        <v>23.4221964131322</v>
      </c>
      <c r="D1729" s="6" t="s">
        <v>67</v>
      </c>
      <c r="E1729" s="6" t="s">
        <v>57</v>
      </c>
      <c r="F1729" s="6" t="s">
        <v>23</v>
      </c>
      <c r="G1729" s="6" t="s">
        <v>61</v>
      </c>
      <c r="H1729" s="6" t="s">
        <v>63</v>
      </c>
      <c r="I1729" s="6" t="str">
        <f aca="false">IF(A1729&lt;Outliers!$E$6,"Low",IF(A1729&gt;Outliers!$F$6,"High",""))</f>
        <v/>
      </c>
      <c r="J1729" s="6" t="str">
        <f aca="false">IF(B1729&lt;Outliers!$E$7,"Low",IF(B1729&gt;Outliers!$F$7,"High",""))</f>
        <v/>
      </c>
      <c r="K1729" s="6" t="str">
        <f aca="false">IF(C1729&lt;Outliers!$E$8,"Low",IF(C1729&gt;Outliers!$F$8,"High",""))</f>
        <v/>
      </c>
      <c r="L1729" s="6" t="str">
        <f aca="false">A1729&amp;";"&amp;B1729&amp;";"&amp;C1729</f>
        <v>34.28879307;127.2509777;23.4221964131322</v>
      </c>
      <c r="M1729" s="6" t="n">
        <f aca="false">IF(COUNTIF($L$2:$L$2201,L1729)&gt;1,1,0)</f>
        <v>0</v>
      </c>
      <c r="N1729" s="6" t="str">
        <f aca="false">IF(AND(C1729&lt;Assumptions!$B$9,B1729&lt;Assumptions!$B$10),"Irrigate Now",IF(AND(C1729&gt;=Assumptions!$B$11,B1729&gt;=Assumptions!$B$12),"No Irrigation Needed","Monitor"))</f>
        <v>Monitor</v>
      </c>
      <c r="O1729" s="6" t="n">
        <f aca="false">IF(N1729=G1729,1,0)</f>
        <v>1</v>
      </c>
    </row>
    <row r="1730" customFormat="false" ht="15" hidden="false" customHeight="false" outlineLevel="0" collapsed="false">
      <c r="A1730" s="16" t="n">
        <v>39.30050027</v>
      </c>
      <c r="B1730" s="16" t="n">
        <v>120.9512466</v>
      </c>
      <c r="C1730" s="16" t="n">
        <v>20.5976389357393</v>
      </c>
      <c r="D1730" s="6" t="s">
        <v>67</v>
      </c>
      <c r="E1730" s="6" t="s">
        <v>57</v>
      </c>
      <c r="F1730" s="6" t="s">
        <v>60</v>
      </c>
      <c r="G1730" s="6" t="s">
        <v>61</v>
      </c>
      <c r="H1730" s="6" t="s">
        <v>68</v>
      </c>
      <c r="I1730" s="6" t="str">
        <f aca="false">IF(A1730&lt;Outliers!$E$6,"Low",IF(A1730&gt;Outliers!$F$6,"High",""))</f>
        <v>High</v>
      </c>
      <c r="J1730" s="6" t="str">
        <f aca="false">IF(B1730&lt;Outliers!$E$7,"Low",IF(B1730&gt;Outliers!$F$7,"High",""))</f>
        <v/>
      </c>
      <c r="K1730" s="6" t="str">
        <f aca="false">IF(C1730&lt;Outliers!$E$8,"Low",IF(C1730&gt;Outliers!$F$8,"High",""))</f>
        <v/>
      </c>
      <c r="L1730" s="6" t="str">
        <f aca="false">A1730&amp;";"&amp;B1730&amp;";"&amp;C1730</f>
        <v>39.30050027;120.9512466;20.5976389357393</v>
      </c>
      <c r="M1730" s="6" t="n">
        <f aca="false">IF(COUNTIF($L$2:$L$2201,L1730)&gt;1,1,0)</f>
        <v>0</v>
      </c>
      <c r="N1730" s="6" t="str">
        <f aca="false">IF(AND(C1730&lt;Assumptions!$B$9,B1730&lt;Assumptions!$B$10),"Irrigate Now",IF(AND(C1730&gt;=Assumptions!$B$11,B1730&gt;=Assumptions!$B$12),"No Irrigation Needed","Monitor"))</f>
        <v>Monitor</v>
      </c>
      <c r="O1730" s="6" t="n">
        <f aca="false">IF(N1730=G1730,1,0)</f>
        <v>1</v>
      </c>
    </row>
    <row r="1731" customFormat="false" ht="15" hidden="false" customHeight="false" outlineLevel="0" collapsed="false">
      <c r="A1731" s="16" t="n">
        <v>39.73149053</v>
      </c>
      <c r="B1731" s="16" t="n">
        <v>122.7628653</v>
      </c>
      <c r="C1731" s="16" t="n">
        <v>17.2499990668508</v>
      </c>
      <c r="D1731" s="6" t="s">
        <v>67</v>
      </c>
      <c r="E1731" s="6" t="s">
        <v>57</v>
      </c>
      <c r="F1731" s="6" t="s">
        <v>60</v>
      </c>
      <c r="G1731" s="6" t="s">
        <v>61</v>
      </c>
      <c r="H1731" s="6" t="s">
        <v>68</v>
      </c>
      <c r="I1731" s="6" t="str">
        <f aca="false">IF(A1731&lt;Outliers!$E$6,"Low",IF(A1731&gt;Outliers!$F$6,"High",""))</f>
        <v>High</v>
      </c>
      <c r="J1731" s="6" t="str">
        <f aca="false">IF(B1731&lt;Outliers!$E$7,"Low",IF(B1731&gt;Outliers!$F$7,"High",""))</f>
        <v/>
      </c>
      <c r="K1731" s="6" t="str">
        <f aca="false">IF(C1731&lt;Outliers!$E$8,"Low",IF(C1731&gt;Outliers!$F$8,"High",""))</f>
        <v/>
      </c>
      <c r="L1731" s="6" t="str">
        <f aca="false">A1731&amp;";"&amp;B1731&amp;";"&amp;C1731</f>
        <v>39.73149053;122.7628653;17.2499990668508</v>
      </c>
      <c r="M1731" s="6" t="n">
        <f aca="false">IF(COUNTIF($L$2:$L$2201,L1731)&gt;1,1,0)</f>
        <v>0</v>
      </c>
      <c r="N1731" s="6" t="str">
        <f aca="false">IF(AND(C1731&lt;Assumptions!$B$9,B1731&lt;Assumptions!$B$10),"Irrigate Now",IF(AND(C1731&gt;=Assumptions!$B$11,B1731&gt;=Assumptions!$B$12),"No Irrigation Needed","Monitor"))</f>
        <v>Monitor</v>
      </c>
      <c r="O1731" s="6" t="n">
        <f aca="false">IF(N1731=G1731,1,0)</f>
        <v>1</v>
      </c>
    </row>
    <row r="1732" customFormat="false" ht="15" hidden="false" customHeight="false" outlineLevel="0" collapsed="false">
      <c r="A1732" s="16" t="n">
        <v>39.23342464</v>
      </c>
      <c r="B1732" s="16" t="n">
        <v>64.4478499</v>
      </c>
      <c r="C1732" s="16" t="n">
        <v>27.5666340621931</v>
      </c>
      <c r="D1732" s="6" t="s">
        <v>67</v>
      </c>
      <c r="E1732" s="6" t="s">
        <v>57</v>
      </c>
      <c r="F1732" s="6" t="s">
        <v>23</v>
      </c>
      <c r="G1732" s="6" t="s">
        <v>61</v>
      </c>
      <c r="H1732" s="6" t="s">
        <v>63</v>
      </c>
      <c r="I1732" s="6" t="str">
        <f aca="false">IF(A1732&lt;Outliers!$E$6,"Low",IF(A1732&gt;Outliers!$F$6,"High",""))</f>
        <v>High</v>
      </c>
      <c r="J1732" s="6" t="str">
        <f aca="false">IF(B1732&lt;Outliers!$E$7,"Low",IF(B1732&gt;Outliers!$F$7,"High",""))</f>
        <v/>
      </c>
      <c r="K1732" s="6" t="str">
        <f aca="false">IF(C1732&lt;Outliers!$E$8,"Low",IF(C1732&gt;Outliers!$F$8,"High",""))</f>
        <v/>
      </c>
      <c r="L1732" s="6" t="str">
        <f aca="false">A1732&amp;";"&amp;B1732&amp;";"&amp;C1732</f>
        <v>39.23342464;64.4478499;27.5666340621931</v>
      </c>
      <c r="M1732" s="6" t="n">
        <f aca="false">IF(COUNTIF($L$2:$L$2201,L1732)&gt;1,1,0)</f>
        <v>0</v>
      </c>
      <c r="N1732" s="6" t="str">
        <f aca="false">IF(AND(C1732&lt;Assumptions!$B$9,B1732&lt;Assumptions!$B$10),"Irrigate Now",IF(AND(C1732&gt;=Assumptions!$B$11,B1732&gt;=Assumptions!$B$12),"No Irrigation Needed","Monitor"))</f>
        <v>Monitor</v>
      </c>
      <c r="O1732" s="6" t="n">
        <f aca="false">IF(N1732=G1732,1,0)</f>
        <v>1</v>
      </c>
    </row>
    <row r="1733" customFormat="false" ht="15" hidden="false" customHeight="false" outlineLevel="0" collapsed="false">
      <c r="A1733" s="16" t="n">
        <v>27.34734861</v>
      </c>
      <c r="B1733" s="16" t="n">
        <v>40.35153141</v>
      </c>
      <c r="C1733" s="16" t="n">
        <v>27.5149560800196</v>
      </c>
      <c r="D1733" s="6" t="s">
        <v>57</v>
      </c>
      <c r="E1733" s="6" t="s">
        <v>23</v>
      </c>
      <c r="F1733" s="6" t="s">
        <v>23</v>
      </c>
      <c r="G1733" s="6" t="s">
        <v>61</v>
      </c>
      <c r="H1733" s="6" t="s">
        <v>63</v>
      </c>
      <c r="I1733" s="6" t="str">
        <f aca="false">IF(A1733&lt;Outliers!$E$6,"Low",IF(A1733&gt;Outliers!$F$6,"High",""))</f>
        <v/>
      </c>
      <c r="J1733" s="6" t="str">
        <f aca="false">IF(B1733&lt;Outliers!$E$7,"Low",IF(B1733&gt;Outliers!$F$7,"High",""))</f>
        <v/>
      </c>
      <c r="K1733" s="6" t="str">
        <f aca="false">IF(C1733&lt;Outliers!$E$8,"Low",IF(C1733&gt;Outliers!$F$8,"High",""))</f>
        <v/>
      </c>
      <c r="L1733" s="6" t="str">
        <f aca="false">A1733&amp;";"&amp;B1733&amp;";"&amp;C1733</f>
        <v>27.34734861;40.35153141;27.5149560800196</v>
      </c>
      <c r="M1733" s="6" t="n">
        <f aca="false">IF(COUNTIF($L$2:$L$2201,L1733)&gt;1,1,0)</f>
        <v>0</v>
      </c>
      <c r="N1733" s="6" t="str">
        <f aca="false">IF(AND(C1733&lt;Assumptions!$B$9,B1733&lt;Assumptions!$B$10),"Irrigate Now",IF(AND(C1733&gt;=Assumptions!$B$11,B1733&gt;=Assumptions!$B$12),"No Irrigation Needed","Monitor"))</f>
        <v>Monitor</v>
      </c>
      <c r="O1733" s="6" t="n">
        <f aca="false">IF(N1733=G1733,1,0)</f>
        <v>1</v>
      </c>
    </row>
    <row r="1734" customFormat="false" ht="15" hidden="false" customHeight="false" outlineLevel="0" collapsed="false">
      <c r="A1734" s="16" t="n">
        <v>40.76998685</v>
      </c>
      <c r="B1734" s="16" t="n">
        <v>209.8678411</v>
      </c>
      <c r="C1734" s="16" t="n">
        <v>26.1837223971315</v>
      </c>
      <c r="D1734" s="6" t="s">
        <v>67</v>
      </c>
      <c r="E1734" s="6" t="s">
        <v>24</v>
      </c>
      <c r="F1734" s="6" t="s">
        <v>23</v>
      </c>
      <c r="G1734" s="6" t="s">
        <v>58</v>
      </c>
      <c r="H1734" s="6" t="s">
        <v>59</v>
      </c>
      <c r="I1734" s="6" t="str">
        <f aca="false">IF(A1734&lt;Outliers!$E$6,"Low",IF(A1734&gt;Outliers!$F$6,"High",""))</f>
        <v>High</v>
      </c>
      <c r="J1734" s="6" t="str">
        <f aca="false">IF(B1734&lt;Outliers!$E$7,"Low",IF(B1734&gt;Outliers!$F$7,"High",""))</f>
        <v/>
      </c>
      <c r="K1734" s="6" t="str">
        <f aca="false">IF(C1734&lt;Outliers!$E$8,"Low",IF(C1734&gt;Outliers!$F$8,"High",""))</f>
        <v/>
      </c>
      <c r="L1734" s="6" t="str">
        <f aca="false">A1734&amp;";"&amp;B1734&amp;";"&amp;C1734</f>
        <v>40.76998685;209.8678411;26.1837223971315</v>
      </c>
      <c r="M1734" s="6" t="n">
        <f aca="false">IF(COUNTIF($L$2:$L$2201,L1734)&gt;1,1,0)</f>
        <v>0</v>
      </c>
      <c r="N1734" s="6" t="str">
        <f aca="false">IF(AND(C1734&lt;Assumptions!$B$9,B1734&lt;Assumptions!$B$10),"Irrigate Now",IF(AND(C1734&gt;=Assumptions!$B$11,B1734&gt;=Assumptions!$B$12),"No Irrigation Needed","Monitor"))</f>
        <v>No Irrigation Needed</v>
      </c>
      <c r="O1734" s="6" t="n">
        <f aca="false">IF(N1734=G1734,1,0)</f>
        <v>1</v>
      </c>
    </row>
    <row r="1735" customFormat="false" ht="15" hidden="false" customHeight="false" outlineLevel="0" collapsed="false">
      <c r="A1735" s="16" t="n">
        <v>26.26559543</v>
      </c>
      <c r="B1735" s="16" t="n">
        <v>59.49373381</v>
      </c>
      <c r="C1735" s="16" t="n">
        <v>20.2859761684366</v>
      </c>
      <c r="D1735" s="6" t="s">
        <v>57</v>
      </c>
      <c r="E1735" s="6" t="s">
        <v>57</v>
      </c>
      <c r="F1735" s="6" t="s">
        <v>60</v>
      </c>
      <c r="G1735" s="6" t="s">
        <v>61</v>
      </c>
      <c r="H1735" s="6" t="s">
        <v>63</v>
      </c>
      <c r="I1735" s="6" t="str">
        <f aca="false">IF(A1735&lt;Outliers!$E$6,"Low",IF(A1735&gt;Outliers!$F$6,"High",""))</f>
        <v/>
      </c>
      <c r="J1735" s="6" t="str">
        <f aca="false">IF(B1735&lt;Outliers!$E$7,"Low",IF(B1735&gt;Outliers!$F$7,"High",""))</f>
        <v/>
      </c>
      <c r="K1735" s="6" t="str">
        <f aca="false">IF(C1735&lt;Outliers!$E$8,"Low",IF(C1735&gt;Outliers!$F$8,"High",""))</f>
        <v/>
      </c>
      <c r="L1735" s="6" t="str">
        <f aca="false">A1735&amp;";"&amp;B1735&amp;";"&amp;C1735</f>
        <v>26.26559543;59.49373381;20.2859761684366</v>
      </c>
      <c r="M1735" s="6" t="n">
        <f aca="false">IF(COUNTIF($L$2:$L$2201,L1735)&gt;1,1,0)</f>
        <v>0</v>
      </c>
      <c r="N1735" s="6" t="str">
        <f aca="false">IF(AND(C1735&lt;Assumptions!$B$9,B1735&lt;Assumptions!$B$10),"Irrigate Now",IF(AND(C1735&gt;=Assumptions!$B$11,B1735&gt;=Assumptions!$B$12),"No Irrigation Needed","Monitor"))</f>
        <v>Monitor</v>
      </c>
      <c r="O1735" s="6" t="n">
        <f aca="false">IF(N1735=G1735,1,0)</f>
        <v>1</v>
      </c>
    </row>
    <row r="1736" customFormat="false" ht="15" hidden="false" customHeight="false" outlineLevel="0" collapsed="false">
      <c r="A1736" s="16" t="n">
        <v>28.12971499</v>
      </c>
      <c r="B1736" s="16" t="n">
        <v>117.8201907</v>
      </c>
      <c r="C1736" s="16" t="n">
        <v>20.130745125682</v>
      </c>
      <c r="D1736" s="6" t="s">
        <v>57</v>
      </c>
      <c r="E1736" s="6" t="s">
        <v>57</v>
      </c>
      <c r="F1736" s="6" t="s">
        <v>60</v>
      </c>
      <c r="G1736" s="6" t="s">
        <v>61</v>
      </c>
      <c r="H1736" s="6" t="s">
        <v>63</v>
      </c>
      <c r="I1736" s="6" t="str">
        <f aca="false">IF(A1736&lt;Outliers!$E$6,"Low",IF(A1736&gt;Outliers!$F$6,"High",""))</f>
        <v/>
      </c>
      <c r="J1736" s="6" t="str">
        <f aca="false">IF(B1736&lt;Outliers!$E$7,"Low",IF(B1736&gt;Outliers!$F$7,"High",""))</f>
        <v/>
      </c>
      <c r="K1736" s="6" t="str">
        <f aca="false">IF(C1736&lt;Outliers!$E$8,"Low",IF(C1736&gt;Outliers!$F$8,"High",""))</f>
        <v/>
      </c>
      <c r="L1736" s="6" t="str">
        <f aca="false">A1736&amp;";"&amp;B1736&amp;";"&amp;C1736</f>
        <v>28.12971499;117.8201907;20.130745125682</v>
      </c>
      <c r="M1736" s="6" t="n">
        <f aca="false">IF(COUNTIF($L$2:$L$2201,L1736)&gt;1,1,0)</f>
        <v>0</v>
      </c>
      <c r="N1736" s="6" t="str">
        <f aca="false">IF(AND(C1736&lt;Assumptions!$B$9,B1736&lt;Assumptions!$B$10),"Irrigate Now",IF(AND(C1736&gt;=Assumptions!$B$11,B1736&gt;=Assumptions!$B$12),"No Irrigation Needed","Monitor"))</f>
        <v>Monitor</v>
      </c>
      <c r="O1736" s="6" t="n">
        <f aca="false">IF(N1736=G1736,1,0)</f>
        <v>1</v>
      </c>
    </row>
    <row r="1737" customFormat="false" ht="15" hidden="false" customHeight="false" outlineLevel="0" collapsed="false">
      <c r="A1737" s="16" t="n">
        <v>34.2804607</v>
      </c>
      <c r="B1737" s="16" t="n">
        <v>98.54047745</v>
      </c>
      <c r="C1737" s="16" t="n">
        <v>12.8094030077759</v>
      </c>
      <c r="D1737" s="6" t="s">
        <v>67</v>
      </c>
      <c r="E1737" s="6" t="s">
        <v>57</v>
      </c>
      <c r="F1737" s="6" t="s">
        <v>24</v>
      </c>
      <c r="G1737" s="6" t="s">
        <v>64</v>
      </c>
      <c r="H1737" s="6" t="s">
        <v>65</v>
      </c>
      <c r="I1737" s="6" t="str">
        <f aca="false">IF(A1737&lt;Outliers!$E$6,"Low",IF(A1737&gt;Outliers!$F$6,"High",""))</f>
        <v/>
      </c>
      <c r="J1737" s="6" t="str">
        <f aca="false">IF(B1737&lt;Outliers!$E$7,"Low",IF(B1737&gt;Outliers!$F$7,"High",""))</f>
        <v/>
      </c>
      <c r="K1737" s="6" t="str">
        <f aca="false">IF(C1737&lt;Outliers!$E$8,"Low",IF(C1737&gt;Outliers!$F$8,"High",""))</f>
        <v/>
      </c>
      <c r="L1737" s="6" t="str">
        <f aca="false">A1737&amp;";"&amp;B1737&amp;";"&amp;C1737</f>
        <v>34.2804607;98.54047745;12.8094030077759</v>
      </c>
      <c r="M1737" s="6" t="n">
        <f aca="false">IF(COUNTIF($L$2:$L$2201,L1737)&gt;1,1,0)</f>
        <v>0</v>
      </c>
      <c r="N1737" s="6" t="str">
        <f aca="false">IF(AND(C1737&lt;Assumptions!$B$9,B1737&lt;Assumptions!$B$10),"Irrigate Now",IF(AND(C1737&gt;=Assumptions!$B$11,B1737&gt;=Assumptions!$B$12),"No Irrigation Needed","Monitor"))</f>
        <v>Irrigate Now</v>
      </c>
      <c r="O1737" s="6" t="n">
        <f aca="false">IF(N1737=G1737,1,0)</f>
        <v>1</v>
      </c>
    </row>
    <row r="1738" customFormat="false" ht="15" hidden="false" customHeight="false" outlineLevel="0" collapsed="false">
      <c r="A1738" s="16" t="n">
        <v>33.7960155</v>
      </c>
      <c r="B1738" s="16" t="n">
        <v>182.026807</v>
      </c>
      <c r="C1738" s="16" t="n">
        <v>22.9645714997298</v>
      </c>
      <c r="D1738" s="6" t="s">
        <v>67</v>
      </c>
      <c r="E1738" s="6" t="s">
        <v>24</v>
      </c>
      <c r="F1738" s="6" t="s">
        <v>23</v>
      </c>
      <c r="G1738" s="6" t="s">
        <v>61</v>
      </c>
      <c r="H1738" s="6" t="s">
        <v>62</v>
      </c>
      <c r="I1738" s="6" t="str">
        <f aca="false">IF(A1738&lt;Outliers!$E$6,"Low",IF(A1738&gt;Outliers!$F$6,"High",""))</f>
        <v/>
      </c>
      <c r="J1738" s="6" t="str">
        <f aca="false">IF(B1738&lt;Outliers!$E$7,"Low",IF(B1738&gt;Outliers!$F$7,"High",""))</f>
        <v/>
      </c>
      <c r="K1738" s="6" t="str">
        <f aca="false">IF(C1738&lt;Outliers!$E$8,"Low",IF(C1738&gt;Outliers!$F$8,"High",""))</f>
        <v/>
      </c>
      <c r="L1738" s="6" t="str">
        <f aca="false">A1738&amp;";"&amp;B1738&amp;";"&amp;C1738</f>
        <v>33.7960155;182.026807;22.9645714997298</v>
      </c>
      <c r="M1738" s="6" t="n">
        <f aca="false">IF(COUNTIF($L$2:$L$2201,L1738)&gt;1,1,0)</f>
        <v>0</v>
      </c>
      <c r="N1738" s="6" t="str">
        <f aca="false">IF(AND(C1738&lt;Assumptions!$B$9,B1738&lt;Assumptions!$B$10),"Irrigate Now",IF(AND(C1738&gt;=Assumptions!$B$11,B1738&gt;=Assumptions!$B$12),"No Irrigation Needed","Monitor"))</f>
        <v>Monitor</v>
      </c>
      <c r="O1738" s="6" t="n">
        <f aca="false">IF(N1738=G1738,1,0)</f>
        <v>1</v>
      </c>
    </row>
    <row r="1739" customFormat="false" ht="15" hidden="false" customHeight="false" outlineLevel="0" collapsed="false">
      <c r="A1739" s="16" t="n">
        <v>31.53243779</v>
      </c>
      <c r="B1739" s="16" t="n">
        <v>207.0735119</v>
      </c>
      <c r="C1739" s="16" t="n">
        <v>18.9577757110305</v>
      </c>
      <c r="D1739" s="6" t="s">
        <v>67</v>
      </c>
      <c r="E1739" s="6" t="s">
        <v>24</v>
      </c>
      <c r="F1739" s="6" t="s">
        <v>23</v>
      </c>
      <c r="G1739" s="6" t="s">
        <v>61</v>
      </c>
      <c r="H1739" s="6" t="s">
        <v>68</v>
      </c>
      <c r="I1739" s="6" t="str">
        <f aca="false">IF(A1739&lt;Outliers!$E$6,"Low",IF(A1739&gt;Outliers!$F$6,"High",""))</f>
        <v/>
      </c>
      <c r="J1739" s="6" t="str">
        <f aca="false">IF(B1739&lt;Outliers!$E$7,"Low",IF(B1739&gt;Outliers!$F$7,"High",""))</f>
        <v/>
      </c>
      <c r="K1739" s="6" t="str">
        <f aca="false">IF(C1739&lt;Outliers!$E$8,"Low",IF(C1739&gt;Outliers!$F$8,"High",""))</f>
        <v/>
      </c>
      <c r="L1739" s="6" t="str">
        <f aca="false">A1739&amp;";"&amp;B1739&amp;";"&amp;C1739</f>
        <v>31.53243779;207.0735119;18.9577757110305</v>
      </c>
      <c r="M1739" s="6" t="n">
        <f aca="false">IF(COUNTIF($L$2:$L$2201,L1739)&gt;1,1,0)</f>
        <v>0</v>
      </c>
      <c r="N1739" s="6" t="str">
        <f aca="false">IF(AND(C1739&lt;Assumptions!$B$9,B1739&lt;Assumptions!$B$10),"Irrigate Now",IF(AND(C1739&gt;=Assumptions!$B$11,B1739&gt;=Assumptions!$B$12),"No Irrigation Needed","Monitor"))</f>
        <v>Monitor</v>
      </c>
      <c r="O1739" s="6" t="n">
        <f aca="false">IF(N1739=G1739,1,0)</f>
        <v>1</v>
      </c>
    </row>
    <row r="1740" customFormat="false" ht="15" hidden="false" customHeight="false" outlineLevel="0" collapsed="false">
      <c r="A1740" s="16" t="n">
        <v>42.30495821</v>
      </c>
      <c r="B1740" s="16" t="n">
        <v>74.876786</v>
      </c>
      <c r="C1740" s="16" t="n">
        <v>17.7704299133232</v>
      </c>
      <c r="D1740" s="6" t="s">
        <v>67</v>
      </c>
      <c r="E1740" s="6" t="s">
        <v>57</v>
      </c>
      <c r="F1740" s="6" t="s">
        <v>24</v>
      </c>
      <c r="G1740" s="6" t="s">
        <v>64</v>
      </c>
      <c r="H1740" s="6" t="s">
        <v>65</v>
      </c>
      <c r="I1740" s="6" t="str">
        <f aca="false">IF(A1740&lt;Outliers!$E$6,"Low",IF(A1740&gt;Outliers!$F$6,"High",""))</f>
        <v>High</v>
      </c>
      <c r="J1740" s="6" t="str">
        <f aca="false">IF(B1740&lt;Outliers!$E$7,"Low",IF(B1740&gt;Outliers!$F$7,"High",""))</f>
        <v/>
      </c>
      <c r="K1740" s="6" t="str">
        <f aca="false">IF(C1740&lt;Outliers!$E$8,"Low",IF(C1740&gt;Outliers!$F$8,"High",""))</f>
        <v/>
      </c>
      <c r="L1740" s="6" t="str">
        <f aca="false">A1740&amp;";"&amp;B1740&amp;";"&amp;C1740</f>
        <v>42.30495821;74.876786;17.7704299133232</v>
      </c>
      <c r="M1740" s="6" t="n">
        <f aca="false">IF(COUNTIF($L$2:$L$2201,L1740)&gt;1,1,0)</f>
        <v>0</v>
      </c>
      <c r="N1740" s="6" t="str">
        <f aca="false">IF(AND(C1740&lt;Assumptions!$B$9,B1740&lt;Assumptions!$B$10),"Irrigate Now",IF(AND(C1740&gt;=Assumptions!$B$11,B1740&gt;=Assumptions!$B$12),"No Irrigation Needed","Monitor"))</f>
        <v>Irrigate Now</v>
      </c>
      <c r="O1740" s="6" t="n">
        <f aca="false">IF(N1740=G1740,1,0)</f>
        <v>1</v>
      </c>
    </row>
    <row r="1741" customFormat="false" ht="15" hidden="false" customHeight="false" outlineLevel="0" collapsed="false">
      <c r="A1741" s="16" t="n">
        <v>24.63676897</v>
      </c>
      <c r="B1741" s="16" t="n">
        <v>218.2299187</v>
      </c>
      <c r="C1741" s="16" t="n">
        <v>25.0688164661845</v>
      </c>
      <c r="D1741" s="6" t="s">
        <v>57</v>
      </c>
      <c r="E1741" s="6" t="s">
        <v>24</v>
      </c>
      <c r="F1741" s="6" t="s">
        <v>23</v>
      </c>
      <c r="G1741" s="6" t="s">
        <v>58</v>
      </c>
      <c r="H1741" s="6" t="s">
        <v>59</v>
      </c>
      <c r="I1741" s="6" t="str">
        <f aca="false">IF(A1741&lt;Outliers!$E$6,"Low",IF(A1741&gt;Outliers!$F$6,"High",""))</f>
        <v/>
      </c>
      <c r="J1741" s="6" t="str">
        <f aca="false">IF(B1741&lt;Outliers!$E$7,"Low",IF(B1741&gt;Outliers!$F$7,"High",""))</f>
        <v>High</v>
      </c>
      <c r="K1741" s="6" t="str">
        <f aca="false">IF(C1741&lt;Outliers!$E$8,"Low",IF(C1741&gt;Outliers!$F$8,"High",""))</f>
        <v/>
      </c>
      <c r="L1741" s="6" t="str">
        <f aca="false">A1741&amp;";"&amp;B1741&amp;";"&amp;C1741</f>
        <v>24.63676897;218.2299187;25.0688164661845</v>
      </c>
      <c r="M1741" s="6" t="n">
        <f aca="false">IF(COUNTIF($L$2:$L$2201,L1741)&gt;1,1,0)</f>
        <v>0</v>
      </c>
      <c r="N1741" s="6" t="str">
        <f aca="false">IF(AND(C1741&lt;Assumptions!$B$9,B1741&lt;Assumptions!$B$10),"Irrigate Now",IF(AND(C1741&gt;=Assumptions!$B$11,B1741&gt;=Assumptions!$B$12),"No Irrigation Needed","Monitor"))</f>
        <v>No Irrigation Needed</v>
      </c>
      <c r="O1741" s="6" t="n">
        <f aca="false">IF(N1741=G1741,1,0)</f>
        <v>1</v>
      </c>
    </row>
    <row r="1742" customFormat="false" ht="15" hidden="false" customHeight="false" outlineLevel="0" collapsed="false">
      <c r="A1742" s="16" t="n">
        <v>28.28222883</v>
      </c>
      <c r="B1742" s="16" t="n">
        <v>179.2720807</v>
      </c>
      <c r="C1742" s="16" t="n">
        <v>24.5406717142941</v>
      </c>
      <c r="D1742" s="6" t="s">
        <v>57</v>
      </c>
      <c r="E1742" s="6" t="s">
        <v>24</v>
      </c>
      <c r="F1742" s="6" t="s">
        <v>23</v>
      </c>
      <c r="G1742" s="6" t="s">
        <v>61</v>
      </c>
      <c r="H1742" s="6" t="s">
        <v>62</v>
      </c>
      <c r="I1742" s="6" t="str">
        <f aca="false">IF(A1742&lt;Outliers!$E$6,"Low",IF(A1742&gt;Outliers!$F$6,"High",""))</f>
        <v/>
      </c>
      <c r="J1742" s="6" t="str">
        <f aca="false">IF(B1742&lt;Outliers!$E$7,"Low",IF(B1742&gt;Outliers!$F$7,"High",""))</f>
        <v/>
      </c>
      <c r="K1742" s="6" t="str">
        <f aca="false">IF(C1742&lt;Outliers!$E$8,"Low",IF(C1742&gt;Outliers!$F$8,"High",""))</f>
        <v/>
      </c>
      <c r="L1742" s="6" t="str">
        <f aca="false">A1742&amp;";"&amp;B1742&amp;";"&amp;C1742</f>
        <v>28.28222883;179.2720807;24.5406717142941</v>
      </c>
      <c r="M1742" s="6" t="n">
        <f aca="false">IF(COUNTIF($L$2:$L$2201,L1742)&gt;1,1,0)</f>
        <v>0</v>
      </c>
      <c r="N1742" s="6" t="str">
        <f aca="false">IF(AND(C1742&lt;Assumptions!$B$9,B1742&lt;Assumptions!$B$10),"Irrigate Now",IF(AND(C1742&gt;=Assumptions!$B$11,B1742&gt;=Assumptions!$B$12),"No Irrigation Needed","Monitor"))</f>
        <v>Monitor</v>
      </c>
      <c r="O1742" s="6" t="n">
        <f aca="false">IF(N1742=G1742,1,0)</f>
        <v>1</v>
      </c>
    </row>
    <row r="1743" customFormat="false" ht="15" hidden="false" customHeight="false" outlineLevel="0" collapsed="false">
      <c r="A1743" s="16" t="n">
        <v>24.48620746</v>
      </c>
      <c r="B1743" s="16" t="n">
        <v>183.49095</v>
      </c>
      <c r="C1743" s="16" t="n">
        <v>10.8133314739125</v>
      </c>
      <c r="D1743" s="6" t="s">
        <v>57</v>
      </c>
      <c r="E1743" s="6" t="s">
        <v>24</v>
      </c>
      <c r="F1743" s="6" t="s">
        <v>24</v>
      </c>
      <c r="G1743" s="6" t="s">
        <v>61</v>
      </c>
      <c r="H1743" s="6" t="s">
        <v>62</v>
      </c>
      <c r="I1743" s="6" t="str">
        <f aca="false">IF(A1743&lt;Outliers!$E$6,"Low",IF(A1743&gt;Outliers!$F$6,"High",""))</f>
        <v/>
      </c>
      <c r="J1743" s="6" t="str">
        <f aca="false">IF(B1743&lt;Outliers!$E$7,"Low",IF(B1743&gt;Outliers!$F$7,"High",""))</f>
        <v/>
      </c>
      <c r="K1743" s="6" t="str">
        <f aca="false">IF(C1743&lt;Outliers!$E$8,"Low",IF(C1743&gt;Outliers!$F$8,"High",""))</f>
        <v/>
      </c>
      <c r="L1743" s="6" t="str">
        <f aca="false">A1743&amp;";"&amp;B1743&amp;";"&amp;C1743</f>
        <v>24.48620746;183.49095;10.8133314739125</v>
      </c>
      <c r="M1743" s="6" t="n">
        <f aca="false">IF(COUNTIF($L$2:$L$2201,L1743)&gt;1,1,0)</f>
        <v>0</v>
      </c>
      <c r="N1743" s="6" t="str">
        <f aca="false">IF(AND(C1743&lt;Assumptions!$B$9,B1743&lt;Assumptions!$B$10),"Irrigate Now",IF(AND(C1743&gt;=Assumptions!$B$11,B1743&gt;=Assumptions!$B$12),"No Irrigation Needed","Monitor"))</f>
        <v>Monitor</v>
      </c>
      <c r="O1743" s="6" t="n">
        <f aca="false">IF(N1743=G1743,1,0)</f>
        <v>1</v>
      </c>
    </row>
    <row r="1744" customFormat="false" ht="15" hidden="false" customHeight="false" outlineLevel="0" collapsed="false">
      <c r="A1744" s="16" t="n">
        <v>42.84609252</v>
      </c>
      <c r="B1744" s="16" t="n">
        <v>78.8099639</v>
      </c>
      <c r="C1744" s="16" t="n">
        <v>14.2109421090746</v>
      </c>
      <c r="D1744" s="6" t="s">
        <v>67</v>
      </c>
      <c r="E1744" s="6" t="s">
        <v>57</v>
      </c>
      <c r="F1744" s="6" t="s">
        <v>24</v>
      </c>
      <c r="G1744" s="6" t="s">
        <v>64</v>
      </c>
      <c r="H1744" s="6" t="s">
        <v>65</v>
      </c>
      <c r="I1744" s="6" t="str">
        <f aca="false">IF(A1744&lt;Outliers!$E$6,"Low",IF(A1744&gt;Outliers!$F$6,"High",""))</f>
        <v>High</v>
      </c>
      <c r="J1744" s="6" t="str">
        <f aca="false">IF(B1744&lt;Outliers!$E$7,"Low",IF(B1744&gt;Outliers!$F$7,"High",""))</f>
        <v/>
      </c>
      <c r="K1744" s="6" t="str">
        <f aca="false">IF(C1744&lt;Outliers!$E$8,"Low",IF(C1744&gt;Outliers!$F$8,"High",""))</f>
        <v/>
      </c>
      <c r="L1744" s="6" t="str">
        <f aca="false">A1744&amp;";"&amp;B1744&amp;";"&amp;C1744</f>
        <v>42.84609252;78.8099639;14.2109421090746</v>
      </c>
      <c r="M1744" s="6" t="n">
        <f aca="false">IF(COUNTIF($L$2:$L$2201,L1744)&gt;1,1,0)</f>
        <v>0</v>
      </c>
      <c r="N1744" s="6" t="str">
        <f aca="false">IF(AND(C1744&lt;Assumptions!$B$9,B1744&lt;Assumptions!$B$10),"Irrigate Now",IF(AND(C1744&gt;=Assumptions!$B$11,B1744&gt;=Assumptions!$B$12),"No Irrigation Needed","Monitor"))</f>
        <v>Irrigate Now</v>
      </c>
      <c r="O1744" s="6" t="n">
        <f aca="false">IF(N1744=G1744,1,0)</f>
        <v>1</v>
      </c>
    </row>
    <row r="1745" customFormat="false" ht="15" hidden="false" customHeight="false" outlineLevel="0" collapsed="false">
      <c r="A1745" s="16" t="n">
        <v>43.67549305</v>
      </c>
      <c r="B1745" s="16" t="n">
        <v>103.8235658</v>
      </c>
      <c r="C1745" s="16" t="n">
        <v>28.0417302301482</v>
      </c>
      <c r="D1745" s="6" t="s">
        <v>67</v>
      </c>
      <c r="E1745" s="6" t="s">
        <v>57</v>
      </c>
      <c r="F1745" s="6" t="s">
        <v>23</v>
      </c>
      <c r="G1745" s="6" t="s">
        <v>58</v>
      </c>
      <c r="H1745" s="6" t="s">
        <v>59</v>
      </c>
      <c r="I1745" s="6" t="str">
        <f aca="false">IF(A1745&lt;Outliers!$E$6,"Low",IF(A1745&gt;Outliers!$F$6,"High",""))</f>
        <v>High</v>
      </c>
      <c r="J1745" s="6" t="str">
        <f aca="false">IF(B1745&lt;Outliers!$E$7,"Low",IF(B1745&gt;Outliers!$F$7,"High",""))</f>
        <v/>
      </c>
      <c r="K1745" s="6" t="str">
        <f aca="false">IF(C1745&lt;Outliers!$E$8,"Low",IF(C1745&gt;Outliers!$F$8,"High",""))</f>
        <v/>
      </c>
      <c r="L1745" s="6" t="str">
        <f aca="false">A1745&amp;";"&amp;B1745&amp;";"&amp;C1745</f>
        <v>43.67549305;103.8235658;28.0417302301482</v>
      </c>
      <c r="M1745" s="6" t="n">
        <f aca="false">IF(COUNTIF($L$2:$L$2201,L1745)&gt;1,1,0)</f>
        <v>0</v>
      </c>
      <c r="N1745" s="6" t="str">
        <f aca="false">IF(AND(C1745&lt;Assumptions!$B$9,B1745&lt;Assumptions!$B$10),"Irrigate Now",IF(AND(C1745&gt;=Assumptions!$B$11,B1745&gt;=Assumptions!$B$12),"No Irrigation Needed","Monitor"))</f>
        <v>No Irrigation Needed</v>
      </c>
      <c r="O1745" s="6" t="n">
        <f aca="false">IF(N1745=G1745,1,0)</f>
        <v>1</v>
      </c>
    </row>
    <row r="1746" customFormat="false" ht="15" hidden="false" customHeight="false" outlineLevel="0" collapsed="false">
      <c r="A1746" s="16" t="n">
        <v>42.07213781</v>
      </c>
      <c r="B1746" s="16" t="n">
        <v>165.7412972</v>
      </c>
      <c r="C1746" s="16" t="n">
        <v>13.4988869493667</v>
      </c>
      <c r="D1746" s="6" t="s">
        <v>67</v>
      </c>
      <c r="E1746" s="6" t="s">
        <v>24</v>
      </c>
      <c r="F1746" s="6" t="s">
        <v>24</v>
      </c>
      <c r="G1746" s="6" t="s">
        <v>61</v>
      </c>
      <c r="H1746" s="6" t="s">
        <v>68</v>
      </c>
      <c r="I1746" s="6" t="str">
        <f aca="false">IF(A1746&lt;Outliers!$E$6,"Low",IF(A1746&gt;Outliers!$F$6,"High",""))</f>
        <v>High</v>
      </c>
      <c r="J1746" s="6" t="str">
        <f aca="false">IF(B1746&lt;Outliers!$E$7,"Low",IF(B1746&gt;Outliers!$F$7,"High",""))</f>
        <v/>
      </c>
      <c r="K1746" s="6" t="str">
        <f aca="false">IF(C1746&lt;Outliers!$E$8,"Low",IF(C1746&gt;Outliers!$F$8,"High",""))</f>
        <v/>
      </c>
      <c r="L1746" s="6" t="str">
        <f aca="false">A1746&amp;";"&amp;B1746&amp;";"&amp;C1746</f>
        <v>42.07213781;165.7412972;13.4988869493667</v>
      </c>
      <c r="M1746" s="6" t="n">
        <f aca="false">IF(COUNTIF($L$2:$L$2201,L1746)&gt;1,1,0)</f>
        <v>0</v>
      </c>
      <c r="N1746" s="6" t="str">
        <f aca="false">IF(AND(C1746&lt;Assumptions!$B$9,B1746&lt;Assumptions!$B$10),"Irrigate Now",IF(AND(C1746&gt;=Assumptions!$B$11,B1746&gt;=Assumptions!$B$12),"No Irrigation Needed","Monitor"))</f>
        <v>Monitor</v>
      </c>
      <c r="O1746" s="6" t="n">
        <f aca="false">IF(N1746=G1746,1,0)</f>
        <v>1</v>
      </c>
    </row>
    <row r="1747" customFormat="false" ht="15" hidden="false" customHeight="false" outlineLevel="0" collapsed="false">
      <c r="A1747" s="16" t="n">
        <v>33.46873719</v>
      </c>
      <c r="B1747" s="16" t="n">
        <v>136.8277041</v>
      </c>
      <c r="C1747" s="16" t="n">
        <v>29.6221193917292</v>
      </c>
      <c r="D1747" s="6" t="s">
        <v>67</v>
      </c>
      <c r="E1747" s="6" t="s">
        <v>57</v>
      </c>
      <c r="F1747" s="6" t="s">
        <v>23</v>
      </c>
      <c r="G1747" s="6" t="s">
        <v>58</v>
      </c>
      <c r="H1747" s="6" t="s">
        <v>59</v>
      </c>
      <c r="I1747" s="6" t="str">
        <f aca="false">IF(A1747&lt;Outliers!$E$6,"Low",IF(A1747&gt;Outliers!$F$6,"High",""))</f>
        <v/>
      </c>
      <c r="J1747" s="6" t="str">
        <f aca="false">IF(B1747&lt;Outliers!$E$7,"Low",IF(B1747&gt;Outliers!$F$7,"High",""))</f>
        <v/>
      </c>
      <c r="K1747" s="6" t="str">
        <f aca="false">IF(C1747&lt;Outliers!$E$8,"Low",IF(C1747&gt;Outliers!$F$8,"High",""))</f>
        <v/>
      </c>
      <c r="L1747" s="6" t="str">
        <f aca="false">A1747&amp;";"&amp;B1747&amp;";"&amp;C1747</f>
        <v>33.46873719;136.8277041;29.6221193917292</v>
      </c>
      <c r="M1747" s="6" t="n">
        <f aca="false">IF(COUNTIF($L$2:$L$2201,L1747)&gt;1,1,0)</f>
        <v>0</v>
      </c>
      <c r="N1747" s="6" t="str">
        <f aca="false">IF(AND(C1747&lt;Assumptions!$B$9,B1747&lt;Assumptions!$B$10),"Irrigate Now",IF(AND(C1747&gt;=Assumptions!$B$11,B1747&gt;=Assumptions!$B$12),"No Irrigation Needed","Monitor"))</f>
        <v>No Irrigation Needed</v>
      </c>
      <c r="O1747" s="6" t="n">
        <f aca="false">IF(N1747=G1747,1,0)</f>
        <v>1</v>
      </c>
    </row>
    <row r="1748" customFormat="false" ht="15" hidden="false" customHeight="false" outlineLevel="0" collapsed="false">
      <c r="A1748" s="16" t="n">
        <v>31.7018373</v>
      </c>
      <c r="B1748" s="16" t="n">
        <v>48.83810592</v>
      </c>
      <c r="C1748" s="16" t="n">
        <v>20.9217066145773</v>
      </c>
      <c r="D1748" s="6" t="s">
        <v>67</v>
      </c>
      <c r="E1748" s="6" t="s">
        <v>23</v>
      </c>
      <c r="F1748" s="6" t="s">
        <v>60</v>
      </c>
      <c r="G1748" s="6" t="s">
        <v>61</v>
      </c>
      <c r="H1748" s="6" t="s">
        <v>68</v>
      </c>
      <c r="I1748" s="6" t="str">
        <f aca="false">IF(A1748&lt;Outliers!$E$6,"Low",IF(A1748&gt;Outliers!$F$6,"High",""))</f>
        <v/>
      </c>
      <c r="J1748" s="6" t="str">
        <f aca="false">IF(B1748&lt;Outliers!$E$7,"Low",IF(B1748&gt;Outliers!$F$7,"High",""))</f>
        <v/>
      </c>
      <c r="K1748" s="6" t="str">
        <f aca="false">IF(C1748&lt;Outliers!$E$8,"Low",IF(C1748&gt;Outliers!$F$8,"High",""))</f>
        <v/>
      </c>
      <c r="L1748" s="6" t="str">
        <f aca="false">A1748&amp;";"&amp;B1748&amp;";"&amp;C1748</f>
        <v>31.7018373;48.83810592;20.9217066145773</v>
      </c>
      <c r="M1748" s="6" t="n">
        <f aca="false">IF(COUNTIF($L$2:$L$2201,L1748)&gt;1,1,0)</f>
        <v>0</v>
      </c>
      <c r="N1748" s="6" t="str">
        <f aca="false">IF(AND(C1748&lt;Assumptions!$B$9,B1748&lt;Assumptions!$B$10),"Irrigate Now",IF(AND(C1748&gt;=Assumptions!$B$11,B1748&gt;=Assumptions!$B$12),"No Irrigation Needed","Monitor"))</f>
        <v>Monitor</v>
      </c>
      <c r="O1748" s="6" t="n">
        <f aca="false">IF(N1748=G1748,1,0)</f>
        <v>1</v>
      </c>
    </row>
    <row r="1749" customFormat="false" ht="15" hidden="false" customHeight="false" outlineLevel="0" collapsed="false">
      <c r="A1749" s="16" t="n">
        <v>41.41968393</v>
      </c>
      <c r="B1749" s="16" t="n">
        <v>199.3096432</v>
      </c>
      <c r="C1749" s="16" t="n">
        <v>18.7706210989347</v>
      </c>
      <c r="D1749" s="6" t="s">
        <v>67</v>
      </c>
      <c r="E1749" s="6" t="s">
        <v>24</v>
      </c>
      <c r="F1749" s="6" t="s">
        <v>60</v>
      </c>
      <c r="G1749" s="6" t="s">
        <v>61</v>
      </c>
      <c r="H1749" s="6" t="s">
        <v>68</v>
      </c>
      <c r="I1749" s="6" t="str">
        <f aca="false">IF(A1749&lt;Outliers!$E$6,"Low",IF(A1749&gt;Outliers!$F$6,"High",""))</f>
        <v>High</v>
      </c>
      <c r="J1749" s="6" t="str">
        <f aca="false">IF(B1749&lt;Outliers!$E$7,"Low",IF(B1749&gt;Outliers!$F$7,"High",""))</f>
        <v/>
      </c>
      <c r="K1749" s="6" t="str">
        <f aca="false">IF(C1749&lt;Outliers!$E$8,"Low",IF(C1749&gt;Outliers!$F$8,"High",""))</f>
        <v/>
      </c>
      <c r="L1749" s="6" t="str">
        <f aca="false">A1749&amp;";"&amp;B1749&amp;";"&amp;C1749</f>
        <v>41.41968393;199.3096432;18.7706210989347</v>
      </c>
      <c r="M1749" s="6" t="n">
        <f aca="false">IF(COUNTIF($L$2:$L$2201,L1749)&gt;1,1,0)</f>
        <v>0</v>
      </c>
      <c r="N1749" s="6" t="str">
        <f aca="false">IF(AND(C1749&lt;Assumptions!$B$9,B1749&lt;Assumptions!$B$10),"Irrigate Now",IF(AND(C1749&gt;=Assumptions!$B$11,B1749&gt;=Assumptions!$B$12),"No Irrigation Needed","Monitor"))</f>
        <v>Monitor</v>
      </c>
      <c r="O1749" s="6" t="n">
        <f aca="false">IF(N1749=G1749,1,0)</f>
        <v>1</v>
      </c>
    </row>
    <row r="1750" customFormat="false" ht="15" hidden="false" customHeight="false" outlineLevel="0" collapsed="false">
      <c r="A1750" s="16" t="n">
        <v>42.54744013</v>
      </c>
      <c r="B1750" s="16" t="n">
        <v>214.4103848</v>
      </c>
      <c r="C1750" s="16" t="n">
        <v>18.030681641679</v>
      </c>
      <c r="D1750" s="6" t="s">
        <v>67</v>
      </c>
      <c r="E1750" s="6" t="s">
        <v>24</v>
      </c>
      <c r="F1750" s="6" t="s">
        <v>60</v>
      </c>
      <c r="G1750" s="6" t="s">
        <v>61</v>
      </c>
      <c r="H1750" s="6" t="s">
        <v>68</v>
      </c>
      <c r="I1750" s="6" t="str">
        <f aca="false">IF(A1750&lt;Outliers!$E$6,"Low",IF(A1750&gt;Outliers!$F$6,"High",""))</f>
        <v>High</v>
      </c>
      <c r="J1750" s="6" t="str">
        <f aca="false">IF(B1750&lt;Outliers!$E$7,"Low",IF(B1750&gt;Outliers!$F$7,"High",""))</f>
        <v>High</v>
      </c>
      <c r="K1750" s="6" t="str">
        <f aca="false">IF(C1750&lt;Outliers!$E$8,"Low",IF(C1750&gt;Outliers!$F$8,"High",""))</f>
        <v/>
      </c>
      <c r="L1750" s="6" t="str">
        <f aca="false">A1750&amp;";"&amp;B1750&amp;";"&amp;C1750</f>
        <v>42.54744013;214.4103848;18.030681641679</v>
      </c>
      <c r="M1750" s="6" t="n">
        <f aca="false">IF(COUNTIF($L$2:$L$2201,L1750)&gt;1,1,0)</f>
        <v>0</v>
      </c>
      <c r="N1750" s="6" t="str">
        <f aca="false">IF(AND(C1750&lt;Assumptions!$B$9,B1750&lt;Assumptions!$B$10),"Irrigate Now",IF(AND(C1750&gt;=Assumptions!$B$11,B1750&gt;=Assumptions!$B$12),"No Irrigation Needed","Monitor"))</f>
        <v>Monitor</v>
      </c>
      <c r="O1750" s="6" t="n">
        <f aca="false">IF(N1750=G1750,1,0)</f>
        <v>1</v>
      </c>
    </row>
    <row r="1751" customFormat="false" ht="15" hidden="false" customHeight="false" outlineLevel="0" collapsed="false">
      <c r="A1751" s="16" t="n">
        <v>28.91842453</v>
      </c>
      <c r="B1751" s="16" t="n">
        <v>63.68794608</v>
      </c>
      <c r="C1751" s="16" t="n">
        <v>21.7307120074542</v>
      </c>
      <c r="D1751" s="6" t="s">
        <v>57</v>
      </c>
      <c r="E1751" s="6" t="s">
        <v>57</v>
      </c>
      <c r="F1751" s="6" t="s">
        <v>60</v>
      </c>
      <c r="G1751" s="6" t="s">
        <v>61</v>
      </c>
      <c r="H1751" s="6" t="s">
        <v>63</v>
      </c>
      <c r="I1751" s="6" t="str">
        <f aca="false">IF(A1751&lt;Outliers!$E$6,"Low",IF(A1751&gt;Outliers!$F$6,"High",""))</f>
        <v/>
      </c>
      <c r="J1751" s="6" t="str">
        <f aca="false">IF(B1751&lt;Outliers!$E$7,"Low",IF(B1751&gt;Outliers!$F$7,"High",""))</f>
        <v/>
      </c>
      <c r="K1751" s="6" t="str">
        <f aca="false">IF(C1751&lt;Outliers!$E$8,"Low",IF(C1751&gt;Outliers!$F$8,"High",""))</f>
        <v/>
      </c>
      <c r="L1751" s="6" t="str">
        <f aca="false">A1751&amp;";"&amp;B1751&amp;";"&amp;C1751</f>
        <v>28.91842453;63.68794608;21.7307120074542</v>
      </c>
      <c r="M1751" s="6" t="n">
        <f aca="false">IF(COUNTIF($L$2:$L$2201,L1751)&gt;1,1,0)</f>
        <v>0</v>
      </c>
      <c r="N1751" s="6" t="str">
        <f aca="false">IF(AND(C1751&lt;Assumptions!$B$9,B1751&lt;Assumptions!$B$10),"Irrigate Now",IF(AND(C1751&gt;=Assumptions!$B$11,B1751&gt;=Assumptions!$B$12),"No Irrigation Needed","Monitor"))</f>
        <v>Monitor</v>
      </c>
      <c r="O1751" s="6" t="n">
        <f aca="false">IF(N1751=G1751,1,0)</f>
        <v>1</v>
      </c>
    </row>
    <row r="1752" customFormat="false" ht="15" hidden="false" customHeight="false" outlineLevel="0" collapsed="false">
      <c r="A1752" s="16" t="n">
        <v>43.08022702</v>
      </c>
      <c r="B1752" s="16" t="n">
        <v>211.8529059</v>
      </c>
      <c r="C1752" s="16" t="n">
        <v>19.466644566258</v>
      </c>
      <c r="D1752" s="6" t="s">
        <v>67</v>
      </c>
      <c r="E1752" s="6" t="s">
        <v>24</v>
      </c>
      <c r="F1752" s="6" t="s">
        <v>23</v>
      </c>
      <c r="G1752" s="6" t="s">
        <v>61</v>
      </c>
      <c r="H1752" s="6" t="s">
        <v>68</v>
      </c>
      <c r="I1752" s="6" t="str">
        <f aca="false">IF(A1752&lt;Outliers!$E$6,"Low",IF(A1752&gt;Outliers!$F$6,"High",""))</f>
        <v>High</v>
      </c>
      <c r="J1752" s="6" t="str">
        <f aca="false">IF(B1752&lt;Outliers!$E$7,"Low",IF(B1752&gt;Outliers!$F$7,"High",""))</f>
        <v/>
      </c>
      <c r="K1752" s="6" t="str">
        <f aca="false">IF(C1752&lt;Outliers!$E$8,"Low",IF(C1752&gt;Outliers!$F$8,"High",""))</f>
        <v/>
      </c>
      <c r="L1752" s="6" t="str">
        <f aca="false">A1752&amp;";"&amp;B1752&amp;";"&amp;C1752</f>
        <v>43.08022702;211.8529059;19.466644566258</v>
      </c>
      <c r="M1752" s="6" t="n">
        <f aca="false">IF(COUNTIF($L$2:$L$2201,L1752)&gt;1,1,0)</f>
        <v>0</v>
      </c>
      <c r="N1752" s="6" t="str">
        <f aca="false">IF(AND(C1752&lt;Assumptions!$B$9,B1752&lt;Assumptions!$B$10),"Irrigate Now",IF(AND(C1752&gt;=Assumptions!$B$11,B1752&gt;=Assumptions!$B$12),"No Irrigation Needed","Monitor"))</f>
        <v>Monitor</v>
      </c>
      <c r="O1752" s="6" t="n">
        <f aca="false">IF(N1752=G1752,1,0)</f>
        <v>1</v>
      </c>
    </row>
    <row r="1753" customFormat="false" ht="15" hidden="false" customHeight="false" outlineLevel="0" collapsed="false">
      <c r="A1753" s="16" t="n">
        <v>29.20300896</v>
      </c>
      <c r="B1753" s="16" t="n">
        <v>209.4083305</v>
      </c>
      <c r="C1753" s="16" t="n">
        <v>27.6782014720071</v>
      </c>
      <c r="D1753" s="6" t="s">
        <v>57</v>
      </c>
      <c r="E1753" s="6" t="s">
        <v>24</v>
      </c>
      <c r="F1753" s="6" t="s">
        <v>23</v>
      </c>
      <c r="G1753" s="6" t="s">
        <v>58</v>
      </c>
      <c r="H1753" s="6" t="s">
        <v>59</v>
      </c>
      <c r="I1753" s="6" t="str">
        <f aca="false">IF(A1753&lt;Outliers!$E$6,"Low",IF(A1753&gt;Outliers!$F$6,"High",""))</f>
        <v/>
      </c>
      <c r="J1753" s="6" t="str">
        <f aca="false">IF(B1753&lt;Outliers!$E$7,"Low",IF(B1753&gt;Outliers!$F$7,"High",""))</f>
        <v/>
      </c>
      <c r="K1753" s="6" t="str">
        <f aca="false">IF(C1753&lt;Outliers!$E$8,"Low",IF(C1753&gt;Outliers!$F$8,"High",""))</f>
        <v/>
      </c>
      <c r="L1753" s="6" t="str">
        <f aca="false">A1753&amp;";"&amp;B1753&amp;";"&amp;C1753</f>
        <v>29.20300896;209.4083305;27.6782014720071</v>
      </c>
      <c r="M1753" s="6" t="n">
        <f aca="false">IF(COUNTIF($L$2:$L$2201,L1753)&gt;1,1,0)</f>
        <v>0</v>
      </c>
      <c r="N1753" s="6" t="str">
        <f aca="false">IF(AND(C1753&lt;Assumptions!$B$9,B1753&lt;Assumptions!$B$10),"Irrigate Now",IF(AND(C1753&gt;=Assumptions!$B$11,B1753&gt;=Assumptions!$B$12),"No Irrigation Needed","Monitor"))</f>
        <v>No Irrigation Needed</v>
      </c>
      <c r="O1753" s="6" t="n">
        <f aca="false">IF(N1753=G1753,1,0)</f>
        <v>1</v>
      </c>
    </row>
    <row r="1754" customFormat="false" ht="15" hidden="false" customHeight="false" outlineLevel="0" collapsed="false">
      <c r="A1754" s="16" t="n">
        <v>41.04224355</v>
      </c>
      <c r="B1754" s="16" t="n">
        <v>181.527598</v>
      </c>
      <c r="C1754" s="16" t="n">
        <v>15.734266193167</v>
      </c>
      <c r="D1754" s="6" t="s">
        <v>67</v>
      </c>
      <c r="E1754" s="6" t="s">
        <v>24</v>
      </c>
      <c r="F1754" s="6" t="s">
        <v>60</v>
      </c>
      <c r="G1754" s="6" t="s">
        <v>61</v>
      </c>
      <c r="H1754" s="6" t="s">
        <v>68</v>
      </c>
      <c r="I1754" s="6" t="str">
        <f aca="false">IF(A1754&lt;Outliers!$E$6,"Low",IF(A1754&gt;Outliers!$F$6,"High",""))</f>
        <v>High</v>
      </c>
      <c r="J1754" s="6" t="str">
        <f aca="false">IF(B1754&lt;Outliers!$E$7,"Low",IF(B1754&gt;Outliers!$F$7,"High",""))</f>
        <v/>
      </c>
      <c r="K1754" s="6" t="str">
        <f aca="false">IF(C1754&lt;Outliers!$E$8,"Low",IF(C1754&gt;Outliers!$F$8,"High",""))</f>
        <v/>
      </c>
      <c r="L1754" s="6" t="str">
        <f aca="false">A1754&amp;";"&amp;B1754&amp;";"&amp;C1754</f>
        <v>41.04224355;181.527598;15.734266193167</v>
      </c>
      <c r="M1754" s="6" t="n">
        <f aca="false">IF(COUNTIF($L$2:$L$2201,L1754)&gt;1,1,0)</f>
        <v>0</v>
      </c>
      <c r="N1754" s="6" t="str">
        <f aca="false">IF(AND(C1754&lt;Assumptions!$B$9,B1754&lt;Assumptions!$B$10),"Irrigate Now",IF(AND(C1754&gt;=Assumptions!$B$11,B1754&gt;=Assumptions!$B$12),"No Irrigation Needed","Monitor"))</f>
        <v>Monitor</v>
      </c>
      <c r="O1754" s="6" t="n">
        <f aca="false">IF(N1754=G1754,1,0)</f>
        <v>1</v>
      </c>
    </row>
    <row r="1755" customFormat="false" ht="15" hidden="false" customHeight="false" outlineLevel="0" collapsed="false">
      <c r="A1755" s="16" t="n">
        <v>25.62446619</v>
      </c>
      <c r="B1755" s="16" t="n">
        <v>97.26336657</v>
      </c>
      <c r="C1755" s="16" t="n">
        <v>14.3748124863442</v>
      </c>
      <c r="D1755" s="6" t="s">
        <v>57</v>
      </c>
      <c r="E1755" s="6" t="s">
        <v>57</v>
      </c>
      <c r="F1755" s="6" t="s">
        <v>24</v>
      </c>
      <c r="G1755" s="6" t="s">
        <v>64</v>
      </c>
      <c r="H1755" s="6" t="s">
        <v>65</v>
      </c>
      <c r="I1755" s="6" t="str">
        <f aca="false">IF(A1755&lt;Outliers!$E$6,"Low",IF(A1755&gt;Outliers!$F$6,"High",""))</f>
        <v/>
      </c>
      <c r="J1755" s="6" t="str">
        <f aca="false">IF(B1755&lt;Outliers!$E$7,"Low",IF(B1755&gt;Outliers!$F$7,"High",""))</f>
        <v/>
      </c>
      <c r="K1755" s="6" t="str">
        <f aca="false">IF(C1755&lt;Outliers!$E$8,"Low",IF(C1755&gt;Outliers!$F$8,"High",""))</f>
        <v/>
      </c>
      <c r="L1755" s="6" t="str">
        <f aca="false">A1755&amp;";"&amp;B1755&amp;";"&amp;C1755</f>
        <v>25.62446619;97.26336657;14.3748124863442</v>
      </c>
      <c r="M1755" s="6" t="n">
        <f aca="false">IF(COUNTIF($L$2:$L$2201,L1755)&gt;1,1,0)</f>
        <v>0</v>
      </c>
      <c r="N1755" s="6" t="str">
        <f aca="false">IF(AND(C1755&lt;Assumptions!$B$9,B1755&lt;Assumptions!$B$10),"Irrigate Now",IF(AND(C1755&gt;=Assumptions!$B$11,B1755&gt;=Assumptions!$B$12),"No Irrigation Needed","Monitor"))</f>
        <v>Irrigate Now</v>
      </c>
      <c r="O1755" s="6" t="n">
        <f aca="false">IF(N1755=G1755,1,0)</f>
        <v>1</v>
      </c>
    </row>
    <row r="1756" customFormat="false" ht="15" hidden="false" customHeight="false" outlineLevel="0" collapsed="false">
      <c r="A1756" s="16" t="n">
        <v>35.32876402</v>
      </c>
      <c r="B1756" s="16" t="n">
        <v>163.9069365</v>
      </c>
      <c r="C1756" s="16" t="n">
        <v>22.5542119487091</v>
      </c>
      <c r="D1756" s="6" t="s">
        <v>67</v>
      </c>
      <c r="E1756" s="6" t="s">
        <v>24</v>
      </c>
      <c r="F1756" s="6" t="s">
        <v>23</v>
      </c>
      <c r="G1756" s="6" t="s">
        <v>61</v>
      </c>
      <c r="H1756" s="6" t="s">
        <v>62</v>
      </c>
      <c r="I1756" s="6" t="str">
        <f aca="false">IF(A1756&lt;Outliers!$E$6,"Low",IF(A1756&gt;Outliers!$F$6,"High",""))</f>
        <v/>
      </c>
      <c r="J1756" s="6" t="str">
        <f aca="false">IF(B1756&lt;Outliers!$E$7,"Low",IF(B1756&gt;Outliers!$F$7,"High",""))</f>
        <v/>
      </c>
      <c r="K1756" s="6" t="str">
        <f aca="false">IF(C1756&lt;Outliers!$E$8,"Low",IF(C1756&gt;Outliers!$F$8,"High",""))</f>
        <v/>
      </c>
      <c r="L1756" s="6" t="str">
        <f aca="false">A1756&amp;";"&amp;B1756&amp;";"&amp;C1756</f>
        <v>35.32876402;163.9069365;22.5542119487091</v>
      </c>
      <c r="M1756" s="6" t="n">
        <f aca="false">IF(COUNTIF($L$2:$L$2201,L1756)&gt;1,1,0)</f>
        <v>0</v>
      </c>
      <c r="N1756" s="6" t="str">
        <f aca="false">IF(AND(C1756&lt;Assumptions!$B$9,B1756&lt;Assumptions!$B$10),"Irrigate Now",IF(AND(C1756&gt;=Assumptions!$B$11,B1756&gt;=Assumptions!$B$12),"No Irrigation Needed","Monitor"))</f>
        <v>Monitor</v>
      </c>
      <c r="O1756" s="6" t="n">
        <f aca="false">IF(N1756=G1756,1,0)</f>
        <v>1</v>
      </c>
    </row>
    <row r="1757" customFormat="false" ht="15" hidden="false" customHeight="false" outlineLevel="0" collapsed="false">
      <c r="A1757" s="16" t="n">
        <v>24.42561272</v>
      </c>
      <c r="B1757" s="16" t="n">
        <v>63.35298768</v>
      </c>
      <c r="C1757" s="16" t="n">
        <v>18.3308549355638</v>
      </c>
      <c r="D1757" s="6" t="s">
        <v>57</v>
      </c>
      <c r="E1757" s="6" t="s">
        <v>57</v>
      </c>
      <c r="F1757" s="6" t="s">
        <v>24</v>
      </c>
      <c r="G1757" s="6" t="s">
        <v>61</v>
      </c>
      <c r="H1757" s="6" t="s">
        <v>63</v>
      </c>
      <c r="I1757" s="6" t="str">
        <f aca="false">IF(A1757&lt;Outliers!$E$6,"Low",IF(A1757&gt;Outliers!$F$6,"High",""))</f>
        <v/>
      </c>
      <c r="J1757" s="6" t="str">
        <f aca="false">IF(B1757&lt;Outliers!$E$7,"Low",IF(B1757&gt;Outliers!$F$7,"High",""))</f>
        <v/>
      </c>
      <c r="K1757" s="6" t="str">
        <f aca="false">IF(C1757&lt;Outliers!$E$8,"Low",IF(C1757&gt;Outliers!$F$8,"High",""))</f>
        <v/>
      </c>
      <c r="L1757" s="6" t="str">
        <f aca="false">A1757&amp;";"&amp;B1757&amp;";"&amp;C1757</f>
        <v>24.42561272;63.35298768;18.3308549355638</v>
      </c>
      <c r="M1757" s="6" t="n">
        <f aca="false">IF(COUNTIF($L$2:$L$2201,L1757)&gt;1,1,0)</f>
        <v>0</v>
      </c>
      <c r="N1757" s="6" t="str">
        <f aca="false">IF(AND(C1757&lt;Assumptions!$B$9,B1757&lt;Assumptions!$B$10),"Irrigate Now",IF(AND(C1757&gt;=Assumptions!$B$11,B1757&gt;=Assumptions!$B$12),"No Irrigation Needed","Monitor"))</f>
        <v>Monitor</v>
      </c>
      <c r="O1757" s="6" t="n">
        <f aca="false">IF(N1757=G1757,1,0)</f>
        <v>1</v>
      </c>
    </row>
    <row r="1758" customFormat="false" ht="15" hidden="false" customHeight="false" outlineLevel="0" collapsed="false">
      <c r="A1758" s="16" t="n">
        <v>31.18298415</v>
      </c>
      <c r="B1758" s="16" t="n">
        <v>54.01872359</v>
      </c>
      <c r="C1758" s="16" t="n">
        <v>21.9330871386866</v>
      </c>
      <c r="D1758" s="6" t="s">
        <v>67</v>
      </c>
      <c r="E1758" s="6" t="s">
        <v>57</v>
      </c>
      <c r="F1758" s="6" t="s">
        <v>60</v>
      </c>
      <c r="G1758" s="6" t="s">
        <v>61</v>
      </c>
      <c r="H1758" s="6" t="s">
        <v>68</v>
      </c>
      <c r="I1758" s="6" t="str">
        <f aca="false">IF(A1758&lt;Outliers!$E$6,"Low",IF(A1758&gt;Outliers!$F$6,"High",""))</f>
        <v/>
      </c>
      <c r="J1758" s="6" t="str">
        <f aca="false">IF(B1758&lt;Outliers!$E$7,"Low",IF(B1758&gt;Outliers!$F$7,"High",""))</f>
        <v/>
      </c>
      <c r="K1758" s="6" t="str">
        <f aca="false">IF(C1758&lt;Outliers!$E$8,"Low",IF(C1758&gt;Outliers!$F$8,"High",""))</f>
        <v/>
      </c>
      <c r="L1758" s="6" t="str">
        <f aca="false">A1758&amp;";"&amp;B1758&amp;";"&amp;C1758</f>
        <v>31.18298415;54.01872359;21.9330871386866</v>
      </c>
      <c r="M1758" s="6" t="n">
        <f aca="false">IF(COUNTIF($L$2:$L$2201,L1758)&gt;1,1,0)</f>
        <v>0</v>
      </c>
      <c r="N1758" s="6" t="str">
        <f aca="false">IF(AND(C1758&lt;Assumptions!$B$9,B1758&lt;Assumptions!$B$10),"Irrigate Now",IF(AND(C1758&gt;=Assumptions!$B$11,B1758&gt;=Assumptions!$B$12),"No Irrigation Needed","Monitor"))</f>
        <v>Monitor</v>
      </c>
      <c r="O1758" s="6" t="n">
        <f aca="false">IF(N1758=G1758,1,0)</f>
        <v>1</v>
      </c>
    </row>
    <row r="1759" customFormat="false" ht="15" hidden="false" customHeight="false" outlineLevel="0" collapsed="false">
      <c r="A1759" s="16" t="n">
        <v>31.88342554</v>
      </c>
      <c r="B1759" s="16" t="n">
        <v>79.27201575</v>
      </c>
      <c r="C1759" s="16" t="n">
        <v>21.2272735862869</v>
      </c>
      <c r="D1759" s="6" t="s">
        <v>67</v>
      </c>
      <c r="E1759" s="6" t="s">
        <v>57</v>
      </c>
      <c r="F1759" s="6" t="s">
        <v>60</v>
      </c>
      <c r="G1759" s="6" t="s">
        <v>61</v>
      </c>
      <c r="H1759" s="6" t="s">
        <v>68</v>
      </c>
      <c r="I1759" s="6" t="str">
        <f aca="false">IF(A1759&lt;Outliers!$E$6,"Low",IF(A1759&gt;Outliers!$F$6,"High",""))</f>
        <v/>
      </c>
      <c r="J1759" s="6" t="str">
        <f aca="false">IF(B1759&lt;Outliers!$E$7,"Low",IF(B1759&gt;Outliers!$F$7,"High",""))</f>
        <v/>
      </c>
      <c r="K1759" s="6" t="str">
        <f aca="false">IF(C1759&lt;Outliers!$E$8,"Low",IF(C1759&gt;Outliers!$F$8,"High",""))</f>
        <v/>
      </c>
      <c r="L1759" s="6" t="str">
        <f aca="false">A1759&amp;";"&amp;B1759&amp;";"&amp;C1759</f>
        <v>31.88342554;79.27201575;21.2272735862869</v>
      </c>
      <c r="M1759" s="6" t="n">
        <f aca="false">IF(COUNTIF($L$2:$L$2201,L1759)&gt;1,1,0)</f>
        <v>0</v>
      </c>
      <c r="N1759" s="6" t="str">
        <f aca="false">IF(AND(C1759&lt;Assumptions!$B$9,B1759&lt;Assumptions!$B$10),"Irrigate Now",IF(AND(C1759&gt;=Assumptions!$B$11,B1759&gt;=Assumptions!$B$12),"No Irrigation Needed","Monitor"))</f>
        <v>Monitor</v>
      </c>
      <c r="O1759" s="6" t="n">
        <f aca="false">IF(N1759=G1759,1,0)</f>
        <v>1</v>
      </c>
    </row>
    <row r="1760" customFormat="false" ht="15" hidden="false" customHeight="false" outlineLevel="0" collapsed="false">
      <c r="A1760" s="16" t="n">
        <v>42.93368602</v>
      </c>
      <c r="B1760" s="16" t="n">
        <v>246.3613268</v>
      </c>
      <c r="C1760" s="16" t="n">
        <v>16.9154475914552</v>
      </c>
      <c r="D1760" s="6" t="s">
        <v>67</v>
      </c>
      <c r="E1760" s="6" t="s">
        <v>24</v>
      </c>
      <c r="F1760" s="6" t="s">
        <v>23</v>
      </c>
      <c r="G1760" s="6" t="s">
        <v>61</v>
      </c>
      <c r="H1760" s="6" t="s">
        <v>68</v>
      </c>
      <c r="I1760" s="6" t="str">
        <f aca="false">IF(A1760&lt;Outliers!$E$6,"Low",IF(A1760&gt;Outliers!$F$6,"High",""))</f>
        <v>High</v>
      </c>
      <c r="J1760" s="6" t="str">
        <f aca="false">IF(B1760&lt;Outliers!$E$7,"Low",IF(B1760&gt;Outliers!$F$7,"High",""))</f>
        <v>High</v>
      </c>
      <c r="K1760" s="6" t="str">
        <f aca="false">IF(C1760&lt;Outliers!$E$8,"Low",IF(C1760&gt;Outliers!$F$8,"High",""))</f>
        <v/>
      </c>
      <c r="L1760" s="6" t="str">
        <f aca="false">A1760&amp;";"&amp;B1760&amp;";"&amp;C1760</f>
        <v>42.93368602;246.3613268;16.9154475914552</v>
      </c>
      <c r="M1760" s="6" t="n">
        <f aca="false">IF(COUNTIF($L$2:$L$2201,L1760)&gt;1,1,0)</f>
        <v>0</v>
      </c>
      <c r="N1760" s="6" t="str">
        <f aca="false">IF(AND(C1760&lt;Assumptions!$B$9,B1760&lt;Assumptions!$B$10),"Irrigate Now",IF(AND(C1760&gt;=Assumptions!$B$11,B1760&gt;=Assumptions!$B$12),"No Irrigation Needed","Monitor"))</f>
        <v>Monitor</v>
      </c>
      <c r="O1760" s="6" t="n">
        <f aca="false">IF(N1760=G1760,1,0)</f>
        <v>1</v>
      </c>
    </row>
    <row r="1761" customFormat="false" ht="15" hidden="false" customHeight="false" outlineLevel="0" collapsed="false">
      <c r="A1761" s="16" t="n">
        <v>23.11407669</v>
      </c>
      <c r="B1761" s="16" t="n">
        <v>231.5153161</v>
      </c>
      <c r="C1761" s="16" t="n">
        <v>17.9997230928516</v>
      </c>
      <c r="D1761" s="6" t="s">
        <v>57</v>
      </c>
      <c r="E1761" s="6" t="s">
        <v>24</v>
      </c>
      <c r="F1761" s="6" t="s">
        <v>23</v>
      </c>
      <c r="G1761" s="6" t="s">
        <v>61</v>
      </c>
      <c r="H1761" s="6" t="s">
        <v>62</v>
      </c>
      <c r="I1761" s="6" t="str">
        <f aca="false">IF(A1761&lt;Outliers!$E$6,"Low",IF(A1761&gt;Outliers!$F$6,"High",""))</f>
        <v/>
      </c>
      <c r="J1761" s="6" t="str">
        <f aca="false">IF(B1761&lt;Outliers!$E$7,"Low",IF(B1761&gt;Outliers!$F$7,"High",""))</f>
        <v>High</v>
      </c>
      <c r="K1761" s="6" t="str">
        <f aca="false">IF(C1761&lt;Outliers!$E$8,"Low",IF(C1761&gt;Outliers!$F$8,"High",""))</f>
        <v/>
      </c>
      <c r="L1761" s="6" t="str">
        <f aca="false">A1761&amp;";"&amp;B1761&amp;";"&amp;C1761</f>
        <v>23.11407669;231.5153161;17.9997230928516</v>
      </c>
      <c r="M1761" s="6" t="n">
        <f aca="false">IF(COUNTIF($L$2:$L$2201,L1761)&gt;1,1,0)</f>
        <v>0</v>
      </c>
      <c r="N1761" s="6" t="str">
        <f aca="false">IF(AND(C1761&lt;Assumptions!$B$9,B1761&lt;Assumptions!$B$10),"Irrigate Now",IF(AND(C1761&gt;=Assumptions!$B$11,B1761&gt;=Assumptions!$B$12),"No Irrigation Needed","Monitor"))</f>
        <v>Monitor</v>
      </c>
      <c r="O1761" s="6" t="n">
        <f aca="false">IF(N1761=G1761,1,0)</f>
        <v>1</v>
      </c>
    </row>
    <row r="1762" customFormat="false" ht="15" hidden="false" customHeight="false" outlineLevel="0" collapsed="false">
      <c r="A1762" s="16" t="n">
        <v>24.87212063</v>
      </c>
      <c r="B1762" s="16" t="n">
        <v>135.1694525</v>
      </c>
      <c r="C1762" s="16" t="n">
        <v>20.6197436646795</v>
      </c>
      <c r="D1762" s="6" t="s">
        <v>57</v>
      </c>
      <c r="E1762" s="6" t="s">
        <v>57</v>
      </c>
      <c r="F1762" s="6" t="s">
        <v>60</v>
      </c>
      <c r="G1762" s="6" t="s">
        <v>61</v>
      </c>
      <c r="H1762" s="6" t="s">
        <v>63</v>
      </c>
      <c r="I1762" s="6" t="str">
        <f aca="false">IF(A1762&lt;Outliers!$E$6,"Low",IF(A1762&gt;Outliers!$F$6,"High",""))</f>
        <v/>
      </c>
      <c r="J1762" s="6" t="str">
        <f aca="false">IF(B1762&lt;Outliers!$E$7,"Low",IF(B1762&gt;Outliers!$F$7,"High",""))</f>
        <v/>
      </c>
      <c r="K1762" s="6" t="str">
        <f aca="false">IF(C1762&lt;Outliers!$E$8,"Low",IF(C1762&gt;Outliers!$F$8,"High",""))</f>
        <v/>
      </c>
      <c r="L1762" s="6" t="str">
        <f aca="false">A1762&amp;";"&amp;B1762&amp;";"&amp;C1762</f>
        <v>24.87212063;135.1694525;20.6197436646795</v>
      </c>
      <c r="M1762" s="6" t="n">
        <f aca="false">IF(COUNTIF($L$2:$L$2201,L1762)&gt;1,1,0)</f>
        <v>0</v>
      </c>
      <c r="N1762" s="6" t="str">
        <f aca="false">IF(AND(C1762&lt;Assumptions!$B$9,B1762&lt;Assumptions!$B$10),"Irrigate Now",IF(AND(C1762&gt;=Assumptions!$B$11,B1762&gt;=Assumptions!$B$12),"No Irrigation Needed","Monitor"))</f>
        <v>Monitor</v>
      </c>
      <c r="O1762" s="6" t="n">
        <f aca="false">IF(N1762=G1762,1,0)</f>
        <v>1</v>
      </c>
    </row>
    <row r="1763" customFormat="false" ht="15" hidden="false" customHeight="false" outlineLevel="0" collapsed="false">
      <c r="A1763" s="16" t="n">
        <v>43.36051537</v>
      </c>
      <c r="B1763" s="16" t="n">
        <v>114.778071</v>
      </c>
      <c r="C1763" s="16" t="n">
        <v>28.7741458013887</v>
      </c>
      <c r="D1763" s="6" t="s">
        <v>67</v>
      </c>
      <c r="E1763" s="6" t="s">
        <v>57</v>
      </c>
      <c r="F1763" s="6" t="s">
        <v>23</v>
      </c>
      <c r="G1763" s="6" t="s">
        <v>58</v>
      </c>
      <c r="H1763" s="6" t="s">
        <v>59</v>
      </c>
      <c r="I1763" s="6" t="str">
        <f aca="false">IF(A1763&lt;Outliers!$E$6,"Low",IF(A1763&gt;Outliers!$F$6,"High",""))</f>
        <v>High</v>
      </c>
      <c r="J1763" s="6" t="str">
        <f aca="false">IF(B1763&lt;Outliers!$E$7,"Low",IF(B1763&gt;Outliers!$F$7,"High",""))</f>
        <v/>
      </c>
      <c r="K1763" s="6" t="str">
        <f aca="false">IF(C1763&lt;Outliers!$E$8,"Low",IF(C1763&gt;Outliers!$F$8,"High",""))</f>
        <v/>
      </c>
      <c r="L1763" s="6" t="str">
        <f aca="false">A1763&amp;";"&amp;B1763&amp;";"&amp;C1763</f>
        <v>43.36051537;114.778071;28.7741458013887</v>
      </c>
      <c r="M1763" s="6" t="n">
        <f aca="false">IF(COUNTIF($L$2:$L$2201,L1763)&gt;1,1,0)</f>
        <v>0</v>
      </c>
      <c r="N1763" s="6" t="str">
        <f aca="false">IF(AND(C1763&lt;Assumptions!$B$9,B1763&lt;Assumptions!$B$10),"Irrigate Now",IF(AND(C1763&gt;=Assumptions!$B$11,B1763&gt;=Assumptions!$B$12),"No Irrigation Needed","Monitor"))</f>
        <v>No Irrigation Needed</v>
      </c>
      <c r="O1763" s="6" t="n">
        <f aca="false">IF(N1763=G1763,1,0)</f>
        <v>1</v>
      </c>
    </row>
    <row r="1764" customFormat="false" ht="15" hidden="false" customHeight="false" outlineLevel="0" collapsed="false">
      <c r="A1764" s="16" t="n">
        <v>26.83054058</v>
      </c>
      <c r="B1764" s="16" t="n">
        <v>144.6656444</v>
      </c>
      <c r="C1764" s="16" t="n">
        <v>11.3098313719115</v>
      </c>
      <c r="D1764" s="6" t="s">
        <v>57</v>
      </c>
      <c r="E1764" s="6" t="s">
        <v>57</v>
      </c>
      <c r="F1764" s="6" t="s">
        <v>24</v>
      </c>
      <c r="G1764" s="6" t="s">
        <v>61</v>
      </c>
      <c r="H1764" s="6" t="s">
        <v>63</v>
      </c>
      <c r="I1764" s="6" t="str">
        <f aca="false">IF(A1764&lt;Outliers!$E$6,"Low",IF(A1764&gt;Outliers!$F$6,"High",""))</f>
        <v/>
      </c>
      <c r="J1764" s="6" t="str">
        <f aca="false">IF(B1764&lt;Outliers!$E$7,"Low",IF(B1764&gt;Outliers!$F$7,"High",""))</f>
        <v/>
      </c>
      <c r="K1764" s="6" t="str">
        <f aca="false">IF(C1764&lt;Outliers!$E$8,"Low",IF(C1764&gt;Outliers!$F$8,"High",""))</f>
        <v/>
      </c>
      <c r="L1764" s="6" t="str">
        <f aca="false">A1764&amp;";"&amp;B1764&amp;";"&amp;C1764</f>
        <v>26.83054058;144.6656444;11.3098313719115</v>
      </c>
      <c r="M1764" s="6" t="n">
        <f aca="false">IF(COUNTIF($L$2:$L$2201,L1764)&gt;1,1,0)</f>
        <v>0</v>
      </c>
      <c r="N1764" s="6" t="str">
        <f aca="false">IF(AND(C1764&lt;Assumptions!$B$9,B1764&lt;Assumptions!$B$10),"Irrigate Now",IF(AND(C1764&gt;=Assumptions!$B$11,B1764&gt;=Assumptions!$B$12),"No Irrigation Needed","Monitor"))</f>
        <v>Monitor</v>
      </c>
      <c r="O1764" s="6" t="n">
        <f aca="false">IF(N1764=G1764,1,0)</f>
        <v>1</v>
      </c>
    </row>
    <row r="1765" customFormat="false" ht="15" hidden="false" customHeight="false" outlineLevel="0" collapsed="false">
      <c r="A1765" s="16" t="n">
        <v>30.42012134</v>
      </c>
      <c r="B1765" s="16" t="n">
        <v>75.95295</v>
      </c>
      <c r="C1765" s="16" t="n">
        <v>29.3103901213671</v>
      </c>
      <c r="D1765" s="6" t="s">
        <v>67</v>
      </c>
      <c r="E1765" s="6" t="s">
        <v>57</v>
      </c>
      <c r="F1765" s="6" t="s">
        <v>23</v>
      </c>
      <c r="G1765" s="6" t="s">
        <v>61</v>
      </c>
      <c r="H1765" s="6" t="s">
        <v>63</v>
      </c>
      <c r="I1765" s="6" t="str">
        <f aca="false">IF(A1765&lt;Outliers!$E$6,"Low",IF(A1765&gt;Outliers!$F$6,"High",""))</f>
        <v/>
      </c>
      <c r="J1765" s="6" t="str">
        <f aca="false">IF(B1765&lt;Outliers!$E$7,"Low",IF(B1765&gt;Outliers!$F$7,"High",""))</f>
        <v/>
      </c>
      <c r="K1765" s="6" t="str">
        <f aca="false">IF(C1765&lt;Outliers!$E$8,"Low",IF(C1765&gt;Outliers!$F$8,"High",""))</f>
        <v/>
      </c>
      <c r="L1765" s="6" t="str">
        <f aca="false">A1765&amp;";"&amp;B1765&amp;";"&amp;C1765</f>
        <v>30.42012134;75.95295;29.3103901213671</v>
      </c>
      <c r="M1765" s="6" t="n">
        <f aca="false">IF(COUNTIF($L$2:$L$2201,L1765)&gt;1,1,0)</f>
        <v>0</v>
      </c>
      <c r="N1765" s="6" t="str">
        <f aca="false">IF(AND(C1765&lt;Assumptions!$B$9,B1765&lt;Assumptions!$B$10),"Irrigate Now",IF(AND(C1765&gt;=Assumptions!$B$11,B1765&gt;=Assumptions!$B$12),"No Irrigation Needed","Monitor"))</f>
        <v>Monitor</v>
      </c>
      <c r="O1765" s="6" t="n">
        <f aca="false">IF(N1765=G1765,1,0)</f>
        <v>1</v>
      </c>
    </row>
    <row r="1766" customFormat="false" ht="15" hidden="false" customHeight="false" outlineLevel="0" collapsed="false">
      <c r="A1766" s="16" t="n">
        <v>28.64555584</v>
      </c>
      <c r="B1766" s="16" t="n">
        <v>115.8163936</v>
      </c>
      <c r="C1766" s="16" t="n">
        <v>15.4636385902163</v>
      </c>
      <c r="D1766" s="6" t="s">
        <v>57</v>
      </c>
      <c r="E1766" s="6" t="s">
        <v>57</v>
      </c>
      <c r="F1766" s="6" t="s">
        <v>24</v>
      </c>
      <c r="G1766" s="6" t="s">
        <v>61</v>
      </c>
      <c r="H1766" s="6" t="s">
        <v>63</v>
      </c>
      <c r="I1766" s="6" t="str">
        <f aca="false">IF(A1766&lt;Outliers!$E$6,"Low",IF(A1766&gt;Outliers!$F$6,"High",""))</f>
        <v/>
      </c>
      <c r="J1766" s="6" t="str">
        <f aca="false">IF(B1766&lt;Outliers!$E$7,"Low",IF(B1766&gt;Outliers!$F$7,"High",""))</f>
        <v/>
      </c>
      <c r="K1766" s="6" t="str">
        <f aca="false">IF(C1766&lt;Outliers!$E$8,"Low",IF(C1766&gt;Outliers!$F$8,"High",""))</f>
        <v/>
      </c>
      <c r="L1766" s="6" t="str">
        <f aca="false">A1766&amp;";"&amp;B1766&amp;";"&amp;C1766</f>
        <v>28.64555584;115.8163936;15.4636385902163</v>
      </c>
      <c r="M1766" s="6" t="n">
        <f aca="false">IF(COUNTIF($L$2:$L$2201,L1766)&gt;1,1,0)</f>
        <v>0</v>
      </c>
      <c r="N1766" s="6" t="str">
        <f aca="false">IF(AND(C1766&lt;Assumptions!$B$9,B1766&lt;Assumptions!$B$10),"Irrigate Now",IF(AND(C1766&gt;=Assumptions!$B$11,B1766&gt;=Assumptions!$B$12),"No Irrigation Needed","Monitor"))</f>
        <v>Monitor</v>
      </c>
      <c r="O1766" s="6" t="n">
        <f aca="false">IF(N1766=G1766,1,0)</f>
        <v>1</v>
      </c>
    </row>
    <row r="1767" customFormat="false" ht="15" hidden="false" customHeight="false" outlineLevel="0" collapsed="false">
      <c r="A1767" s="16" t="n">
        <v>32.50037548</v>
      </c>
      <c r="B1767" s="16" t="n">
        <v>71.73759526</v>
      </c>
      <c r="C1767" s="16" t="n">
        <v>15.8125510799243</v>
      </c>
      <c r="D1767" s="6" t="s">
        <v>67</v>
      </c>
      <c r="E1767" s="6" t="s">
        <v>57</v>
      </c>
      <c r="F1767" s="6" t="s">
        <v>24</v>
      </c>
      <c r="G1767" s="6" t="s">
        <v>64</v>
      </c>
      <c r="H1767" s="6" t="s">
        <v>65</v>
      </c>
      <c r="I1767" s="6" t="str">
        <f aca="false">IF(A1767&lt;Outliers!$E$6,"Low",IF(A1767&gt;Outliers!$F$6,"High",""))</f>
        <v/>
      </c>
      <c r="J1767" s="6" t="str">
        <f aca="false">IF(B1767&lt;Outliers!$E$7,"Low",IF(B1767&gt;Outliers!$F$7,"High",""))</f>
        <v/>
      </c>
      <c r="K1767" s="6" t="str">
        <f aca="false">IF(C1767&lt;Outliers!$E$8,"Low",IF(C1767&gt;Outliers!$F$8,"High",""))</f>
        <v/>
      </c>
      <c r="L1767" s="6" t="str">
        <f aca="false">A1767&amp;";"&amp;B1767&amp;";"&amp;C1767</f>
        <v>32.50037548;71.73759526;15.8125510799243</v>
      </c>
      <c r="M1767" s="6" t="n">
        <f aca="false">IF(COUNTIF($L$2:$L$2201,L1767)&gt;1,1,0)</f>
        <v>0</v>
      </c>
      <c r="N1767" s="6" t="str">
        <f aca="false">IF(AND(C1767&lt;Assumptions!$B$9,B1767&lt;Assumptions!$B$10),"Irrigate Now",IF(AND(C1767&gt;=Assumptions!$B$11,B1767&gt;=Assumptions!$B$12),"No Irrigation Needed","Monitor"))</f>
        <v>Irrigate Now</v>
      </c>
      <c r="O1767" s="6" t="n">
        <f aca="false">IF(N1767=G1767,1,0)</f>
        <v>1</v>
      </c>
    </row>
    <row r="1768" customFormat="false" ht="15" hidden="false" customHeight="false" outlineLevel="0" collapsed="false">
      <c r="A1768" s="16" t="n">
        <v>43.03714283</v>
      </c>
      <c r="B1768" s="16" t="n">
        <v>41.5856585</v>
      </c>
      <c r="C1768" s="16" t="n">
        <v>24.0518491466229</v>
      </c>
      <c r="D1768" s="6" t="s">
        <v>67</v>
      </c>
      <c r="E1768" s="6" t="s">
        <v>23</v>
      </c>
      <c r="F1768" s="6" t="s">
        <v>60</v>
      </c>
      <c r="G1768" s="6" t="s">
        <v>61</v>
      </c>
      <c r="H1768" s="6" t="s">
        <v>63</v>
      </c>
      <c r="I1768" s="6" t="str">
        <f aca="false">IF(A1768&lt;Outliers!$E$6,"Low",IF(A1768&gt;Outliers!$F$6,"High",""))</f>
        <v>High</v>
      </c>
      <c r="J1768" s="6" t="str">
        <f aca="false">IF(B1768&lt;Outliers!$E$7,"Low",IF(B1768&gt;Outliers!$F$7,"High",""))</f>
        <v/>
      </c>
      <c r="K1768" s="6" t="str">
        <f aca="false">IF(C1768&lt;Outliers!$E$8,"Low",IF(C1768&gt;Outliers!$F$8,"High",""))</f>
        <v/>
      </c>
      <c r="L1768" s="6" t="str">
        <f aca="false">A1768&amp;";"&amp;B1768&amp;";"&amp;C1768</f>
        <v>43.03714283;41.5856585;24.0518491466229</v>
      </c>
      <c r="M1768" s="6" t="n">
        <f aca="false">IF(COUNTIF($L$2:$L$2201,L1768)&gt;1,1,0)</f>
        <v>0</v>
      </c>
      <c r="N1768" s="6" t="str">
        <f aca="false">IF(AND(C1768&lt;Assumptions!$B$9,B1768&lt;Assumptions!$B$10),"Irrigate Now",IF(AND(C1768&gt;=Assumptions!$B$11,B1768&gt;=Assumptions!$B$12),"No Irrigation Needed","Monitor"))</f>
        <v>Monitor</v>
      </c>
      <c r="O1768" s="6" t="n">
        <f aca="false">IF(N1768=G1768,1,0)</f>
        <v>1</v>
      </c>
    </row>
    <row r="1769" customFormat="false" ht="15" hidden="false" customHeight="false" outlineLevel="0" collapsed="false">
      <c r="A1769" s="16" t="n">
        <v>30.10773379</v>
      </c>
      <c r="B1769" s="16" t="n">
        <v>75.24521981</v>
      </c>
      <c r="C1769" s="16" t="n">
        <v>29.9683015614878</v>
      </c>
      <c r="D1769" s="6" t="s">
        <v>67</v>
      </c>
      <c r="E1769" s="6" t="s">
        <v>57</v>
      </c>
      <c r="F1769" s="6" t="s">
        <v>23</v>
      </c>
      <c r="G1769" s="6" t="s">
        <v>61</v>
      </c>
      <c r="H1769" s="6" t="s">
        <v>63</v>
      </c>
      <c r="I1769" s="6" t="str">
        <f aca="false">IF(A1769&lt;Outliers!$E$6,"Low",IF(A1769&gt;Outliers!$F$6,"High",""))</f>
        <v/>
      </c>
      <c r="J1769" s="6" t="str">
        <f aca="false">IF(B1769&lt;Outliers!$E$7,"Low",IF(B1769&gt;Outliers!$F$7,"High",""))</f>
        <v/>
      </c>
      <c r="K1769" s="6" t="str">
        <f aca="false">IF(C1769&lt;Outliers!$E$8,"Low",IF(C1769&gt;Outliers!$F$8,"High",""))</f>
        <v/>
      </c>
      <c r="L1769" s="6" t="str">
        <f aca="false">A1769&amp;";"&amp;B1769&amp;";"&amp;C1769</f>
        <v>30.10773379;75.24521981;29.9683015614878</v>
      </c>
      <c r="M1769" s="6" t="n">
        <f aca="false">IF(COUNTIF($L$2:$L$2201,L1769)&gt;1,1,0)</f>
        <v>0</v>
      </c>
      <c r="N1769" s="6" t="str">
        <f aca="false">IF(AND(C1769&lt;Assumptions!$B$9,B1769&lt;Assumptions!$B$10),"Irrigate Now",IF(AND(C1769&gt;=Assumptions!$B$11,B1769&gt;=Assumptions!$B$12),"No Irrigation Needed","Monitor"))</f>
        <v>Monitor</v>
      </c>
      <c r="O1769" s="6" t="n">
        <f aca="false">IF(N1769=G1769,1,0)</f>
        <v>1</v>
      </c>
    </row>
    <row r="1770" customFormat="false" ht="15" hidden="false" customHeight="false" outlineLevel="0" collapsed="false">
      <c r="A1770" s="16" t="n">
        <v>23.69212243</v>
      </c>
      <c r="B1770" s="16" t="n">
        <v>87.53393983</v>
      </c>
      <c r="C1770" s="16" t="n">
        <v>18.9891861416169</v>
      </c>
      <c r="D1770" s="6" t="s">
        <v>57</v>
      </c>
      <c r="E1770" s="6" t="s">
        <v>57</v>
      </c>
      <c r="F1770" s="6" t="s">
        <v>60</v>
      </c>
      <c r="G1770" s="6" t="s">
        <v>61</v>
      </c>
      <c r="H1770" s="6" t="s">
        <v>63</v>
      </c>
      <c r="I1770" s="6" t="str">
        <f aca="false">IF(A1770&lt;Outliers!$E$6,"Low",IF(A1770&gt;Outliers!$F$6,"High",""))</f>
        <v/>
      </c>
      <c r="J1770" s="6" t="str">
        <f aca="false">IF(B1770&lt;Outliers!$E$7,"Low",IF(B1770&gt;Outliers!$F$7,"High",""))</f>
        <v/>
      </c>
      <c r="K1770" s="6" t="str">
        <f aca="false">IF(C1770&lt;Outliers!$E$8,"Low",IF(C1770&gt;Outliers!$F$8,"High",""))</f>
        <v/>
      </c>
      <c r="L1770" s="6" t="str">
        <f aca="false">A1770&amp;";"&amp;B1770&amp;";"&amp;C1770</f>
        <v>23.69212243;87.53393983;18.9891861416169</v>
      </c>
      <c r="M1770" s="6" t="n">
        <f aca="false">IF(COUNTIF($L$2:$L$2201,L1770)&gt;1,1,0)</f>
        <v>0</v>
      </c>
      <c r="N1770" s="6" t="str">
        <f aca="false">IF(AND(C1770&lt;Assumptions!$B$9,B1770&lt;Assumptions!$B$10),"Irrigate Now",IF(AND(C1770&gt;=Assumptions!$B$11,B1770&gt;=Assumptions!$B$12),"No Irrigation Needed","Monitor"))</f>
        <v>Monitor</v>
      </c>
      <c r="O1770" s="6" t="n">
        <f aca="false">IF(N1770=G1770,1,0)</f>
        <v>1</v>
      </c>
    </row>
    <row r="1771" customFormat="false" ht="15" hidden="false" customHeight="false" outlineLevel="0" collapsed="false">
      <c r="A1771" s="16" t="n">
        <v>35.67667332</v>
      </c>
      <c r="B1771" s="16" t="n">
        <v>141.3381168</v>
      </c>
      <c r="C1771" s="16" t="n">
        <v>26.5914941767781</v>
      </c>
      <c r="D1771" s="6" t="s">
        <v>67</v>
      </c>
      <c r="E1771" s="6" t="s">
        <v>57</v>
      </c>
      <c r="F1771" s="6" t="s">
        <v>23</v>
      </c>
      <c r="G1771" s="6" t="s">
        <v>58</v>
      </c>
      <c r="H1771" s="6" t="s">
        <v>59</v>
      </c>
      <c r="I1771" s="6" t="str">
        <f aca="false">IF(A1771&lt;Outliers!$E$6,"Low",IF(A1771&gt;Outliers!$F$6,"High",""))</f>
        <v/>
      </c>
      <c r="J1771" s="6" t="str">
        <f aca="false">IF(B1771&lt;Outliers!$E$7,"Low",IF(B1771&gt;Outliers!$F$7,"High",""))</f>
        <v/>
      </c>
      <c r="K1771" s="6" t="str">
        <f aca="false">IF(C1771&lt;Outliers!$E$8,"Low",IF(C1771&gt;Outliers!$F$8,"High",""))</f>
        <v/>
      </c>
      <c r="L1771" s="6" t="str">
        <f aca="false">A1771&amp;";"&amp;B1771&amp;";"&amp;C1771</f>
        <v>35.67667332;141.3381168;26.5914941767781</v>
      </c>
      <c r="M1771" s="6" t="n">
        <f aca="false">IF(COUNTIF($L$2:$L$2201,L1771)&gt;1,1,0)</f>
        <v>0</v>
      </c>
      <c r="N1771" s="6" t="str">
        <f aca="false">IF(AND(C1771&lt;Assumptions!$B$9,B1771&lt;Assumptions!$B$10),"Irrigate Now",IF(AND(C1771&gt;=Assumptions!$B$11,B1771&gt;=Assumptions!$B$12),"No Irrigation Needed","Monitor"))</f>
        <v>No Irrigation Needed</v>
      </c>
      <c r="O1771" s="6" t="n">
        <f aca="false">IF(N1771=G1771,1,0)</f>
        <v>1</v>
      </c>
    </row>
    <row r="1772" customFormat="false" ht="15" hidden="false" customHeight="false" outlineLevel="0" collapsed="false">
      <c r="A1772" s="16" t="n">
        <v>27.71948962</v>
      </c>
      <c r="B1772" s="16" t="n">
        <v>82.83061083</v>
      </c>
      <c r="C1772" s="16" t="n">
        <v>20.8163412578307</v>
      </c>
      <c r="D1772" s="6" t="s">
        <v>57</v>
      </c>
      <c r="E1772" s="6" t="s">
        <v>57</v>
      </c>
      <c r="F1772" s="6" t="s">
        <v>60</v>
      </c>
      <c r="G1772" s="6" t="s">
        <v>61</v>
      </c>
      <c r="H1772" s="6" t="s">
        <v>63</v>
      </c>
      <c r="I1772" s="6" t="str">
        <f aca="false">IF(A1772&lt;Outliers!$E$6,"Low",IF(A1772&gt;Outliers!$F$6,"High",""))</f>
        <v/>
      </c>
      <c r="J1772" s="6" t="str">
        <f aca="false">IF(B1772&lt;Outliers!$E$7,"Low",IF(B1772&gt;Outliers!$F$7,"High",""))</f>
        <v/>
      </c>
      <c r="K1772" s="6" t="str">
        <f aca="false">IF(C1772&lt;Outliers!$E$8,"Low",IF(C1772&gt;Outliers!$F$8,"High",""))</f>
        <v/>
      </c>
      <c r="L1772" s="6" t="str">
        <f aca="false">A1772&amp;";"&amp;B1772&amp;";"&amp;C1772</f>
        <v>27.71948962;82.83061083;20.8163412578307</v>
      </c>
      <c r="M1772" s="6" t="n">
        <f aca="false">IF(COUNTIF($L$2:$L$2201,L1772)&gt;1,1,0)</f>
        <v>0</v>
      </c>
      <c r="N1772" s="6" t="str">
        <f aca="false">IF(AND(C1772&lt;Assumptions!$B$9,B1772&lt;Assumptions!$B$10),"Irrigate Now",IF(AND(C1772&gt;=Assumptions!$B$11,B1772&gt;=Assumptions!$B$12),"No Irrigation Needed","Monitor"))</f>
        <v>Monitor</v>
      </c>
      <c r="O1772" s="6" t="n">
        <f aca="false">IF(N1772=G1772,1,0)</f>
        <v>1</v>
      </c>
    </row>
    <row r="1773" customFormat="false" ht="15" hidden="false" customHeight="false" outlineLevel="0" collapsed="false">
      <c r="A1773" s="16" t="n">
        <v>35.26824831</v>
      </c>
      <c r="B1773" s="16" t="n">
        <v>149.8488208</v>
      </c>
      <c r="C1773" s="16" t="n">
        <v>12.8801827843845</v>
      </c>
      <c r="D1773" s="6" t="s">
        <v>67</v>
      </c>
      <c r="E1773" s="6" t="s">
        <v>57</v>
      </c>
      <c r="F1773" s="6" t="s">
        <v>24</v>
      </c>
      <c r="G1773" s="6" t="s">
        <v>61</v>
      </c>
      <c r="H1773" s="6" t="s">
        <v>68</v>
      </c>
      <c r="I1773" s="6" t="str">
        <f aca="false">IF(A1773&lt;Outliers!$E$6,"Low",IF(A1773&gt;Outliers!$F$6,"High",""))</f>
        <v/>
      </c>
      <c r="J1773" s="6" t="str">
        <f aca="false">IF(B1773&lt;Outliers!$E$7,"Low",IF(B1773&gt;Outliers!$F$7,"High",""))</f>
        <v/>
      </c>
      <c r="K1773" s="6" t="str">
        <f aca="false">IF(C1773&lt;Outliers!$E$8,"Low",IF(C1773&gt;Outliers!$F$8,"High",""))</f>
        <v/>
      </c>
      <c r="L1773" s="6" t="str">
        <f aca="false">A1773&amp;";"&amp;B1773&amp;";"&amp;C1773</f>
        <v>35.26824831;149.8488208;12.8801827843845</v>
      </c>
      <c r="M1773" s="6" t="n">
        <f aca="false">IF(COUNTIF($L$2:$L$2201,L1773)&gt;1,1,0)</f>
        <v>0</v>
      </c>
      <c r="N1773" s="6" t="str">
        <f aca="false">IF(AND(C1773&lt;Assumptions!$B$9,B1773&lt;Assumptions!$B$10),"Irrigate Now",IF(AND(C1773&gt;=Assumptions!$B$11,B1773&gt;=Assumptions!$B$12),"No Irrigation Needed","Monitor"))</f>
        <v>Monitor</v>
      </c>
      <c r="O1773" s="6" t="n">
        <f aca="false">IF(N1773=G1773,1,0)</f>
        <v>1</v>
      </c>
    </row>
    <row r="1774" customFormat="false" ht="15" hidden="false" customHeight="false" outlineLevel="0" collapsed="false">
      <c r="A1774" s="16" t="n">
        <v>23.16855863</v>
      </c>
      <c r="B1774" s="16" t="n">
        <v>161.6892093</v>
      </c>
      <c r="C1774" s="16" t="n">
        <v>16.671528685683</v>
      </c>
      <c r="D1774" s="6" t="s">
        <v>57</v>
      </c>
      <c r="E1774" s="6" t="s">
        <v>24</v>
      </c>
      <c r="F1774" s="6" t="s">
        <v>60</v>
      </c>
      <c r="G1774" s="6" t="s">
        <v>61</v>
      </c>
      <c r="H1774" s="6" t="s">
        <v>62</v>
      </c>
      <c r="I1774" s="6" t="str">
        <f aca="false">IF(A1774&lt;Outliers!$E$6,"Low",IF(A1774&gt;Outliers!$F$6,"High",""))</f>
        <v/>
      </c>
      <c r="J1774" s="6" t="str">
        <f aca="false">IF(B1774&lt;Outliers!$E$7,"Low",IF(B1774&gt;Outliers!$F$7,"High",""))</f>
        <v/>
      </c>
      <c r="K1774" s="6" t="str">
        <f aca="false">IF(C1774&lt;Outliers!$E$8,"Low",IF(C1774&gt;Outliers!$F$8,"High",""))</f>
        <v/>
      </c>
      <c r="L1774" s="6" t="str">
        <f aca="false">A1774&amp;";"&amp;B1774&amp;";"&amp;C1774</f>
        <v>23.16855863;161.6892093;16.671528685683</v>
      </c>
      <c r="M1774" s="6" t="n">
        <f aca="false">IF(COUNTIF($L$2:$L$2201,L1774)&gt;1,1,0)</f>
        <v>0</v>
      </c>
      <c r="N1774" s="6" t="str">
        <f aca="false">IF(AND(C1774&lt;Assumptions!$B$9,B1774&lt;Assumptions!$B$10),"Irrigate Now",IF(AND(C1774&gt;=Assumptions!$B$11,B1774&gt;=Assumptions!$B$12),"No Irrigation Needed","Monitor"))</f>
        <v>Monitor</v>
      </c>
      <c r="O1774" s="6" t="n">
        <f aca="false">IF(N1774=G1774,1,0)</f>
        <v>1</v>
      </c>
    </row>
    <row r="1775" customFormat="false" ht="15" hidden="false" customHeight="false" outlineLevel="0" collapsed="false">
      <c r="A1775" s="16" t="n">
        <v>33.08706051</v>
      </c>
      <c r="B1775" s="16" t="n">
        <v>88.1300769</v>
      </c>
      <c r="C1775" s="16" t="n">
        <v>20.7503236410397</v>
      </c>
      <c r="D1775" s="6" t="s">
        <v>67</v>
      </c>
      <c r="E1775" s="6" t="s">
        <v>57</v>
      </c>
      <c r="F1775" s="6" t="s">
        <v>60</v>
      </c>
      <c r="G1775" s="6" t="s">
        <v>61</v>
      </c>
      <c r="H1775" s="6" t="s">
        <v>68</v>
      </c>
      <c r="I1775" s="6" t="str">
        <f aca="false">IF(A1775&lt;Outliers!$E$6,"Low",IF(A1775&gt;Outliers!$F$6,"High",""))</f>
        <v/>
      </c>
      <c r="J1775" s="6" t="str">
        <f aca="false">IF(B1775&lt;Outliers!$E$7,"Low",IF(B1775&gt;Outliers!$F$7,"High",""))</f>
        <v/>
      </c>
      <c r="K1775" s="6" t="str">
        <f aca="false">IF(C1775&lt;Outliers!$E$8,"Low",IF(C1775&gt;Outliers!$F$8,"High",""))</f>
        <v/>
      </c>
      <c r="L1775" s="6" t="str">
        <f aca="false">A1775&amp;";"&amp;B1775&amp;";"&amp;C1775</f>
        <v>33.08706051;88.1300769;20.7503236410397</v>
      </c>
      <c r="M1775" s="6" t="n">
        <f aca="false">IF(COUNTIF($L$2:$L$2201,L1775)&gt;1,1,0)</f>
        <v>0</v>
      </c>
      <c r="N1775" s="6" t="str">
        <f aca="false">IF(AND(C1775&lt;Assumptions!$B$9,B1775&lt;Assumptions!$B$10),"Irrigate Now",IF(AND(C1775&gt;=Assumptions!$B$11,B1775&gt;=Assumptions!$B$12),"No Irrigation Needed","Monitor"))</f>
        <v>Monitor</v>
      </c>
      <c r="O1775" s="6" t="n">
        <f aca="false">IF(N1775=G1775,1,0)</f>
        <v>1</v>
      </c>
    </row>
    <row r="1776" customFormat="false" ht="15" hidden="false" customHeight="false" outlineLevel="0" collapsed="false">
      <c r="A1776" s="16" t="n">
        <v>37.4620912</v>
      </c>
      <c r="B1776" s="16" t="n">
        <v>172.3458448</v>
      </c>
      <c r="C1776" s="16" t="n">
        <v>19.4130155812166</v>
      </c>
      <c r="D1776" s="6" t="s">
        <v>67</v>
      </c>
      <c r="E1776" s="6" t="s">
        <v>24</v>
      </c>
      <c r="F1776" s="6" t="s">
        <v>60</v>
      </c>
      <c r="G1776" s="6" t="s">
        <v>61</v>
      </c>
      <c r="H1776" s="6" t="s">
        <v>68</v>
      </c>
      <c r="I1776" s="6" t="str">
        <f aca="false">IF(A1776&lt;Outliers!$E$6,"Low",IF(A1776&gt;Outliers!$F$6,"High",""))</f>
        <v>High</v>
      </c>
      <c r="J1776" s="6" t="str">
        <f aca="false">IF(B1776&lt;Outliers!$E$7,"Low",IF(B1776&gt;Outliers!$F$7,"High",""))</f>
        <v/>
      </c>
      <c r="K1776" s="6" t="str">
        <f aca="false">IF(C1776&lt;Outliers!$E$8,"Low",IF(C1776&gt;Outliers!$F$8,"High",""))</f>
        <v/>
      </c>
      <c r="L1776" s="6" t="str">
        <f aca="false">A1776&amp;";"&amp;B1776&amp;";"&amp;C1776</f>
        <v>37.4620912;172.3458448;19.4130155812166</v>
      </c>
      <c r="M1776" s="6" t="n">
        <f aca="false">IF(COUNTIF($L$2:$L$2201,L1776)&gt;1,1,0)</f>
        <v>0</v>
      </c>
      <c r="N1776" s="6" t="str">
        <f aca="false">IF(AND(C1776&lt;Assumptions!$B$9,B1776&lt;Assumptions!$B$10),"Irrigate Now",IF(AND(C1776&gt;=Assumptions!$B$11,B1776&gt;=Assumptions!$B$12),"No Irrigation Needed","Monitor"))</f>
        <v>Monitor</v>
      </c>
      <c r="O1776" s="6" t="n">
        <f aca="false">IF(N1776=G1776,1,0)</f>
        <v>1</v>
      </c>
    </row>
    <row r="1777" customFormat="false" ht="15" hidden="false" customHeight="false" outlineLevel="0" collapsed="false">
      <c r="A1777" s="16" t="n">
        <v>38.73218907</v>
      </c>
      <c r="B1777" s="16" t="n">
        <v>218.142147</v>
      </c>
      <c r="C1777" s="16" t="n">
        <v>18.3915284728384</v>
      </c>
      <c r="D1777" s="6" t="s">
        <v>67</v>
      </c>
      <c r="E1777" s="6" t="s">
        <v>24</v>
      </c>
      <c r="F1777" s="6" t="s">
        <v>23</v>
      </c>
      <c r="G1777" s="6" t="s">
        <v>61</v>
      </c>
      <c r="H1777" s="6" t="s">
        <v>68</v>
      </c>
      <c r="I1777" s="6" t="str">
        <f aca="false">IF(A1777&lt;Outliers!$E$6,"Low",IF(A1777&gt;Outliers!$F$6,"High",""))</f>
        <v>High</v>
      </c>
      <c r="J1777" s="6" t="str">
        <f aca="false">IF(B1777&lt;Outliers!$E$7,"Low",IF(B1777&gt;Outliers!$F$7,"High",""))</f>
        <v>High</v>
      </c>
      <c r="K1777" s="6" t="str">
        <f aca="false">IF(C1777&lt;Outliers!$E$8,"Low",IF(C1777&gt;Outliers!$F$8,"High",""))</f>
        <v/>
      </c>
      <c r="L1777" s="6" t="str">
        <f aca="false">A1777&amp;";"&amp;B1777&amp;";"&amp;C1777</f>
        <v>38.73218907;218.142147;18.3915284728384</v>
      </c>
      <c r="M1777" s="6" t="n">
        <f aca="false">IF(COUNTIF($L$2:$L$2201,L1777)&gt;1,1,0)</f>
        <v>0</v>
      </c>
      <c r="N1777" s="6" t="str">
        <f aca="false">IF(AND(C1777&lt;Assumptions!$B$9,B1777&lt;Assumptions!$B$10),"Irrigate Now",IF(AND(C1777&gt;=Assumptions!$B$11,B1777&gt;=Assumptions!$B$12),"No Irrigation Needed","Monitor"))</f>
        <v>Monitor</v>
      </c>
      <c r="O1777" s="6" t="n">
        <f aca="false">IF(N1777=G1777,1,0)</f>
        <v>1</v>
      </c>
    </row>
    <row r="1778" customFormat="false" ht="15" hidden="false" customHeight="false" outlineLevel="0" collapsed="false">
      <c r="A1778" s="16" t="n">
        <v>32.57720726</v>
      </c>
      <c r="B1778" s="16" t="n">
        <v>93.7942847</v>
      </c>
      <c r="C1778" s="16" t="n">
        <v>12.6783020907595</v>
      </c>
      <c r="D1778" s="6" t="s">
        <v>67</v>
      </c>
      <c r="E1778" s="6" t="s">
        <v>57</v>
      </c>
      <c r="F1778" s="6" t="s">
        <v>24</v>
      </c>
      <c r="G1778" s="6" t="s">
        <v>64</v>
      </c>
      <c r="H1778" s="6" t="s">
        <v>65</v>
      </c>
      <c r="I1778" s="6" t="str">
        <f aca="false">IF(A1778&lt;Outliers!$E$6,"Low",IF(A1778&gt;Outliers!$F$6,"High",""))</f>
        <v/>
      </c>
      <c r="J1778" s="6" t="str">
        <f aca="false">IF(B1778&lt;Outliers!$E$7,"Low",IF(B1778&gt;Outliers!$F$7,"High",""))</f>
        <v/>
      </c>
      <c r="K1778" s="6" t="str">
        <f aca="false">IF(C1778&lt;Outliers!$E$8,"Low",IF(C1778&gt;Outliers!$F$8,"High",""))</f>
        <v/>
      </c>
      <c r="L1778" s="6" t="str">
        <f aca="false">A1778&amp;";"&amp;B1778&amp;";"&amp;C1778</f>
        <v>32.57720726;93.7942847;12.6783020907595</v>
      </c>
      <c r="M1778" s="6" t="n">
        <f aca="false">IF(COUNTIF($L$2:$L$2201,L1778)&gt;1,1,0)</f>
        <v>0</v>
      </c>
      <c r="N1778" s="6" t="str">
        <f aca="false">IF(AND(C1778&lt;Assumptions!$B$9,B1778&lt;Assumptions!$B$10),"Irrigate Now",IF(AND(C1778&gt;=Assumptions!$B$11,B1778&gt;=Assumptions!$B$12),"No Irrigation Needed","Monitor"))</f>
        <v>Irrigate Now</v>
      </c>
      <c r="O1778" s="6" t="n">
        <f aca="false">IF(N1778=G1778,1,0)</f>
        <v>1</v>
      </c>
    </row>
    <row r="1779" customFormat="false" ht="15" hidden="false" customHeight="false" outlineLevel="0" collapsed="false">
      <c r="A1779" s="16" t="n">
        <v>38.38231475</v>
      </c>
      <c r="B1779" s="16" t="n">
        <v>210.2735346</v>
      </c>
      <c r="C1779" s="16" t="n">
        <v>15.3561107227898</v>
      </c>
      <c r="D1779" s="6" t="s">
        <v>67</v>
      </c>
      <c r="E1779" s="6" t="s">
        <v>24</v>
      </c>
      <c r="F1779" s="6" t="s">
        <v>60</v>
      </c>
      <c r="G1779" s="6" t="s">
        <v>61</v>
      </c>
      <c r="H1779" s="6" t="s">
        <v>68</v>
      </c>
      <c r="I1779" s="6" t="str">
        <f aca="false">IF(A1779&lt;Outliers!$E$6,"Low",IF(A1779&gt;Outliers!$F$6,"High",""))</f>
        <v>High</v>
      </c>
      <c r="J1779" s="6" t="str">
        <f aca="false">IF(B1779&lt;Outliers!$E$7,"Low",IF(B1779&gt;Outliers!$F$7,"High",""))</f>
        <v/>
      </c>
      <c r="K1779" s="6" t="str">
        <f aca="false">IF(C1779&lt;Outliers!$E$8,"Low",IF(C1779&gt;Outliers!$F$8,"High",""))</f>
        <v/>
      </c>
      <c r="L1779" s="6" t="str">
        <f aca="false">A1779&amp;";"&amp;B1779&amp;";"&amp;C1779</f>
        <v>38.38231475;210.2735346;15.3561107227898</v>
      </c>
      <c r="M1779" s="6" t="n">
        <f aca="false">IF(COUNTIF($L$2:$L$2201,L1779)&gt;1,1,0)</f>
        <v>0</v>
      </c>
      <c r="N1779" s="6" t="str">
        <f aca="false">IF(AND(C1779&lt;Assumptions!$B$9,B1779&lt;Assumptions!$B$10),"Irrigate Now",IF(AND(C1779&gt;=Assumptions!$B$11,B1779&gt;=Assumptions!$B$12),"No Irrigation Needed","Monitor"))</f>
        <v>Monitor</v>
      </c>
      <c r="O1779" s="6" t="n">
        <f aca="false">IF(N1779=G1779,1,0)</f>
        <v>1</v>
      </c>
    </row>
    <row r="1780" customFormat="false" ht="15" hidden="false" customHeight="false" outlineLevel="0" collapsed="false">
      <c r="A1780" s="16" t="n">
        <v>42.93605359</v>
      </c>
      <c r="B1780" s="16" t="n">
        <v>234.8466111</v>
      </c>
      <c r="C1780" s="16" t="n">
        <v>19.5210577943433</v>
      </c>
      <c r="D1780" s="6" t="s">
        <v>67</v>
      </c>
      <c r="E1780" s="6" t="s">
        <v>24</v>
      </c>
      <c r="F1780" s="6" t="s">
        <v>23</v>
      </c>
      <c r="G1780" s="6" t="s">
        <v>61</v>
      </c>
      <c r="H1780" s="6" t="s">
        <v>68</v>
      </c>
      <c r="I1780" s="6" t="str">
        <f aca="false">IF(A1780&lt;Outliers!$E$6,"Low",IF(A1780&gt;Outliers!$F$6,"High",""))</f>
        <v>High</v>
      </c>
      <c r="J1780" s="6" t="str">
        <f aca="false">IF(B1780&lt;Outliers!$E$7,"Low",IF(B1780&gt;Outliers!$F$7,"High",""))</f>
        <v>High</v>
      </c>
      <c r="K1780" s="6" t="str">
        <f aca="false">IF(C1780&lt;Outliers!$E$8,"Low",IF(C1780&gt;Outliers!$F$8,"High",""))</f>
        <v/>
      </c>
      <c r="L1780" s="6" t="str">
        <f aca="false">A1780&amp;";"&amp;B1780&amp;";"&amp;C1780</f>
        <v>42.93605359;234.8466111;19.5210577943433</v>
      </c>
      <c r="M1780" s="6" t="n">
        <f aca="false">IF(COUNTIF($L$2:$L$2201,L1780)&gt;1,1,0)</f>
        <v>0</v>
      </c>
      <c r="N1780" s="6" t="str">
        <f aca="false">IF(AND(C1780&lt;Assumptions!$B$9,B1780&lt;Assumptions!$B$10),"Irrigate Now",IF(AND(C1780&gt;=Assumptions!$B$11,B1780&gt;=Assumptions!$B$12),"No Irrigation Needed","Monitor"))</f>
        <v>Monitor</v>
      </c>
      <c r="O1780" s="6" t="n">
        <f aca="false">IF(N1780=G1780,1,0)</f>
        <v>1</v>
      </c>
    </row>
    <row r="1781" customFormat="false" ht="15" hidden="false" customHeight="false" outlineLevel="0" collapsed="false">
      <c r="A1781" s="16" t="n">
        <v>25.65492304</v>
      </c>
      <c r="B1781" s="16" t="n">
        <v>52.95477913</v>
      </c>
      <c r="C1781" s="16" t="n">
        <v>16.4612931790918</v>
      </c>
      <c r="D1781" s="6" t="s">
        <v>57</v>
      </c>
      <c r="E1781" s="6" t="s">
        <v>57</v>
      </c>
      <c r="F1781" s="6" t="s">
        <v>24</v>
      </c>
      <c r="G1781" s="6" t="s">
        <v>64</v>
      </c>
      <c r="H1781" s="6" t="s">
        <v>65</v>
      </c>
      <c r="I1781" s="6" t="str">
        <f aca="false">IF(A1781&lt;Outliers!$E$6,"Low",IF(A1781&gt;Outliers!$F$6,"High",""))</f>
        <v/>
      </c>
      <c r="J1781" s="6" t="str">
        <f aca="false">IF(B1781&lt;Outliers!$E$7,"Low",IF(B1781&gt;Outliers!$F$7,"High",""))</f>
        <v/>
      </c>
      <c r="K1781" s="6" t="str">
        <f aca="false">IF(C1781&lt;Outliers!$E$8,"Low",IF(C1781&gt;Outliers!$F$8,"High",""))</f>
        <v/>
      </c>
      <c r="L1781" s="6" t="str">
        <f aca="false">A1781&amp;";"&amp;B1781&amp;";"&amp;C1781</f>
        <v>25.65492304;52.95477913;16.4612931790918</v>
      </c>
      <c r="M1781" s="6" t="n">
        <f aca="false">IF(COUNTIF($L$2:$L$2201,L1781)&gt;1,1,0)</f>
        <v>0</v>
      </c>
      <c r="N1781" s="6" t="str">
        <f aca="false">IF(AND(C1781&lt;Assumptions!$B$9,B1781&lt;Assumptions!$B$10),"Irrigate Now",IF(AND(C1781&gt;=Assumptions!$B$11,B1781&gt;=Assumptions!$B$12),"No Irrigation Needed","Monitor"))</f>
        <v>Irrigate Now</v>
      </c>
      <c r="O1781" s="6" t="n">
        <f aca="false">IF(N1781=G1781,1,0)</f>
        <v>1</v>
      </c>
    </row>
    <row r="1782" customFormat="false" ht="15" hidden="false" customHeight="false" outlineLevel="0" collapsed="false">
      <c r="A1782" s="16" t="n">
        <v>37.58899717</v>
      </c>
      <c r="B1782" s="16" t="n">
        <v>159.6577388</v>
      </c>
      <c r="C1782" s="16" t="n">
        <v>18.5038282463852</v>
      </c>
      <c r="D1782" s="6" t="s">
        <v>67</v>
      </c>
      <c r="E1782" s="6" t="s">
        <v>24</v>
      </c>
      <c r="F1782" s="6" t="s">
        <v>60</v>
      </c>
      <c r="G1782" s="6" t="s">
        <v>61</v>
      </c>
      <c r="H1782" s="6" t="s">
        <v>68</v>
      </c>
      <c r="I1782" s="6" t="str">
        <f aca="false">IF(A1782&lt;Outliers!$E$6,"Low",IF(A1782&gt;Outliers!$F$6,"High",""))</f>
        <v>High</v>
      </c>
      <c r="J1782" s="6" t="str">
        <f aca="false">IF(B1782&lt;Outliers!$E$7,"Low",IF(B1782&gt;Outliers!$F$7,"High",""))</f>
        <v/>
      </c>
      <c r="K1782" s="6" t="str">
        <f aca="false">IF(C1782&lt;Outliers!$E$8,"Low",IF(C1782&gt;Outliers!$F$8,"High",""))</f>
        <v/>
      </c>
      <c r="L1782" s="6" t="str">
        <f aca="false">A1782&amp;";"&amp;B1782&amp;";"&amp;C1782</f>
        <v>37.58899717;159.6577388;18.5038282463852</v>
      </c>
      <c r="M1782" s="6" t="n">
        <f aca="false">IF(COUNTIF($L$2:$L$2201,L1782)&gt;1,1,0)</f>
        <v>0</v>
      </c>
      <c r="N1782" s="6" t="str">
        <f aca="false">IF(AND(C1782&lt;Assumptions!$B$9,B1782&lt;Assumptions!$B$10),"Irrigate Now",IF(AND(C1782&gt;=Assumptions!$B$11,B1782&gt;=Assumptions!$B$12),"No Irrigation Needed","Monitor"))</f>
        <v>Monitor</v>
      </c>
      <c r="O1782" s="6" t="n">
        <f aca="false">IF(N1782=G1782,1,0)</f>
        <v>1</v>
      </c>
    </row>
    <row r="1783" customFormat="false" ht="15" hidden="false" customHeight="false" outlineLevel="0" collapsed="false">
      <c r="A1783" s="16" t="n">
        <v>29.60718808</v>
      </c>
      <c r="B1783" s="16" t="n">
        <v>62.68710535</v>
      </c>
      <c r="C1783" s="16" t="n">
        <v>12.6916037990525</v>
      </c>
      <c r="D1783" s="6" t="s">
        <v>57</v>
      </c>
      <c r="E1783" s="6" t="s">
        <v>57</v>
      </c>
      <c r="F1783" s="6" t="s">
        <v>24</v>
      </c>
      <c r="G1783" s="6" t="s">
        <v>64</v>
      </c>
      <c r="H1783" s="6" t="s">
        <v>65</v>
      </c>
      <c r="I1783" s="6" t="str">
        <f aca="false">IF(A1783&lt;Outliers!$E$6,"Low",IF(A1783&gt;Outliers!$F$6,"High",""))</f>
        <v/>
      </c>
      <c r="J1783" s="6" t="str">
        <f aca="false">IF(B1783&lt;Outliers!$E$7,"Low",IF(B1783&gt;Outliers!$F$7,"High",""))</f>
        <v/>
      </c>
      <c r="K1783" s="6" t="str">
        <f aca="false">IF(C1783&lt;Outliers!$E$8,"Low",IF(C1783&gt;Outliers!$F$8,"High",""))</f>
        <v/>
      </c>
      <c r="L1783" s="6" t="str">
        <f aca="false">A1783&amp;";"&amp;B1783&amp;";"&amp;C1783</f>
        <v>29.60718808;62.68710535;12.6916037990525</v>
      </c>
      <c r="M1783" s="6" t="n">
        <f aca="false">IF(COUNTIF($L$2:$L$2201,L1783)&gt;1,1,0)</f>
        <v>0</v>
      </c>
      <c r="N1783" s="6" t="str">
        <f aca="false">IF(AND(C1783&lt;Assumptions!$B$9,B1783&lt;Assumptions!$B$10),"Irrigate Now",IF(AND(C1783&gt;=Assumptions!$B$11,B1783&gt;=Assumptions!$B$12),"No Irrigation Needed","Monitor"))</f>
        <v>Irrigate Now</v>
      </c>
      <c r="O1783" s="6" t="n">
        <f aca="false">IF(N1783=G1783,1,0)</f>
        <v>1</v>
      </c>
    </row>
    <row r="1784" customFormat="false" ht="15" hidden="false" customHeight="false" outlineLevel="0" collapsed="false">
      <c r="A1784" s="16" t="n">
        <v>25.34756111</v>
      </c>
      <c r="B1784" s="16" t="n">
        <v>174.4012337</v>
      </c>
      <c r="C1784" s="16" t="n">
        <v>22.1796511541085</v>
      </c>
      <c r="D1784" s="6" t="s">
        <v>57</v>
      </c>
      <c r="E1784" s="6" t="s">
        <v>24</v>
      </c>
      <c r="F1784" s="6" t="s">
        <v>23</v>
      </c>
      <c r="G1784" s="6" t="s">
        <v>61</v>
      </c>
      <c r="H1784" s="6" t="s">
        <v>62</v>
      </c>
      <c r="I1784" s="6" t="str">
        <f aca="false">IF(A1784&lt;Outliers!$E$6,"Low",IF(A1784&gt;Outliers!$F$6,"High",""))</f>
        <v/>
      </c>
      <c r="J1784" s="6" t="str">
        <f aca="false">IF(B1784&lt;Outliers!$E$7,"Low",IF(B1784&gt;Outliers!$F$7,"High",""))</f>
        <v/>
      </c>
      <c r="K1784" s="6" t="str">
        <f aca="false">IF(C1784&lt;Outliers!$E$8,"Low",IF(C1784&gt;Outliers!$F$8,"High",""))</f>
        <v/>
      </c>
      <c r="L1784" s="6" t="str">
        <f aca="false">A1784&amp;";"&amp;B1784&amp;";"&amp;C1784</f>
        <v>25.34756111;174.4012337;22.1796511541085</v>
      </c>
      <c r="M1784" s="6" t="n">
        <f aca="false">IF(COUNTIF($L$2:$L$2201,L1784)&gt;1,1,0)</f>
        <v>0</v>
      </c>
      <c r="N1784" s="6" t="str">
        <f aca="false">IF(AND(C1784&lt;Assumptions!$B$9,B1784&lt;Assumptions!$B$10),"Irrigate Now",IF(AND(C1784&gt;=Assumptions!$B$11,B1784&gt;=Assumptions!$B$12),"No Irrigation Needed","Monitor"))</f>
        <v>Monitor</v>
      </c>
      <c r="O1784" s="6" t="n">
        <f aca="false">IF(N1784=G1784,1,0)</f>
        <v>1</v>
      </c>
    </row>
    <row r="1785" customFormat="false" ht="15" hidden="false" customHeight="false" outlineLevel="0" collapsed="false">
      <c r="A1785" s="16" t="n">
        <v>25.9300384</v>
      </c>
      <c r="B1785" s="16" t="n">
        <v>241.8202079</v>
      </c>
      <c r="C1785" s="16" t="n">
        <v>11.945961317375</v>
      </c>
      <c r="D1785" s="6" t="s">
        <v>57</v>
      </c>
      <c r="E1785" s="6" t="s">
        <v>24</v>
      </c>
      <c r="F1785" s="6" t="s">
        <v>60</v>
      </c>
      <c r="G1785" s="6" t="s">
        <v>61</v>
      </c>
      <c r="H1785" s="6" t="s">
        <v>62</v>
      </c>
      <c r="I1785" s="6" t="str">
        <f aca="false">IF(A1785&lt;Outliers!$E$6,"Low",IF(A1785&gt;Outliers!$F$6,"High",""))</f>
        <v/>
      </c>
      <c r="J1785" s="6" t="str">
        <f aca="false">IF(B1785&lt;Outliers!$E$7,"Low",IF(B1785&gt;Outliers!$F$7,"High",""))</f>
        <v>High</v>
      </c>
      <c r="K1785" s="6" t="str">
        <f aca="false">IF(C1785&lt;Outliers!$E$8,"Low",IF(C1785&gt;Outliers!$F$8,"High",""))</f>
        <v/>
      </c>
      <c r="L1785" s="6" t="str">
        <f aca="false">A1785&amp;";"&amp;B1785&amp;";"&amp;C1785</f>
        <v>25.9300384;241.8202079;11.945961317375</v>
      </c>
      <c r="M1785" s="6" t="n">
        <f aca="false">IF(COUNTIF($L$2:$L$2201,L1785)&gt;1,1,0)</f>
        <v>0</v>
      </c>
      <c r="N1785" s="6" t="str">
        <f aca="false">IF(AND(C1785&lt;Assumptions!$B$9,B1785&lt;Assumptions!$B$10),"Irrigate Now",IF(AND(C1785&gt;=Assumptions!$B$11,B1785&gt;=Assumptions!$B$12),"No Irrigation Needed","Monitor"))</f>
        <v>Monitor</v>
      </c>
      <c r="O1785" s="6" t="n">
        <f aca="false">IF(N1785=G1785,1,0)</f>
        <v>1</v>
      </c>
    </row>
    <row r="1786" customFormat="false" ht="15" hidden="false" customHeight="false" outlineLevel="0" collapsed="false">
      <c r="A1786" s="16" t="n">
        <v>32.76795887</v>
      </c>
      <c r="B1786" s="16" t="n">
        <v>240.4795923</v>
      </c>
      <c r="C1786" s="16" t="n">
        <v>12.8926837525513</v>
      </c>
      <c r="D1786" s="6" t="s">
        <v>67</v>
      </c>
      <c r="E1786" s="6" t="s">
        <v>24</v>
      </c>
      <c r="F1786" s="6" t="s">
        <v>60</v>
      </c>
      <c r="G1786" s="6" t="s">
        <v>61</v>
      </c>
      <c r="H1786" s="6" t="s">
        <v>68</v>
      </c>
      <c r="I1786" s="6" t="str">
        <f aca="false">IF(A1786&lt;Outliers!$E$6,"Low",IF(A1786&gt;Outliers!$F$6,"High",""))</f>
        <v/>
      </c>
      <c r="J1786" s="6" t="str">
        <f aca="false">IF(B1786&lt;Outliers!$E$7,"Low",IF(B1786&gt;Outliers!$F$7,"High",""))</f>
        <v>High</v>
      </c>
      <c r="K1786" s="6" t="str">
        <f aca="false">IF(C1786&lt;Outliers!$E$8,"Low",IF(C1786&gt;Outliers!$F$8,"High",""))</f>
        <v/>
      </c>
      <c r="L1786" s="6" t="str">
        <f aca="false">A1786&amp;";"&amp;B1786&amp;";"&amp;C1786</f>
        <v>32.76795887;240.4795923;12.8926837525513</v>
      </c>
      <c r="M1786" s="6" t="n">
        <f aca="false">IF(COUNTIF($L$2:$L$2201,L1786)&gt;1,1,0)</f>
        <v>0</v>
      </c>
      <c r="N1786" s="6" t="str">
        <f aca="false">IF(AND(C1786&lt;Assumptions!$B$9,B1786&lt;Assumptions!$B$10),"Irrigate Now",IF(AND(C1786&gt;=Assumptions!$B$11,B1786&gt;=Assumptions!$B$12),"No Irrigation Needed","Monitor"))</f>
        <v>Monitor</v>
      </c>
      <c r="O1786" s="6" t="n">
        <f aca="false">IF(N1786=G1786,1,0)</f>
        <v>1</v>
      </c>
    </row>
    <row r="1787" customFormat="false" ht="15" hidden="false" customHeight="false" outlineLevel="0" collapsed="false">
      <c r="A1787" s="16" t="n">
        <v>29.02328049</v>
      </c>
      <c r="B1787" s="16" t="n">
        <v>126.8069869</v>
      </c>
      <c r="C1787" s="16" t="n">
        <v>16.9685613246862</v>
      </c>
      <c r="D1787" s="6" t="s">
        <v>57</v>
      </c>
      <c r="E1787" s="6" t="s">
        <v>57</v>
      </c>
      <c r="F1787" s="6" t="s">
        <v>60</v>
      </c>
      <c r="G1787" s="6" t="s">
        <v>61</v>
      </c>
      <c r="H1787" s="6" t="s">
        <v>63</v>
      </c>
      <c r="I1787" s="6" t="str">
        <f aca="false">IF(A1787&lt;Outliers!$E$6,"Low",IF(A1787&gt;Outliers!$F$6,"High",""))</f>
        <v/>
      </c>
      <c r="J1787" s="6" t="str">
        <f aca="false">IF(B1787&lt;Outliers!$E$7,"Low",IF(B1787&gt;Outliers!$F$7,"High",""))</f>
        <v/>
      </c>
      <c r="K1787" s="6" t="str">
        <f aca="false">IF(C1787&lt;Outliers!$E$8,"Low",IF(C1787&gt;Outliers!$F$8,"High",""))</f>
        <v/>
      </c>
      <c r="L1787" s="6" t="str">
        <f aca="false">A1787&amp;";"&amp;B1787&amp;";"&amp;C1787</f>
        <v>29.02328049;126.8069869;16.9685613246862</v>
      </c>
      <c r="M1787" s="6" t="n">
        <f aca="false">IF(COUNTIF($L$2:$L$2201,L1787)&gt;1,1,0)</f>
        <v>0</v>
      </c>
      <c r="N1787" s="6" t="str">
        <f aca="false">IF(AND(C1787&lt;Assumptions!$B$9,B1787&lt;Assumptions!$B$10),"Irrigate Now",IF(AND(C1787&gt;=Assumptions!$B$11,B1787&gt;=Assumptions!$B$12),"No Irrigation Needed","Monitor"))</f>
        <v>Monitor</v>
      </c>
      <c r="O1787" s="6" t="n">
        <f aca="false">IF(N1787=G1787,1,0)</f>
        <v>1</v>
      </c>
    </row>
    <row r="1788" customFormat="false" ht="15" hidden="false" customHeight="false" outlineLevel="0" collapsed="false">
      <c r="A1788" s="16" t="n">
        <v>40.00439101</v>
      </c>
      <c r="B1788" s="16" t="n">
        <v>92.11877372</v>
      </c>
      <c r="C1788" s="16" t="n">
        <v>16.7418349280115</v>
      </c>
      <c r="D1788" s="6" t="s">
        <v>67</v>
      </c>
      <c r="E1788" s="6" t="s">
        <v>57</v>
      </c>
      <c r="F1788" s="6" t="s">
        <v>24</v>
      </c>
      <c r="G1788" s="6" t="s">
        <v>64</v>
      </c>
      <c r="H1788" s="6" t="s">
        <v>65</v>
      </c>
      <c r="I1788" s="6" t="str">
        <f aca="false">IF(A1788&lt;Outliers!$E$6,"Low",IF(A1788&gt;Outliers!$F$6,"High",""))</f>
        <v>High</v>
      </c>
      <c r="J1788" s="6" t="str">
        <f aca="false">IF(B1788&lt;Outliers!$E$7,"Low",IF(B1788&gt;Outliers!$F$7,"High",""))</f>
        <v/>
      </c>
      <c r="K1788" s="6" t="str">
        <f aca="false">IF(C1788&lt;Outliers!$E$8,"Low",IF(C1788&gt;Outliers!$F$8,"High",""))</f>
        <v/>
      </c>
      <c r="L1788" s="6" t="str">
        <f aca="false">A1788&amp;";"&amp;B1788&amp;";"&amp;C1788</f>
        <v>40.00439101;92.11877372;16.7418349280115</v>
      </c>
      <c r="M1788" s="6" t="n">
        <f aca="false">IF(COUNTIF($L$2:$L$2201,L1788)&gt;1,1,0)</f>
        <v>0</v>
      </c>
      <c r="N1788" s="6" t="str">
        <f aca="false">IF(AND(C1788&lt;Assumptions!$B$9,B1788&lt;Assumptions!$B$10),"Irrigate Now",IF(AND(C1788&gt;=Assumptions!$B$11,B1788&gt;=Assumptions!$B$12),"No Irrigation Needed","Monitor"))</f>
        <v>Irrigate Now</v>
      </c>
      <c r="O1788" s="6" t="n">
        <f aca="false">IF(N1788=G1788,1,0)</f>
        <v>1</v>
      </c>
    </row>
    <row r="1789" customFormat="false" ht="15" hidden="false" customHeight="false" outlineLevel="0" collapsed="false">
      <c r="A1789" s="16" t="n">
        <v>33.32315744</v>
      </c>
      <c r="B1789" s="16" t="n">
        <v>234.496633</v>
      </c>
      <c r="C1789" s="16" t="n">
        <v>24.0957359274779</v>
      </c>
      <c r="D1789" s="6" t="s">
        <v>67</v>
      </c>
      <c r="E1789" s="6" t="s">
        <v>24</v>
      </c>
      <c r="F1789" s="6" t="s">
        <v>23</v>
      </c>
      <c r="G1789" s="6" t="s">
        <v>61</v>
      </c>
      <c r="H1789" s="6" t="s">
        <v>62</v>
      </c>
      <c r="I1789" s="6" t="str">
        <f aca="false">IF(A1789&lt;Outliers!$E$6,"Low",IF(A1789&gt;Outliers!$F$6,"High",""))</f>
        <v/>
      </c>
      <c r="J1789" s="6" t="str">
        <f aca="false">IF(B1789&lt;Outliers!$E$7,"Low",IF(B1789&gt;Outliers!$F$7,"High",""))</f>
        <v>High</v>
      </c>
      <c r="K1789" s="6" t="str">
        <f aca="false">IF(C1789&lt;Outliers!$E$8,"Low",IF(C1789&gt;Outliers!$F$8,"High",""))</f>
        <v/>
      </c>
      <c r="L1789" s="6" t="str">
        <f aca="false">A1789&amp;";"&amp;B1789&amp;";"&amp;C1789</f>
        <v>33.32315744;234.496633;24.0957359274779</v>
      </c>
      <c r="M1789" s="6" t="n">
        <f aca="false">IF(COUNTIF($L$2:$L$2201,L1789)&gt;1,1,0)</f>
        <v>0</v>
      </c>
      <c r="N1789" s="6" t="str">
        <f aca="false">IF(AND(C1789&lt;Assumptions!$B$9,B1789&lt;Assumptions!$B$10),"Irrigate Now",IF(AND(C1789&gt;=Assumptions!$B$11,B1789&gt;=Assumptions!$B$12),"No Irrigation Needed","Monitor"))</f>
        <v>Monitor</v>
      </c>
      <c r="O1789" s="6" t="n">
        <f aca="false">IF(N1789=G1789,1,0)</f>
        <v>1</v>
      </c>
    </row>
    <row r="1790" customFormat="false" ht="15" hidden="false" customHeight="false" outlineLevel="0" collapsed="false">
      <c r="A1790" s="16" t="n">
        <v>31.22790131</v>
      </c>
      <c r="B1790" s="16" t="n">
        <v>46.44279118</v>
      </c>
      <c r="C1790" s="16" t="n">
        <v>11.5623400487552</v>
      </c>
      <c r="D1790" s="6" t="s">
        <v>67</v>
      </c>
      <c r="E1790" s="6" t="s">
        <v>23</v>
      </c>
      <c r="F1790" s="6" t="s">
        <v>24</v>
      </c>
      <c r="G1790" s="6" t="s">
        <v>64</v>
      </c>
      <c r="H1790" s="6" t="s">
        <v>65</v>
      </c>
      <c r="I1790" s="6" t="str">
        <f aca="false">IF(A1790&lt;Outliers!$E$6,"Low",IF(A1790&gt;Outliers!$F$6,"High",""))</f>
        <v/>
      </c>
      <c r="J1790" s="6" t="str">
        <f aca="false">IF(B1790&lt;Outliers!$E$7,"Low",IF(B1790&gt;Outliers!$F$7,"High",""))</f>
        <v/>
      </c>
      <c r="K1790" s="6" t="str">
        <f aca="false">IF(C1790&lt;Outliers!$E$8,"Low",IF(C1790&gt;Outliers!$F$8,"High",""))</f>
        <v/>
      </c>
      <c r="L1790" s="6" t="str">
        <f aca="false">A1790&amp;";"&amp;B1790&amp;";"&amp;C1790</f>
        <v>31.22790131;46.44279118;11.5623400487552</v>
      </c>
      <c r="M1790" s="6" t="n">
        <f aca="false">IF(COUNTIF($L$2:$L$2201,L1790)&gt;1,1,0)</f>
        <v>0</v>
      </c>
      <c r="N1790" s="6" t="str">
        <f aca="false">IF(AND(C1790&lt;Assumptions!$B$9,B1790&lt;Assumptions!$B$10),"Irrigate Now",IF(AND(C1790&gt;=Assumptions!$B$11,B1790&gt;=Assumptions!$B$12),"No Irrigation Needed","Monitor"))</f>
        <v>Irrigate Now</v>
      </c>
      <c r="O1790" s="6" t="n">
        <f aca="false">IF(N1790=G1790,1,0)</f>
        <v>1</v>
      </c>
    </row>
    <row r="1791" customFormat="false" ht="15" hidden="false" customHeight="false" outlineLevel="0" collapsed="false">
      <c r="A1791" s="16" t="n">
        <v>26.68386496</v>
      </c>
      <c r="B1791" s="16" t="n">
        <v>62.50689682</v>
      </c>
      <c r="C1791" s="16" t="n">
        <v>22.2238678377707</v>
      </c>
      <c r="D1791" s="6" t="s">
        <v>57</v>
      </c>
      <c r="E1791" s="6" t="s">
        <v>57</v>
      </c>
      <c r="F1791" s="6" t="s">
        <v>60</v>
      </c>
      <c r="G1791" s="6" t="s">
        <v>61</v>
      </c>
      <c r="H1791" s="6" t="s">
        <v>63</v>
      </c>
      <c r="I1791" s="6" t="str">
        <f aca="false">IF(A1791&lt;Outliers!$E$6,"Low",IF(A1791&gt;Outliers!$F$6,"High",""))</f>
        <v/>
      </c>
      <c r="J1791" s="6" t="str">
        <f aca="false">IF(B1791&lt;Outliers!$E$7,"Low",IF(B1791&gt;Outliers!$F$7,"High",""))</f>
        <v/>
      </c>
      <c r="K1791" s="6" t="str">
        <f aca="false">IF(C1791&lt;Outliers!$E$8,"Low",IF(C1791&gt;Outliers!$F$8,"High",""))</f>
        <v/>
      </c>
      <c r="L1791" s="6" t="str">
        <f aca="false">A1791&amp;";"&amp;B1791&amp;";"&amp;C1791</f>
        <v>26.68386496;62.50689682;22.2238678377707</v>
      </c>
      <c r="M1791" s="6" t="n">
        <f aca="false">IF(COUNTIF($L$2:$L$2201,L1791)&gt;1,1,0)</f>
        <v>0</v>
      </c>
      <c r="N1791" s="6" t="str">
        <f aca="false">IF(AND(C1791&lt;Assumptions!$B$9,B1791&lt;Assumptions!$B$10),"Irrigate Now",IF(AND(C1791&gt;=Assumptions!$B$11,B1791&gt;=Assumptions!$B$12),"No Irrigation Needed","Monitor"))</f>
        <v>Monitor</v>
      </c>
      <c r="O1791" s="6" t="n">
        <f aca="false">IF(N1791=G1791,1,0)</f>
        <v>1</v>
      </c>
    </row>
    <row r="1792" customFormat="false" ht="15" hidden="false" customHeight="false" outlineLevel="0" collapsed="false">
      <c r="A1792" s="16" t="n">
        <v>24.70528368</v>
      </c>
      <c r="B1792" s="16" t="n">
        <v>108.4103158</v>
      </c>
      <c r="C1792" s="16" t="n">
        <v>12.2293448759005</v>
      </c>
      <c r="D1792" s="6" t="s">
        <v>57</v>
      </c>
      <c r="E1792" s="6" t="s">
        <v>57</v>
      </c>
      <c r="F1792" s="6" t="s">
        <v>24</v>
      </c>
      <c r="G1792" s="6" t="s">
        <v>61</v>
      </c>
      <c r="H1792" s="6" t="s">
        <v>63</v>
      </c>
      <c r="I1792" s="6" t="str">
        <f aca="false">IF(A1792&lt;Outliers!$E$6,"Low",IF(A1792&gt;Outliers!$F$6,"High",""))</f>
        <v/>
      </c>
      <c r="J1792" s="6" t="str">
        <f aca="false">IF(B1792&lt;Outliers!$E$7,"Low",IF(B1792&gt;Outliers!$F$7,"High",""))</f>
        <v/>
      </c>
      <c r="K1792" s="6" t="str">
        <f aca="false">IF(C1792&lt;Outliers!$E$8,"Low",IF(C1792&gt;Outliers!$F$8,"High",""))</f>
        <v/>
      </c>
      <c r="L1792" s="6" t="str">
        <f aca="false">A1792&amp;";"&amp;B1792&amp;";"&amp;C1792</f>
        <v>24.70528368;108.4103158;12.2293448759005</v>
      </c>
      <c r="M1792" s="6" t="n">
        <f aca="false">IF(COUNTIF($L$2:$L$2201,L1792)&gt;1,1,0)</f>
        <v>0</v>
      </c>
      <c r="N1792" s="6" t="str">
        <f aca="false">IF(AND(C1792&lt;Assumptions!$B$9,B1792&lt;Assumptions!$B$10),"Irrigate Now",IF(AND(C1792&gt;=Assumptions!$B$11,B1792&gt;=Assumptions!$B$12),"No Irrigation Needed","Monitor"))</f>
        <v>Monitor</v>
      </c>
      <c r="O1792" s="6" t="n">
        <f aca="false">IF(N1792=G1792,1,0)</f>
        <v>1</v>
      </c>
    </row>
    <row r="1793" customFormat="false" ht="15" hidden="false" customHeight="false" outlineLevel="0" collapsed="false">
      <c r="A1793" s="16" t="n">
        <v>38.2016825</v>
      </c>
      <c r="B1793" s="16" t="n">
        <v>218.0908814</v>
      </c>
      <c r="C1793" s="16" t="n">
        <v>14.3514457714877</v>
      </c>
      <c r="D1793" s="6" t="s">
        <v>67</v>
      </c>
      <c r="E1793" s="6" t="s">
        <v>24</v>
      </c>
      <c r="F1793" s="6" t="s">
        <v>60</v>
      </c>
      <c r="G1793" s="6" t="s">
        <v>61</v>
      </c>
      <c r="H1793" s="6" t="s">
        <v>68</v>
      </c>
      <c r="I1793" s="6" t="str">
        <f aca="false">IF(A1793&lt;Outliers!$E$6,"Low",IF(A1793&gt;Outliers!$F$6,"High",""))</f>
        <v>High</v>
      </c>
      <c r="J1793" s="6" t="str">
        <f aca="false">IF(B1793&lt;Outliers!$E$7,"Low",IF(B1793&gt;Outliers!$F$7,"High",""))</f>
        <v>High</v>
      </c>
      <c r="K1793" s="6" t="str">
        <f aca="false">IF(C1793&lt;Outliers!$E$8,"Low",IF(C1793&gt;Outliers!$F$8,"High",""))</f>
        <v/>
      </c>
      <c r="L1793" s="6" t="str">
        <f aca="false">A1793&amp;";"&amp;B1793&amp;";"&amp;C1793</f>
        <v>38.2016825;218.0908814;14.3514457714877</v>
      </c>
      <c r="M1793" s="6" t="n">
        <f aca="false">IF(COUNTIF($L$2:$L$2201,L1793)&gt;1,1,0)</f>
        <v>0</v>
      </c>
      <c r="N1793" s="6" t="str">
        <f aca="false">IF(AND(C1793&lt;Assumptions!$B$9,B1793&lt;Assumptions!$B$10),"Irrigate Now",IF(AND(C1793&gt;=Assumptions!$B$11,B1793&gt;=Assumptions!$B$12),"No Irrigation Needed","Monitor"))</f>
        <v>Monitor</v>
      </c>
      <c r="O1793" s="6" t="n">
        <f aca="false">IF(N1793=G1793,1,0)</f>
        <v>1</v>
      </c>
    </row>
    <row r="1794" customFormat="false" ht="15" hidden="false" customHeight="false" outlineLevel="0" collapsed="false">
      <c r="A1794" s="16" t="n">
        <v>36.56769731</v>
      </c>
      <c r="B1794" s="16" t="n">
        <v>104.4218596</v>
      </c>
      <c r="C1794" s="16" t="n">
        <v>24.4935573148166</v>
      </c>
      <c r="D1794" s="6" t="s">
        <v>67</v>
      </c>
      <c r="E1794" s="6" t="s">
        <v>57</v>
      </c>
      <c r="F1794" s="6" t="s">
        <v>23</v>
      </c>
      <c r="G1794" s="6" t="s">
        <v>61</v>
      </c>
      <c r="H1794" s="6" t="s">
        <v>63</v>
      </c>
      <c r="I1794" s="6" t="str">
        <f aca="false">IF(A1794&lt;Outliers!$E$6,"Low",IF(A1794&gt;Outliers!$F$6,"High",""))</f>
        <v/>
      </c>
      <c r="J1794" s="6" t="str">
        <f aca="false">IF(B1794&lt;Outliers!$E$7,"Low",IF(B1794&gt;Outliers!$F$7,"High",""))</f>
        <v/>
      </c>
      <c r="K1794" s="6" t="str">
        <f aca="false">IF(C1794&lt;Outliers!$E$8,"Low",IF(C1794&gt;Outliers!$F$8,"High",""))</f>
        <v/>
      </c>
      <c r="L1794" s="6" t="str">
        <f aca="false">A1794&amp;";"&amp;B1794&amp;";"&amp;C1794</f>
        <v>36.56769731;104.4218596;24.4935573148166</v>
      </c>
      <c r="M1794" s="6" t="n">
        <f aca="false">IF(COUNTIF($L$2:$L$2201,L1794)&gt;1,1,0)</f>
        <v>0</v>
      </c>
      <c r="N1794" s="6" t="str">
        <f aca="false">IF(AND(C1794&lt;Assumptions!$B$9,B1794&lt;Assumptions!$B$10),"Irrigate Now",IF(AND(C1794&gt;=Assumptions!$B$11,B1794&gt;=Assumptions!$B$12),"No Irrigation Needed","Monitor"))</f>
        <v>Monitor</v>
      </c>
      <c r="O1794" s="6" t="n">
        <f aca="false">IF(N1794=G1794,1,0)</f>
        <v>1</v>
      </c>
    </row>
    <row r="1795" customFormat="false" ht="15" hidden="false" customHeight="false" outlineLevel="0" collapsed="false">
      <c r="A1795" s="16" t="n">
        <v>26.05375792</v>
      </c>
      <c r="B1795" s="16" t="n">
        <v>240.6863901</v>
      </c>
      <c r="C1795" s="16" t="n">
        <v>28.5311812529083</v>
      </c>
      <c r="D1795" s="6" t="s">
        <v>57</v>
      </c>
      <c r="E1795" s="6" t="s">
        <v>24</v>
      </c>
      <c r="F1795" s="6" t="s">
        <v>23</v>
      </c>
      <c r="G1795" s="6" t="s">
        <v>58</v>
      </c>
      <c r="H1795" s="6" t="s">
        <v>59</v>
      </c>
      <c r="I1795" s="6" t="str">
        <f aca="false">IF(A1795&lt;Outliers!$E$6,"Low",IF(A1795&gt;Outliers!$F$6,"High",""))</f>
        <v/>
      </c>
      <c r="J1795" s="6" t="str">
        <f aca="false">IF(B1795&lt;Outliers!$E$7,"Low",IF(B1795&gt;Outliers!$F$7,"High",""))</f>
        <v>High</v>
      </c>
      <c r="K1795" s="6" t="str">
        <f aca="false">IF(C1795&lt;Outliers!$E$8,"Low",IF(C1795&gt;Outliers!$F$8,"High",""))</f>
        <v/>
      </c>
      <c r="L1795" s="6" t="str">
        <f aca="false">A1795&amp;";"&amp;B1795&amp;";"&amp;C1795</f>
        <v>26.05375792;240.6863901;28.5311812529083</v>
      </c>
      <c r="M1795" s="6" t="n">
        <f aca="false">IF(COUNTIF($L$2:$L$2201,L1795)&gt;1,1,0)</f>
        <v>0</v>
      </c>
      <c r="N1795" s="6" t="str">
        <f aca="false">IF(AND(C1795&lt;Assumptions!$B$9,B1795&lt;Assumptions!$B$10),"Irrigate Now",IF(AND(C1795&gt;=Assumptions!$B$11,B1795&gt;=Assumptions!$B$12),"No Irrigation Needed","Monitor"))</f>
        <v>No Irrigation Needed</v>
      </c>
      <c r="O1795" s="6" t="n">
        <f aca="false">IF(N1795=G1795,1,0)</f>
        <v>1</v>
      </c>
    </row>
    <row r="1796" customFormat="false" ht="15" hidden="false" customHeight="false" outlineLevel="0" collapsed="false">
      <c r="A1796" s="16" t="n">
        <v>31.29986342</v>
      </c>
      <c r="B1796" s="16" t="n">
        <v>54.77830202</v>
      </c>
      <c r="C1796" s="16" t="n">
        <v>12.1580810088762</v>
      </c>
      <c r="D1796" s="6" t="s">
        <v>67</v>
      </c>
      <c r="E1796" s="6" t="s">
        <v>57</v>
      </c>
      <c r="F1796" s="6" t="s">
        <v>24</v>
      </c>
      <c r="G1796" s="6" t="s">
        <v>64</v>
      </c>
      <c r="H1796" s="6" t="s">
        <v>65</v>
      </c>
      <c r="I1796" s="6" t="str">
        <f aca="false">IF(A1796&lt;Outliers!$E$6,"Low",IF(A1796&gt;Outliers!$F$6,"High",""))</f>
        <v/>
      </c>
      <c r="J1796" s="6" t="str">
        <f aca="false">IF(B1796&lt;Outliers!$E$7,"Low",IF(B1796&gt;Outliers!$F$7,"High",""))</f>
        <v/>
      </c>
      <c r="K1796" s="6" t="str">
        <f aca="false">IF(C1796&lt;Outliers!$E$8,"Low",IF(C1796&gt;Outliers!$F$8,"High",""))</f>
        <v/>
      </c>
      <c r="L1796" s="6" t="str">
        <f aca="false">A1796&amp;";"&amp;B1796&amp;";"&amp;C1796</f>
        <v>31.29986342;54.77830202;12.1580810088762</v>
      </c>
      <c r="M1796" s="6" t="n">
        <f aca="false">IF(COUNTIF($L$2:$L$2201,L1796)&gt;1,1,0)</f>
        <v>0</v>
      </c>
      <c r="N1796" s="6" t="str">
        <f aca="false">IF(AND(C1796&lt;Assumptions!$B$9,B1796&lt;Assumptions!$B$10),"Irrigate Now",IF(AND(C1796&gt;=Assumptions!$B$11,B1796&gt;=Assumptions!$B$12),"No Irrigation Needed","Monitor"))</f>
        <v>Irrigate Now</v>
      </c>
      <c r="O1796" s="6" t="n">
        <f aca="false">IF(N1796=G1796,1,0)</f>
        <v>1</v>
      </c>
    </row>
    <row r="1797" customFormat="false" ht="15" hidden="false" customHeight="false" outlineLevel="0" collapsed="false">
      <c r="A1797" s="16" t="n">
        <v>40.10207731</v>
      </c>
      <c r="B1797" s="16" t="n">
        <v>149.1199989</v>
      </c>
      <c r="C1797" s="16" t="n">
        <v>25.3664548823965</v>
      </c>
      <c r="D1797" s="6" t="s">
        <v>67</v>
      </c>
      <c r="E1797" s="6" t="s">
        <v>57</v>
      </c>
      <c r="F1797" s="6" t="s">
        <v>23</v>
      </c>
      <c r="G1797" s="6" t="s">
        <v>58</v>
      </c>
      <c r="H1797" s="6" t="s">
        <v>59</v>
      </c>
      <c r="I1797" s="6" t="str">
        <f aca="false">IF(A1797&lt;Outliers!$E$6,"Low",IF(A1797&gt;Outliers!$F$6,"High",""))</f>
        <v>High</v>
      </c>
      <c r="J1797" s="6" t="str">
        <f aca="false">IF(B1797&lt;Outliers!$E$7,"Low",IF(B1797&gt;Outliers!$F$7,"High",""))</f>
        <v/>
      </c>
      <c r="K1797" s="6" t="str">
        <f aca="false">IF(C1797&lt;Outliers!$E$8,"Low",IF(C1797&gt;Outliers!$F$8,"High",""))</f>
        <v/>
      </c>
      <c r="L1797" s="6" t="str">
        <f aca="false">A1797&amp;";"&amp;B1797&amp;";"&amp;C1797</f>
        <v>40.10207731;149.1199989;25.3664548823965</v>
      </c>
      <c r="M1797" s="6" t="n">
        <f aca="false">IF(COUNTIF($L$2:$L$2201,L1797)&gt;1,1,0)</f>
        <v>0</v>
      </c>
      <c r="N1797" s="6" t="str">
        <f aca="false">IF(AND(C1797&lt;Assumptions!$B$9,B1797&lt;Assumptions!$B$10),"Irrigate Now",IF(AND(C1797&gt;=Assumptions!$B$11,B1797&gt;=Assumptions!$B$12),"No Irrigation Needed","Monitor"))</f>
        <v>No Irrigation Needed</v>
      </c>
      <c r="O1797" s="6" t="n">
        <f aca="false">IF(N1797=G1797,1,0)</f>
        <v>1</v>
      </c>
    </row>
    <row r="1798" customFormat="false" ht="15" hidden="false" customHeight="false" outlineLevel="0" collapsed="false">
      <c r="A1798" s="16" t="n">
        <v>38.58954491</v>
      </c>
      <c r="B1798" s="16" t="n">
        <v>102.2708231</v>
      </c>
      <c r="C1798" s="16" t="n">
        <v>27.9290606515207</v>
      </c>
      <c r="D1798" s="6" t="s">
        <v>67</v>
      </c>
      <c r="E1798" s="6" t="s">
        <v>57</v>
      </c>
      <c r="F1798" s="6" t="s">
        <v>23</v>
      </c>
      <c r="G1798" s="6" t="s">
        <v>58</v>
      </c>
      <c r="H1798" s="6" t="s">
        <v>59</v>
      </c>
      <c r="I1798" s="6" t="str">
        <f aca="false">IF(A1798&lt;Outliers!$E$6,"Low",IF(A1798&gt;Outliers!$F$6,"High",""))</f>
        <v>High</v>
      </c>
      <c r="J1798" s="6" t="str">
        <f aca="false">IF(B1798&lt;Outliers!$E$7,"Low",IF(B1798&gt;Outliers!$F$7,"High",""))</f>
        <v/>
      </c>
      <c r="K1798" s="6" t="str">
        <f aca="false">IF(C1798&lt;Outliers!$E$8,"Low",IF(C1798&gt;Outliers!$F$8,"High",""))</f>
        <v/>
      </c>
      <c r="L1798" s="6" t="str">
        <f aca="false">A1798&amp;";"&amp;B1798&amp;";"&amp;C1798</f>
        <v>38.58954491;102.2708231;27.9290606515207</v>
      </c>
      <c r="M1798" s="6" t="n">
        <f aca="false">IF(COUNTIF($L$2:$L$2201,L1798)&gt;1,1,0)</f>
        <v>0</v>
      </c>
      <c r="N1798" s="6" t="str">
        <f aca="false">IF(AND(C1798&lt;Assumptions!$B$9,B1798&lt;Assumptions!$B$10),"Irrigate Now",IF(AND(C1798&gt;=Assumptions!$B$11,B1798&gt;=Assumptions!$B$12),"No Irrigation Needed","Monitor"))</f>
        <v>No Irrigation Needed</v>
      </c>
      <c r="O1798" s="6" t="n">
        <f aca="false">IF(N1798=G1798,1,0)</f>
        <v>1</v>
      </c>
    </row>
    <row r="1799" customFormat="false" ht="15" hidden="false" customHeight="false" outlineLevel="0" collapsed="false">
      <c r="A1799" s="16" t="n">
        <v>41.31330062</v>
      </c>
      <c r="B1799" s="16" t="n">
        <v>239.7427554</v>
      </c>
      <c r="C1799" s="16" t="n">
        <v>12.3063316038053</v>
      </c>
      <c r="D1799" s="6" t="s">
        <v>67</v>
      </c>
      <c r="E1799" s="6" t="s">
        <v>24</v>
      </c>
      <c r="F1799" s="6" t="s">
        <v>60</v>
      </c>
      <c r="G1799" s="6" t="s">
        <v>61</v>
      </c>
      <c r="H1799" s="6" t="s">
        <v>68</v>
      </c>
      <c r="I1799" s="6" t="str">
        <f aca="false">IF(A1799&lt;Outliers!$E$6,"Low",IF(A1799&gt;Outliers!$F$6,"High",""))</f>
        <v>High</v>
      </c>
      <c r="J1799" s="6" t="str">
        <f aca="false">IF(B1799&lt;Outliers!$E$7,"Low",IF(B1799&gt;Outliers!$F$7,"High",""))</f>
        <v>High</v>
      </c>
      <c r="K1799" s="6" t="str">
        <f aca="false">IF(C1799&lt;Outliers!$E$8,"Low",IF(C1799&gt;Outliers!$F$8,"High",""))</f>
        <v/>
      </c>
      <c r="L1799" s="6" t="str">
        <f aca="false">A1799&amp;";"&amp;B1799&amp;";"&amp;C1799</f>
        <v>41.31330062;239.7427554;12.3063316038053</v>
      </c>
      <c r="M1799" s="6" t="n">
        <f aca="false">IF(COUNTIF($L$2:$L$2201,L1799)&gt;1,1,0)</f>
        <v>0</v>
      </c>
      <c r="N1799" s="6" t="str">
        <f aca="false">IF(AND(C1799&lt;Assumptions!$B$9,B1799&lt;Assumptions!$B$10),"Irrigate Now",IF(AND(C1799&gt;=Assumptions!$B$11,B1799&gt;=Assumptions!$B$12),"No Irrigation Needed","Monitor"))</f>
        <v>Monitor</v>
      </c>
      <c r="O1799" s="6" t="n">
        <f aca="false">IF(N1799=G1799,1,0)</f>
        <v>1</v>
      </c>
    </row>
    <row r="1800" customFormat="false" ht="15" hidden="false" customHeight="false" outlineLevel="0" collapsed="false">
      <c r="A1800" s="16" t="n">
        <v>37.03551903</v>
      </c>
      <c r="B1800" s="16" t="n">
        <v>188.5181422</v>
      </c>
      <c r="C1800" s="16" t="n">
        <v>22.1343143346331</v>
      </c>
      <c r="D1800" s="6" t="s">
        <v>67</v>
      </c>
      <c r="E1800" s="6" t="s">
        <v>24</v>
      </c>
      <c r="F1800" s="6" t="s">
        <v>23</v>
      </c>
      <c r="G1800" s="6" t="s">
        <v>61</v>
      </c>
      <c r="H1800" s="6" t="s">
        <v>62</v>
      </c>
      <c r="I1800" s="6" t="str">
        <f aca="false">IF(A1800&lt;Outliers!$E$6,"Low",IF(A1800&gt;Outliers!$F$6,"High",""))</f>
        <v/>
      </c>
      <c r="J1800" s="6" t="str">
        <f aca="false">IF(B1800&lt;Outliers!$E$7,"Low",IF(B1800&gt;Outliers!$F$7,"High",""))</f>
        <v/>
      </c>
      <c r="K1800" s="6" t="str">
        <f aca="false">IF(C1800&lt;Outliers!$E$8,"Low",IF(C1800&gt;Outliers!$F$8,"High",""))</f>
        <v/>
      </c>
      <c r="L1800" s="6" t="str">
        <f aca="false">A1800&amp;";"&amp;B1800&amp;";"&amp;C1800</f>
        <v>37.03551903;188.5181422;22.1343143346331</v>
      </c>
      <c r="M1800" s="6" t="n">
        <f aca="false">IF(COUNTIF($L$2:$L$2201,L1800)&gt;1,1,0)</f>
        <v>0</v>
      </c>
      <c r="N1800" s="6" t="str">
        <f aca="false">IF(AND(C1800&lt;Assumptions!$B$9,B1800&lt;Assumptions!$B$10),"Irrigate Now",IF(AND(C1800&gt;=Assumptions!$B$11,B1800&gt;=Assumptions!$B$12),"No Irrigation Needed","Monitor"))</f>
        <v>Monitor</v>
      </c>
      <c r="O1800" s="6" t="n">
        <f aca="false">IF(N1800=G1800,1,0)</f>
        <v>1</v>
      </c>
    </row>
    <row r="1801" customFormat="false" ht="15" hidden="false" customHeight="false" outlineLevel="0" collapsed="false">
      <c r="A1801" s="16" t="n">
        <v>23.0124018</v>
      </c>
      <c r="B1801" s="16" t="n">
        <v>208.3357976</v>
      </c>
      <c r="C1801" s="16" t="n">
        <v>28.8599228902127</v>
      </c>
      <c r="D1801" s="6" t="s">
        <v>57</v>
      </c>
      <c r="E1801" s="6" t="s">
        <v>24</v>
      </c>
      <c r="F1801" s="6" t="s">
        <v>23</v>
      </c>
      <c r="G1801" s="6" t="s">
        <v>58</v>
      </c>
      <c r="H1801" s="6" t="s">
        <v>59</v>
      </c>
      <c r="I1801" s="6" t="str">
        <f aca="false">IF(A1801&lt;Outliers!$E$6,"Low",IF(A1801&gt;Outliers!$F$6,"High",""))</f>
        <v/>
      </c>
      <c r="J1801" s="6" t="str">
        <f aca="false">IF(B1801&lt;Outliers!$E$7,"Low",IF(B1801&gt;Outliers!$F$7,"High",""))</f>
        <v/>
      </c>
      <c r="K1801" s="6" t="str">
        <f aca="false">IF(C1801&lt;Outliers!$E$8,"Low",IF(C1801&gt;Outliers!$F$8,"High",""))</f>
        <v/>
      </c>
      <c r="L1801" s="6" t="str">
        <f aca="false">A1801&amp;";"&amp;B1801&amp;";"&amp;C1801</f>
        <v>23.0124018;208.3357976;28.8599228902127</v>
      </c>
      <c r="M1801" s="6" t="n">
        <f aca="false">IF(COUNTIF($L$2:$L$2201,L1801)&gt;1,1,0)</f>
        <v>0</v>
      </c>
      <c r="N1801" s="6" t="str">
        <f aca="false">IF(AND(C1801&lt;Assumptions!$B$9,B1801&lt;Assumptions!$B$10),"Irrigate Now",IF(AND(C1801&gt;=Assumptions!$B$11,B1801&gt;=Assumptions!$B$12),"No Irrigation Needed","Monitor"))</f>
        <v>No Irrigation Needed</v>
      </c>
      <c r="O1801" s="6" t="n">
        <f aca="false">IF(N1801=G1801,1,0)</f>
        <v>1</v>
      </c>
    </row>
    <row r="1802" customFormat="false" ht="15" hidden="false" customHeight="false" outlineLevel="0" collapsed="false">
      <c r="A1802" s="16" t="n">
        <v>26.7627493</v>
      </c>
      <c r="B1802" s="16" t="n">
        <v>224.5903664</v>
      </c>
      <c r="C1802" s="16" t="n">
        <v>25.8487725951051</v>
      </c>
      <c r="D1802" s="6" t="s">
        <v>57</v>
      </c>
      <c r="E1802" s="6" t="s">
        <v>24</v>
      </c>
      <c r="F1802" s="6" t="s">
        <v>23</v>
      </c>
      <c r="G1802" s="6" t="s">
        <v>58</v>
      </c>
      <c r="H1802" s="6" t="s">
        <v>59</v>
      </c>
      <c r="I1802" s="6" t="str">
        <f aca="false">IF(A1802&lt;Outliers!$E$6,"Low",IF(A1802&gt;Outliers!$F$6,"High",""))</f>
        <v/>
      </c>
      <c r="J1802" s="6" t="str">
        <f aca="false">IF(B1802&lt;Outliers!$E$7,"Low",IF(B1802&gt;Outliers!$F$7,"High",""))</f>
        <v>High</v>
      </c>
      <c r="K1802" s="6" t="str">
        <f aca="false">IF(C1802&lt;Outliers!$E$8,"Low",IF(C1802&gt;Outliers!$F$8,"High",""))</f>
        <v/>
      </c>
      <c r="L1802" s="6" t="str">
        <f aca="false">A1802&amp;";"&amp;B1802&amp;";"&amp;C1802</f>
        <v>26.7627493;224.5903664;25.8487725951051</v>
      </c>
      <c r="M1802" s="6" t="n">
        <f aca="false">IF(COUNTIF($L$2:$L$2201,L1802)&gt;1,1,0)</f>
        <v>0</v>
      </c>
      <c r="N1802" s="6" t="str">
        <f aca="false">IF(AND(C1802&lt;Assumptions!$B$9,B1802&lt;Assumptions!$B$10),"Irrigate Now",IF(AND(C1802&gt;=Assumptions!$B$11,B1802&gt;=Assumptions!$B$12),"No Irrigation Needed","Monitor"))</f>
        <v>No Irrigation Needed</v>
      </c>
      <c r="O1802" s="6" t="n">
        <f aca="false">IF(N1802=G1802,1,0)</f>
        <v>1</v>
      </c>
    </row>
    <row r="1803" customFormat="false" ht="15" hidden="false" customHeight="false" outlineLevel="0" collapsed="false">
      <c r="A1803" s="16" t="n">
        <v>25.61294367</v>
      </c>
      <c r="B1803" s="16" t="n">
        <v>224.3206759</v>
      </c>
      <c r="C1803" s="16" t="n">
        <v>24.0710765765587</v>
      </c>
      <c r="D1803" s="6" t="s">
        <v>57</v>
      </c>
      <c r="E1803" s="6" t="s">
        <v>24</v>
      </c>
      <c r="F1803" s="6" t="s">
        <v>23</v>
      </c>
      <c r="G1803" s="6" t="s">
        <v>61</v>
      </c>
      <c r="H1803" s="6" t="s">
        <v>62</v>
      </c>
      <c r="I1803" s="6" t="str">
        <f aca="false">IF(A1803&lt;Outliers!$E$6,"Low",IF(A1803&gt;Outliers!$F$6,"High",""))</f>
        <v/>
      </c>
      <c r="J1803" s="6" t="str">
        <f aca="false">IF(B1803&lt;Outliers!$E$7,"Low",IF(B1803&gt;Outliers!$F$7,"High",""))</f>
        <v>High</v>
      </c>
      <c r="K1803" s="6" t="str">
        <f aca="false">IF(C1803&lt;Outliers!$E$8,"Low",IF(C1803&gt;Outliers!$F$8,"High",""))</f>
        <v/>
      </c>
      <c r="L1803" s="6" t="str">
        <f aca="false">A1803&amp;";"&amp;B1803&amp;";"&amp;C1803</f>
        <v>25.61294367;224.3206759;24.0710765765587</v>
      </c>
      <c r="M1803" s="6" t="n">
        <f aca="false">IF(COUNTIF($L$2:$L$2201,L1803)&gt;1,1,0)</f>
        <v>0</v>
      </c>
      <c r="N1803" s="6" t="str">
        <f aca="false">IF(AND(C1803&lt;Assumptions!$B$9,B1803&lt;Assumptions!$B$10),"Irrigate Now",IF(AND(C1803&gt;=Assumptions!$B$11,B1803&gt;=Assumptions!$B$12),"No Irrigation Needed","Monitor"))</f>
        <v>Monitor</v>
      </c>
      <c r="O1803" s="6" t="n">
        <f aca="false">IF(N1803=G1803,1,0)</f>
        <v>1</v>
      </c>
    </row>
    <row r="1804" customFormat="false" ht="15" hidden="false" customHeight="false" outlineLevel="0" collapsed="false">
      <c r="A1804" s="16" t="n">
        <v>28.130115</v>
      </c>
      <c r="B1804" s="16" t="n">
        <v>151.0761899</v>
      </c>
      <c r="C1804" s="16" t="n">
        <v>14.6612778345723</v>
      </c>
      <c r="D1804" s="6" t="s">
        <v>57</v>
      </c>
      <c r="E1804" s="6" t="s">
        <v>24</v>
      </c>
      <c r="F1804" s="6" t="s">
        <v>60</v>
      </c>
      <c r="G1804" s="6" t="s">
        <v>61</v>
      </c>
      <c r="H1804" s="6" t="s">
        <v>62</v>
      </c>
      <c r="I1804" s="6" t="str">
        <f aca="false">IF(A1804&lt;Outliers!$E$6,"Low",IF(A1804&gt;Outliers!$F$6,"High",""))</f>
        <v/>
      </c>
      <c r="J1804" s="6" t="str">
        <f aca="false">IF(B1804&lt;Outliers!$E$7,"Low",IF(B1804&gt;Outliers!$F$7,"High",""))</f>
        <v/>
      </c>
      <c r="K1804" s="6" t="str">
        <f aca="false">IF(C1804&lt;Outliers!$E$8,"Low",IF(C1804&gt;Outliers!$F$8,"High",""))</f>
        <v/>
      </c>
      <c r="L1804" s="6" t="str">
        <f aca="false">A1804&amp;";"&amp;B1804&amp;";"&amp;C1804</f>
        <v>28.130115;151.0761899;14.6612778345723</v>
      </c>
      <c r="M1804" s="6" t="n">
        <f aca="false">IF(COUNTIF($L$2:$L$2201,L1804)&gt;1,1,0)</f>
        <v>0</v>
      </c>
      <c r="N1804" s="6" t="str">
        <f aca="false">IF(AND(C1804&lt;Assumptions!$B$9,B1804&lt;Assumptions!$B$10),"Irrigate Now",IF(AND(C1804&gt;=Assumptions!$B$11,B1804&gt;=Assumptions!$B$12),"No Irrigation Needed","Monitor"))</f>
        <v>Monitor</v>
      </c>
      <c r="O1804" s="6" t="n">
        <f aca="false">IF(N1804=G1804,1,0)</f>
        <v>1</v>
      </c>
    </row>
    <row r="1805" customFormat="false" ht="15" hidden="false" customHeight="false" outlineLevel="0" collapsed="false">
      <c r="A1805" s="16" t="n">
        <v>25.02887163</v>
      </c>
      <c r="B1805" s="16" t="n">
        <v>179.8248944</v>
      </c>
      <c r="C1805" s="16" t="n">
        <v>26.7863724043177</v>
      </c>
      <c r="D1805" s="6" t="s">
        <v>57</v>
      </c>
      <c r="E1805" s="6" t="s">
        <v>24</v>
      </c>
      <c r="F1805" s="6" t="s">
        <v>23</v>
      </c>
      <c r="G1805" s="6" t="s">
        <v>58</v>
      </c>
      <c r="H1805" s="6" t="s">
        <v>59</v>
      </c>
      <c r="I1805" s="6" t="str">
        <f aca="false">IF(A1805&lt;Outliers!$E$6,"Low",IF(A1805&gt;Outliers!$F$6,"High",""))</f>
        <v/>
      </c>
      <c r="J1805" s="6" t="str">
        <f aca="false">IF(B1805&lt;Outliers!$E$7,"Low",IF(B1805&gt;Outliers!$F$7,"High",""))</f>
        <v/>
      </c>
      <c r="K1805" s="6" t="str">
        <f aca="false">IF(C1805&lt;Outliers!$E$8,"Low",IF(C1805&gt;Outliers!$F$8,"High",""))</f>
        <v/>
      </c>
      <c r="L1805" s="6" t="str">
        <f aca="false">A1805&amp;";"&amp;B1805&amp;";"&amp;C1805</f>
        <v>25.02887163;179.8248944;26.7863724043177</v>
      </c>
      <c r="M1805" s="6" t="n">
        <f aca="false">IF(COUNTIF($L$2:$L$2201,L1805)&gt;1,1,0)</f>
        <v>0</v>
      </c>
      <c r="N1805" s="6" t="str">
        <f aca="false">IF(AND(C1805&lt;Assumptions!$B$9,B1805&lt;Assumptions!$B$10),"Irrigate Now",IF(AND(C1805&gt;=Assumptions!$B$11,B1805&gt;=Assumptions!$B$12),"No Irrigation Needed","Monitor"))</f>
        <v>No Irrigation Needed</v>
      </c>
      <c r="O1805" s="6" t="n">
        <f aca="false">IF(N1805=G1805,1,0)</f>
        <v>1</v>
      </c>
    </row>
    <row r="1806" customFormat="false" ht="15" hidden="false" customHeight="false" outlineLevel="0" collapsed="false">
      <c r="A1806" s="16" t="n">
        <v>27.79797651</v>
      </c>
      <c r="B1806" s="16" t="n">
        <v>181.6942283</v>
      </c>
      <c r="C1806" s="16" t="n">
        <v>13.7245004618098</v>
      </c>
      <c r="D1806" s="6" t="s">
        <v>57</v>
      </c>
      <c r="E1806" s="6" t="s">
        <v>24</v>
      </c>
      <c r="F1806" s="6" t="s">
        <v>60</v>
      </c>
      <c r="G1806" s="6" t="s">
        <v>61</v>
      </c>
      <c r="H1806" s="6" t="s">
        <v>62</v>
      </c>
      <c r="I1806" s="6" t="str">
        <f aca="false">IF(A1806&lt;Outliers!$E$6,"Low",IF(A1806&gt;Outliers!$F$6,"High",""))</f>
        <v/>
      </c>
      <c r="J1806" s="6" t="str">
        <f aca="false">IF(B1806&lt;Outliers!$E$7,"Low",IF(B1806&gt;Outliers!$F$7,"High",""))</f>
        <v/>
      </c>
      <c r="K1806" s="6" t="str">
        <f aca="false">IF(C1806&lt;Outliers!$E$8,"Low",IF(C1806&gt;Outliers!$F$8,"High",""))</f>
        <v/>
      </c>
      <c r="L1806" s="6" t="str">
        <f aca="false">A1806&amp;";"&amp;B1806&amp;";"&amp;C1806</f>
        <v>27.79797651;181.6942283;13.7245004618098</v>
      </c>
      <c r="M1806" s="6" t="n">
        <f aca="false">IF(COUNTIF($L$2:$L$2201,L1806)&gt;1,1,0)</f>
        <v>0</v>
      </c>
      <c r="N1806" s="6" t="str">
        <f aca="false">IF(AND(C1806&lt;Assumptions!$B$9,B1806&lt;Assumptions!$B$10),"Irrigate Now",IF(AND(C1806&gt;=Assumptions!$B$11,B1806&gt;=Assumptions!$B$12),"No Irrigation Needed","Monitor"))</f>
        <v>Monitor</v>
      </c>
      <c r="O1806" s="6" t="n">
        <f aca="false">IF(N1806=G1806,1,0)</f>
        <v>1</v>
      </c>
    </row>
    <row r="1807" customFormat="false" ht="15" hidden="false" customHeight="false" outlineLevel="0" collapsed="false">
      <c r="A1807" s="16" t="n">
        <v>29.25902906</v>
      </c>
      <c r="B1807" s="16" t="n">
        <v>184.7624496</v>
      </c>
      <c r="C1807" s="16" t="n">
        <v>27.9866696160258</v>
      </c>
      <c r="D1807" s="6" t="s">
        <v>57</v>
      </c>
      <c r="E1807" s="6" t="s">
        <v>24</v>
      </c>
      <c r="F1807" s="6" t="s">
        <v>23</v>
      </c>
      <c r="G1807" s="6" t="s">
        <v>58</v>
      </c>
      <c r="H1807" s="6" t="s">
        <v>59</v>
      </c>
      <c r="I1807" s="6" t="str">
        <f aca="false">IF(A1807&lt;Outliers!$E$6,"Low",IF(A1807&gt;Outliers!$F$6,"High",""))</f>
        <v/>
      </c>
      <c r="J1807" s="6" t="str">
        <f aca="false">IF(B1807&lt;Outliers!$E$7,"Low",IF(B1807&gt;Outliers!$F$7,"High",""))</f>
        <v/>
      </c>
      <c r="K1807" s="6" t="str">
        <f aca="false">IF(C1807&lt;Outliers!$E$8,"Low",IF(C1807&gt;Outliers!$F$8,"High",""))</f>
        <v/>
      </c>
      <c r="L1807" s="6" t="str">
        <f aca="false">A1807&amp;";"&amp;B1807&amp;";"&amp;C1807</f>
        <v>29.25902906;184.7624496;27.9866696160258</v>
      </c>
      <c r="M1807" s="6" t="n">
        <f aca="false">IF(COUNTIF($L$2:$L$2201,L1807)&gt;1,1,0)</f>
        <v>0</v>
      </c>
      <c r="N1807" s="6" t="str">
        <f aca="false">IF(AND(C1807&lt;Assumptions!$B$9,B1807&lt;Assumptions!$B$10),"Irrigate Now",IF(AND(C1807&gt;=Assumptions!$B$11,B1807&gt;=Assumptions!$B$12),"No Irrigation Needed","Monitor"))</f>
        <v>No Irrigation Needed</v>
      </c>
      <c r="O1807" s="6" t="n">
        <f aca="false">IF(N1807=G1807,1,0)</f>
        <v>1</v>
      </c>
    </row>
    <row r="1808" customFormat="false" ht="15" hidden="false" customHeight="false" outlineLevel="0" collapsed="false">
      <c r="A1808" s="16" t="n">
        <v>27.10134661</v>
      </c>
      <c r="B1808" s="16" t="n">
        <v>150.9502632</v>
      </c>
      <c r="C1808" s="16" t="n">
        <v>16.7307373320531</v>
      </c>
      <c r="D1808" s="6" t="s">
        <v>57</v>
      </c>
      <c r="E1808" s="6" t="s">
        <v>24</v>
      </c>
      <c r="F1808" s="6" t="s">
        <v>60</v>
      </c>
      <c r="G1808" s="6" t="s">
        <v>61</v>
      </c>
      <c r="H1808" s="6" t="s">
        <v>62</v>
      </c>
      <c r="I1808" s="6" t="str">
        <f aca="false">IF(A1808&lt;Outliers!$E$6,"Low",IF(A1808&gt;Outliers!$F$6,"High",""))</f>
        <v/>
      </c>
      <c r="J1808" s="6" t="str">
        <f aca="false">IF(B1808&lt;Outliers!$E$7,"Low",IF(B1808&gt;Outliers!$F$7,"High",""))</f>
        <v/>
      </c>
      <c r="K1808" s="6" t="str">
        <f aca="false">IF(C1808&lt;Outliers!$E$8,"Low",IF(C1808&gt;Outliers!$F$8,"High",""))</f>
        <v/>
      </c>
      <c r="L1808" s="6" t="str">
        <f aca="false">A1808&amp;";"&amp;B1808&amp;";"&amp;C1808</f>
        <v>27.10134661;150.9502632;16.7307373320531</v>
      </c>
      <c r="M1808" s="6" t="n">
        <f aca="false">IF(COUNTIF($L$2:$L$2201,L1808)&gt;1,1,0)</f>
        <v>0</v>
      </c>
      <c r="N1808" s="6" t="str">
        <f aca="false">IF(AND(C1808&lt;Assumptions!$B$9,B1808&lt;Assumptions!$B$10),"Irrigate Now",IF(AND(C1808&gt;=Assumptions!$B$11,B1808&gt;=Assumptions!$B$12),"No Irrigation Needed","Monitor"))</f>
        <v>Monitor</v>
      </c>
      <c r="O1808" s="6" t="n">
        <f aca="false">IF(N1808=G1808,1,0)</f>
        <v>1</v>
      </c>
    </row>
    <row r="1809" customFormat="false" ht="15" hidden="false" customHeight="false" outlineLevel="0" collapsed="false">
      <c r="A1809" s="16" t="n">
        <v>25.84726298</v>
      </c>
      <c r="B1809" s="16" t="n">
        <v>147.8888994</v>
      </c>
      <c r="C1809" s="16" t="n">
        <v>23.3509047562189</v>
      </c>
      <c r="D1809" s="6" t="s">
        <v>57</v>
      </c>
      <c r="E1809" s="6" t="s">
        <v>57</v>
      </c>
      <c r="F1809" s="6" t="s">
        <v>23</v>
      </c>
      <c r="G1809" s="6" t="s">
        <v>61</v>
      </c>
      <c r="H1809" s="6" t="s">
        <v>63</v>
      </c>
      <c r="I1809" s="6" t="str">
        <f aca="false">IF(A1809&lt;Outliers!$E$6,"Low",IF(A1809&gt;Outliers!$F$6,"High",""))</f>
        <v/>
      </c>
      <c r="J1809" s="6" t="str">
        <f aca="false">IF(B1809&lt;Outliers!$E$7,"Low",IF(B1809&gt;Outliers!$F$7,"High",""))</f>
        <v/>
      </c>
      <c r="K1809" s="6" t="str">
        <f aca="false">IF(C1809&lt;Outliers!$E$8,"Low",IF(C1809&gt;Outliers!$F$8,"High",""))</f>
        <v/>
      </c>
      <c r="L1809" s="6" t="str">
        <f aca="false">A1809&amp;";"&amp;B1809&amp;";"&amp;C1809</f>
        <v>25.84726298;147.8888994;23.3509047562189</v>
      </c>
      <c r="M1809" s="6" t="n">
        <f aca="false">IF(COUNTIF($L$2:$L$2201,L1809)&gt;1,1,0)</f>
        <v>0</v>
      </c>
      <c r="N1809" s="6" t="str">
        <f aca="false">IF(AND(C1809&lt;Assumptions!$B$9,B1809&lt;Assumptions!$B$10),"Irrigate Now",IF(AND(C1809&gt;=Assumptions!$B$11,B1809&gt;=Assumptions!$B$12),"No Irrigation Needed","Monitor"))</f>
        <v>Monitor</v>
      </c>
      <c r="O1809" s="6" t="n">
        <f aca="false">IF(N1809=G1809,1,0)</f>
        <v>1</v>
      </c>
    </row>
    <row r="1810" customFormat="false" ht="15" hidden="false" customHeight="false" outlineLevel="0" collapsed="false">
      <c r="A1810" s="16" t="n">
        <v>26.58580443</v>
      </c>
      <c r="B1810" s="16" t="n">
        <v>178.8116076</v>
      </c>
      <c r="C1810" s="16" t="n">
        <v>19.0176488640093</v>
      </c>
      <c r="D1810" s="6" t="s">
        <v>57</v>
      </c>
      <c r="E1810" s="6" t="s">
        <v>24</v>
      </c>
      <c r="F1810" s="6" t="s">
        <v>60</v>
      </c>
      <c r="G1810" s="6" t="s">
        <v>61</v>
      </c>
      <c r="H1810" s="6" t="s">
        <v>62</v>
      </c>
      <c r="I1810" s="6" t="str">
        <f aca="false">IF(A1810&lt;Outliers!$E$6,"Low",IF(A1810&gt;Outliers!$F$6,"High",""))</f>
        <v/>
      </c>
      <c r="J1810" s="6" t="str">
        <f aca="false">IF(B1810&lt;Outliers!$E$7,"Low",IF(B1810&gt;Outliers!$F$7,"High",""))</f>
        <v/>
      </c>
      <c r="K1810" s="6" t="str">
        <f aca="false">IF(C1810&lt;Outliers!$E$8,"Low",IF(C1810&gt;Outliers!$F$8,"High",""))</f>
        <v/>
      </c>
      <c r="L1810" s="6" t="str">
        <f aca="false">A1810&amp;";"&amp;B1810&amp;";"&amp;C1810</f>
        <v>26.58580443;178.8116076;19.0176488640093</v>
      </c>
      <c r="M1810" s="6" t="n">
        <f aca="false">IF(COUNTIF($L$2:$L$2201,L1810)&gt;1,1,0)</f>
        <v>0</v>
      </c>
      <c r="N1810" s="6" t="str">
        <f aca="false">IF(AND(C1810&lt;Assumptions!$B$9,B1810&lt;Assumptions!$B$10),"Irrigate Now",IF(AND(C1810&gt;=Assumptions!$B$11,B1810&gt;=Assumptions!$B$12),"No Irrigation Needed","Monitor"))</f>
        <v>Monitor</v>
      </c>
      <c r="O1810" s="6" t="n">
        <f aca="false">IF(N1810=G1810,1,0)</f>
        <v>1</v>
      </c>
    </row>
    <row r="1811" customFormat="false" ht="15" hidden="false" customHeight="false" outlineLevel="0" collapsed="false">
      <c r="A1811" s="16" t="n">
        <v>28.38503882</v>
      </c>
      <c r="B1811" s="16" t="n">
        <v>189.6711349</v>
      </c>
      <c r="C1811" s="16" t="n">
        <v>17.5475953793503</v>
      </c>
      <c r="D1811" s="6" t="s">
        <v>57</v>
      </c>
      <c r="E1811" s="6" t="s">
        <v>24</v>
      </c>
      <c r="F1811" s="6" t="s">
        <v>60</v>
      </c>
      <c r="G1811" s="6" t="s">
        <v>61</v>
      </c>
      <c r="H1811" s="6" t="s">
        <v>62</v>
      </c>
      <c r="I1811" s="6" t="str">
        <f aca="false">IF(A1811&lt;Outliers!$E$6,"Low",IF(A1811&gt;Outliers!$F$6,"High",""))</f>
        <v/>
      </c>
      <c r="J1811" s="6" t="str">
        <f aca="false">IF(B1811&lt;Outliers!$E$7,"Low",IF(B1811&gt;Outliers!$F$7,"High",""))</f>
        <v/>
      </c>
      <c r="K1811" s="6" t="str">
        <f aca="false">IF(C1811&lt;Outliers!$E$8,"Low",IF(C1811&gt;Outliers!$F$8,"High",""))</f>
        <v/>
      </c>
      <c r="L1811" s="6" t="str">
        <f aca="false">A1811&amp;";"&amp;B1811&amp;";"&amp;C1811</f>
        <v>28.38503882;189.6711349;17.5475953793503</v>
      </c>
      <c r="M1811" s="6" t="n">
        <f aca="false">IF(COUNTIF($L$2:$L$2201,L1811)&gt;1,1,0)</f>
        <v>0</v>
      </c>
      <c r="N1811" s="6" t="str">
        <f aca="false">IF(AND(C1811&lt;Assumptions!$B$9,B1811&lt;Assumptions!$B$10),"Irrigate Now",IF(AND(C1811&gt;=Assumptions!$B$11,B1811&gt;=Assumptions!$B$12),"No Irrigation Needed","Monitor"))</f>
        <v>Monitor</v>
      </c>
      <c r="O1811" s="6" t="n">
        <f aca="false">IF(N1811=G1811,1,0)</f>
        <v>1</v>
      </c>
    </row>
    <row r="1812" customFormat="false" ht="15" hidden="false" customHeight="false" outlineLevel="0" collapsed="false">
      <c r="A1812" s="16" t="n">
        <v>28.43647052</v>
      </c>
      <c r="B1812" s="16" t="n">
        <v>145.5414413</v>
      </c>
      <c r="C1812" s="16" t="n">
        <v>26.4074095333129</v>
      </c>
      <c r="D1812" s="6" t="s">
        <v>57</v>
      </c>
      <c r="E1812" s="6" t="s">
        <v>57</v>
      </c>
      <c r="F1812" s="6" t="s">
        <v>23</v>
      </c>
      <c r="G1812" s="6" t="s">
        <v>58</v>
      </c>
      <c r="H1812" s="6" t="s">
        <v>59</v>
      </c>
      <c r="I1812" s="6" t="str">
        <f aca="false">IF(A1812&lt;Outliers!$E$6,"Low",IF(A1812&gt;Outliers!$F$6,"High",""))</f>
        <v/>
      </c>
      <c r="J1812" s="6" t="str">
        <f aca="false">IF(B1812&lt;Outliers!$E$7,"Low",IF(B1812&gt;Outliers!$F$7,"High",""))</f>
        <v/>
      </c>
      <c r="K1812" s="6" t="str">
        <f aca="false">IF(C1812&lt;Outliers!$E$8,"Low",IF(C1812&gt;Outliers!$F$8,"High",""))</f>
        <v/>
      </c>
      <c r="L1812" s="6" t="str">
        <f aca="false">A1812&amp;";"&amp;B1812&amp;";"&amp;C1812</f>
        <v>28.43647052;145.5414413;26.4074095333129</v>
      </c>
      <c r="M1812" s="6" t="n">
        <f aca="false">IF(COUNTIF($L$2:$L$2201,L1812)&gt;1,1,0)</f>
        <v>0</v>
      </c>
      <c r="N1812" s="6" t="str">
        <f aca="false">IF(AND(C1812&lt;Assumptions!$B$9,B1812&lt;Assumptions!$B$10),"Irrigate Now",IF(AND(C1812&gt;=Assumptions!$B$11,B1812&gt;=Assumptions!$B$12),"No Irrigation Needed","Monitor"))</f>
        <v>No Irrigation Needed</v>
      </c>
      <c r="O1812" s="6" t="n">
        <f aca="false">IF(N1812=G1812,1,0)</f>
        <v>1</v>
      </c>
    </row>
    <row r="1813" customFormat="false" ht="15" hidden="false" customHeight="false" outlineLevel="0" collapsed="false">
      <c r="A1813" s="16" t="n">
        <v>28.27298134</v>
      </c>
      <c r="B1813" s="16" t="n">
        <v>198.8234862</v>
      </c>
      <c r="C1813" s="16" t="n">
        <v>18.1175744380987</v>
      </c>
      <c r="D1813" s="6" t="s">
        <v>57</v>
      </c>
      <c r="E1813" s="6" t="s">
        <v>24</v>
      </c>
      <c r="F1813" s="6" t="s">
        <v>60</v>
      </c>
      <c r="G1813" s="6" t="s">
        <v>61</v>
      </c>
      <c r="H1813" s="6" t="s">
        <v>62</v>
      </c>
      <c r="I1813" s="6" t="str">
        <f aca="false">IF(A1813&lt;Outliers!$E$6,"Low",IF(A1813&gt;Outliers!$F$6,"High",""))</f>
        <v/>
      </c>
      <c r="J1813" s="6" t="str">
        <f aca="false">IF(B1813&lt;Outliers!$E$7,"Low",IF(B1813&gt;Outliers!$F$7,"High",""))</f>
        <v/>
      </c>
      <c r="K1813" s="6" t="str">
        <f aca="false">IF(C1813&lt;Outliers!$E$8,"Low",IF(C1813&gt;Outliers!$F$8,"High",""))</f>
        <v/>
      </c>
      <c r="L1813" s="6" t="str">
        <f aca="false">A1813&amp;";"&amp;B1813&amp;";"&amp;C1813</f>
        <v>28.27298134;198.8234862;18.1175744380987</v>
      </c>
      <c r="M1813" s="6" t="n">
        <f aca="false">IF(COUNTIF($L$2:$L$2201,L1813)&gt;1,1,0)</f>
        <v>0</v>
      </c>
      <c r="N1813" s="6" t="str">
        <f aca="false">IF(AND(C1813&lt;Assumptions!$B$9,B1813&lt;Assumptions!$B$10),"Irrigate Now",IF(AND(C1813&gt;=Assumptions!$B$11,B1813&gt;=Assumptions!$B$12),"No Irrigation Needed","Monitor"))</f>
        <v>Monitor</v>
      </c>
      <c r="O1813" s="6" t="n">
        <f aca="false">IF(N1813=G1813,1,0)</f>
        <v>1</v>
      </c>
    </row>
    <row r="1814" customFormat="false" ht="15" hidden="false" customHeight="false" outlineLevel="0" collapsed="false">
      <c r="A1814" s="16" t="n">
        <v>27.00648436</v>
      </c>
      <c r="B1814" s="16" t="n">
        <v>144.3331315</v>
      </c>
      <c r="C1814" s="16" t="n">
        <v>28.5618859165454</v>
      </c>
      <c r="D1814" s="6" t="s">
        <v>57</v>
      </c>
      <c r="E1814" s="6" t="s">
        <v>57</v>
      </c>
      <c r="F1814" s="6" t="s">
        <v>23</v>
      </c>
      <c r="G1814" s="6" t="s">
        <v>58</v>
      </c>
      <c r="H1814" s="6" t="s">
        <v>59</v>
      </c>
      <c r="I1814" s="6" t="str">
        <f aca="false">IF(A1814&lt;Outliers!$E$6,"Low",IF(A1814&gt;Outliers!$F$6,"High",""))</f>
        <v/>
      </c>
      <c r="J1814" s="6" t="str">
        <f aca="false">IF(B1814&lt;Outliers!$E$7,"Low",IF(B1814&gt;Outliers!$F$7,"High",""))</f>
        <v/>
      </c>
      <c r="K1814" s="6" t="str">
        <f aca="false">IF(C1814&lt;Outliers!$E$8,"Low",IF(C1814&gt;Outliers!$F$8,"High",""))</f>
        <v/>
      </c>
      <c r="L1814" s="6" t="str">
        <f aca="false">A1814&amp;";"&amp;B1814&amp;";"&amp;C1814</f>
        <v>27.00648436;144.3331315;28.5618859165454</v>
      </c>
      <c r="M1814" s="6" t="n">
        <f aca="false">IF(COUNTIF($L$2:$L$2201,L1814)&gt;1,1,0)</f>
        <v>0</v>
      </c>
      <c r="N1814" s="6" t="str">
        <f aca="false">IF(AND(C1814&lt;Assumptions!$B$9,B1814&lt;Assumptions!$B$10),"Irrigate Now",IF(AND(C1814&gt;=Assumptions!$B$11,B1814&gt;=Assumptions!$B$12),"No Irrigation Needed","Monitor"))</f>
        <v>No Irrigation Needed</v>
      </c>
      <c r="O1814" s="6" t="n">
        <f aca="false">IF(N1814=G1814,1,0)</f>
        <v>1</v>
      </c>
    </row>
    <row r="1815" customFormat="false" ht="15" hidden="false" customHeight="false" outlineLevel="0" collapsed="false">
      <c r="A1815" s="16" t="n">
        <v>27.63551259</v>
      </c>
      <c r="B1815" s="16" t="n">
        <v>157.9171537</v>
      </c>
      <c r="C1815" s="16" t="n">
        <v>18.3843300704767</v>
      </c>
      <c r="D1815" s="6" t="s">
        <v>57</v>
      </c>
      <c r="E1815" s="6" t="s">
        <v>24</v>
      </c>
      <c r="F1815" s="6" t="s">
        <v>60</v>
      </c>
      <c r="G1815" s="6" t="s">
        <v>61</v>
      </c>
      <c r="H1815" s="6" t="s">
        <v>62</v>
      </c>
      <c r="I1815" s="6" t="str">
        <f aca="false">IF(A1815&lt;Outliers!$E$6,"Low",IF(A1815&gt;Outliers!$F$6,"High",""))</f>
        <v/>
      </c>
      <c r="J1815" s="6" t="str">
        <f aca="false">IF(B1815&lt;Outliers!$E$7,"Low",IF(B1815&gt;Outliers!$F$7,"High",""))</f>
        <v/>
      </c>
      <c r="K1815" s="6" t="str">
        <f aca="false">IF(C1815&lt;Outliers!$E$8,"Low",IF(C1815&gt;Outliers!$F$8,"High",""))</f>
        <v/>
      </c>
      <c r="L1815" s="6" t="str">
        <f aca="false">A1815&amp;";"&amp;B1815&amp;";"&amp;C1815</f>
        <v>27.63551259;157.9171537;18.3843300704767</v>
      </c>
      <c r="M1815" s="6" t="n">
        <f aca="false">IF(COUNTIF($L$2:$L$2201,L1815)&gt;1,1,0)</f>
        <v>0</v>
      </c>
      <c r="N1815" s="6" t="str">
        <f aca="false">IF(AND(C1815&lt;Assumptions!$B$9,B1815&lt;Assumptions!$B$10),"Irrigate Now",IF(AND(C1815&gt;=Assumptions!$B$11,B1815&gt;=Assumptions!$B$12),"No Irrigation Needed","Monitor"))</f>
        <v>Monitor</v>
      </c>
      <c r="O1815" s="6" t="n">
        <f aca="false">IF(N1815=G1815,1,0)</f>
        <v>1</v>
      </c>
    </row>
    <row r="1816" customFormat="false" ht="15" hidden="false" customHeight="false" outlineLevel="0" collapsed="false">
      <c r="A1816" s="16" t="n">
        <v>26.29644905</v>
      </c>
      <c r="B1816" s="16" t="n">
        <v>215.9195049</v>
      </c>
      <c r="C1816" s="16" t="n">
        <v>27.5995050157359</v>
      </c>
      <c r="D1816" s="6" t="s">
        <v>57</v>
      </c>
      <c r="E1816" s="6" t="s">
        <v>24</v>
      </c>
      <c r="F1816" s="6" t="s">
        <v>23</v>
      </c>
      <c r="G1816" s="6" t="s">
        <v>58</v>
      </c>
      <c r="H1816" s="6" t="s">
        <v>59</v>
      </c>
      <c r="I1816" s="6" t="str">
        <f aca="false">IF(A1816&lt;Outliers!$E$6,"Low",IF(A1816&gt;Outliers!$F$6,"High",""))</f>
        <v/>
      </c>
      <c r="J1816" s="6" t="str">
        <f aca="false">IF(B1816&lt;Outliers!$E$7,"Low",IF(B1816&gt;Outliers!$F$7,"High",""))</f>
        <v>High</v>
      </c>
      <c r="K1816" s="6" t="str">
        <f aca="false">IF(C1816&lt;Outliers!$E$8,"Low",IF(C1816&gt;Outliers!$F$8,"High",""))</f>
        <v/>
      </c>
      <c r="L1816" s="6" t="str">
        <f aca="false">A1816&amp;";"&amp;B1816&amp;";"&amp;C1816</f>
        <v>26.29644905;215.9195049;27.5995050157359</v>
      </c>
      <c r="M1816" s="6" t="n">
        <f aca="false">IF(COUNTIF($L$2:$L$2201,L1816)&gt;1,1,0)</f>
        <v>0</v>
      </c>
      <c r="N1816" s="6" t="str">
        <f aca="false">IF(AND(C1816&lt;Assumptions!$B$9,B1816&lt;Assumptions!$B$10),"Irrigate Now",IF(AND(C1816&gt;=Assumptions!$B$11,B1816&gt;=Assumptions!$B$12),"No Irrigation Needed","Monitor"))</f>
        <v>No Irrigation Needed</v>
      </c>
      <c r="O1816" s="6" t="n">
        <f aca="false">IF(N1816=G1816,1,0)</f>
        <v>1</v>
      </c>
    </row>
    <row r="1817" customFormat="false" ht="15" hidden="false" customHeight="false" outlineLevel="0" collapsed="false">
      <c r="A1817" s="16" t="n">
        <v>27.1326009</v>
      </c>
      <c r="B1817" s="16" t="n">
        <v>204.7206567</v>
      </c>
      <c r="C1817" s="16" t="n">
        <v>20.576701675778</v>
      </c>
      <c r="D1817" s="6" t="s">
        <v>57</v>
      </c>
      <c r="E1817" s="6" t="s">
        <v>24</v>
      </c>
      <c r="F1817" s="6" t="s">
        <v>23</v>
      </c>
      <c r="G1817" s="6" t="s">
        <v>61</v>
      </c>
      <c r="H1817" s="6" t="s">
        <v>62</v>
      </c>
      <c r="I1817" s="6" t="str">
        <f aca="false">IF(A1817&lt;Outliers!$E$6,"Low",IF(A1817&gt;Outliers!$F$6,"High",""))</f>
        <v/>
      </c>
      <c r="J1817" s="6" t="str">
        <f aca="false">IF(B1817&lt;Outliers!$E$7,"Low",IF(B1817&gt;Outliers!$F$7,"High",""))</f>
        <v/>
      </c>
      <c r="K1817" s="6" t="str">
        <f aca="false">IF(C1817&lt;Outliers!$E$8,"Low",IF(C1817&gt;Outliers!$F$8,"High",""))</f>
        <v/>
      </c>
      <c r="L1817" s="6" t="str">
        <f aca="false">A1817&amp;";"&amp;B1817&amp;";"&amp;C1817</f>
        <v>27.1326009;204.7206567;20.576701675778</v>
      </c>
      <c r="M1817" s="6" t="n">
        <f aca="false">IF(COUNTIF($L$2:$L$2201,L1817)&gt;1,1,0)</f>
        <v>0</v>
      </c>
      <c r="N1817" s="6" t="str">
        <f aca="false">IF(AND(C1817&lt;Assumptions!$B$9,B1817&lt;Assumptions!$B$10),"Irrigate Now",IF(AND(C1817&gt;=Assumptions!$B$11,B1817&gt;=Assumptions!$B$12),"No Irrigation Needed","Monitor"))</f>
        <v>Monitor</v>
      </c>
      <c r="O1817" s="6" t="n">
        <f aca="false">IF(N1817=G1817,1,0)</f>
        <v>1</v>
      </c>
    </row>
    <row r="1818" customFormat="false" ht="15" hidden="false" customHeight="false" outlineLevel="0" collapsed="false">
      <c r="A1818" s="16" t="n">
        <v>25.56567803</v>
      </c>
      <c r="B1818" s="16" t="n">
        <v>199.7936345</v>
      </c>
      <c r="C1818" s="16" t="n">
        <v>25.8910919236697</v>
      </c>
      <c r="D1818" s="6" t="s">
        <v>57</v>
      </c>
      <c r="E1818" s="6" t="s">
        <v>24</v>
      </c>
      <c r="F1818" s="6" t="s">
        <v>23</v>
      </c>
      <c r="G1818" s="6" t="s">
        <v>58</v>
      </c>
      <c r="H1818" s="6" t="s">
        <v>59</v>
      </c>
      <c r="I1818" s="6" t="str">
        <f aca="false">IF(A1818&lt;Outliers!$E$6,"Low",IF(A1818&gt;Outliers!$F$6,"High",""))</f>
        <v/>
      </c>
      <c r="J1818" s="6" t="str">
        <f aca="false">IF(B1818&lt;Outliers!$E$7,"Low",IF(B1818&gt;Outliers!$F$7,"High",""))</f>
        <v/>
      </c>
      <c r="K1818" s="6" t="str">
        <f aca="false">IF(C1818&lt;Outliers!$E$8,"Low",IF(C1818&gt;Outliers!$F$8,"High",""))</f>
        <v/>
      </c>
      <c r="L1818" s="6" t="str">
        <f aca="false">A1818&amp;";"&amp;B1818&amp;";"&amp;C1818</f>
        <v>25.56567803;199.7936345;25.8910919236697</v>
      </c>
      <c r="M1818" s="6" t="n">
        <f aca="false">IF(COUNTIF($L$2:$L$2201,L1818)&gt;1,1,0)</f>
        <v>0</v>
      </c>
      <c r="N1818" s="6" t="str">
        <f aca="false">IF(AND(C1818&lt;Assumptions!$B$9,B1818&lt;Assumptions!$B$10),"Irrigate Now",IF(AND(C1818&gt;=Assumptions!$B$11,B1818&gt;=Assumptions!$B$12),"No Irrigation Needed","Monitor"))</f>
        <v>No Irrigation Needed</v>
      </c>
      <c r="O1818" s="6" t="n">
        <f aca="false">IF(N1818=G1818,1,0)</f>
        <v>1</v>
      </c>
    </row>
    <row r="1819" customFormat="false" ht="15" hidden="false" customHeight="false" outlineLevel="0" collapsed="false">
      <c r="A1819" s="16" t="n">
        <v>25.94951662</v>
      </c>
      <c r="B1819" s="16" t="n">
        <v>172.0540491</v>
      </c>
      <c r="C1819" s="16" t="n">
        <v>17.5527774085195</v>
      </c>
      <c r="D1819" s="6" t="s">
        <v>57</v>
      </c>
      <c r="E1819" s="6" t="s">
        <v>24</v>
      </c>
      <c r="F1819" s="6" t="s">
        <v>60</v>
      </c>
      <c r="G1819" s="6" t="s">
        <v>61</v>
      </c>
      <c r="H1819" s="6" t="s">
        <v>62</v>
      </c>
      <c r="I1819" s="6" t="str">
        <f aca="false">IF(A1819&lt;Outliers!$E$6,"Low",IF(A1819&gt;Outliers!$F$6,"High",""))</f>
        <v/>
      </c>
      <c r="J1819" s="6" t="str">
        <f aca="false">IF(B1819&lt;Outliers!$E$7,"Low",IF(B1819&gt;Outliers!$F$7,"High",""))</f>
        <v/>
      </c>
      <c r="K1819" s="6" t="str">
        <f aca="false">IF(C1819&lt;Outliers!$E$8,"Low",IF(C1819&gt;Outliers!$F$8,"High",""))</f>
        <v/>
      </c>
      <c r="L1819" s="6" t="str">
        <f aca="false">A1819&amp;";"&amp;B1819&amp;";"&amp;C1819</f>
        <v>25.94951662;172.0540491;17.5527774085195</v>
      </c>
      <c r="M1819" s="6" t="n">
        <f aca="false">IF(COUNTIF($L$2:$L$2201,L1819)&gt;1,1,0)</f>
        <v>0</v>
      </c>
      <c r="N1819" s="6" t="str">
        <f aca="false">IF(AND(C1819&lt;Assumptions!$B$9,B1819&lt;Assumptions!$B$10),"Irrigate Now",IF(AND(C1819&gt;=Assumptions!$B$11,B1819&gt;=Assumptions!$B$12),"No Irrigation Needed","Monitor"))</f>
        <v>Monitor</v>
      </c>
      <c r="O1819" s="6" t="n">
        <f aca="false">IF(N1819=G1819,1,0)</f>
        <v>1</v>
      </c>
    </row>
    <row r="1820" customFormat="false" ht="15" hidden="false" customHeight="false" outlineLevel="0" collapsed="false">
      <c r="A1820" s="16" t="n">
        <v>28.03380598</v>
      </c>
      <c r="B1820" s="16" t="n">
        <v>218.0055713</v>
      </c>
      <c r="C1820" s="16" t="n">
        <v>11.0527256084815</v>
      </c>
      <c r="D1820" s="6" t="s">
        <v>57</v>
      </c>
      <c r="E1820" s="6" t="s">
        <v>24</v>
      </c>
      <c r="F1820" s="6" t="s">
        <v>24</v>
      </c>
      <c r="G1820" s="6" t="s">
        <v>61</v>
      </c>
      <c r="H1820" s="6" t="s">
        <v>62</v>
      </c>
      <c r="I1820" s="6" t="str">
        <f aca="false">IF(A1820&lt;Outliers!$E$6,"Low",IF(A1820&gt;Outliers!$F$6,"High",""))</f>
        <v/>
      </c>
      <c r="J1820" s="6" t="str">
        <f aca="false">IF(B1820&lt;Outliers!$E$7,"Low",IF(B1820&gt;Outliers!$F$7,"High",""))</f>
        <v>High</v>
      </c>
      <c r="K1820" s="6" t="str">
        <f aca="false">IF(C1820&lt;Outliers!$E$8,"Low",IF(C1820&gt;Outliers!$F$8,"High",""))</f>
        <v/>
      </c>
      <c r="L1820" s="6" t="str">
        <f aca="false">A1820&amp;";"&amp;B1820&amp;";"&amp;C1820</f>
        <v>28.03380598;218.0055713;11.0527256084815</v>
      </c>
      <c r="M1820" s="6" t="n">
        <f aca="false">IF(COUNTIF($L$2:$L$2201,L1820)&gt;1,1,0)</f>
        <v>0</v>
      </c>
      <c r="N1820" s="6" t="str">
        <f aca="false">IF(AND(C1820&lt;Assumptions!$B$9,B1820&lt;Assumptions!$B$10),"Irrigate Now",IF(AND(C1820&gt;=Assumptions!$B$11,B1820&gt;=Assumptions!$B$12),"No Irrigation Needed","Monitor"))</f>
        <v>Monitor</v>
      </c>
      <c r="O1820" s="6" t="n">
        <f aca="false">IF(N1820=G1820,1,0)</f>
        <v>1</v>
      </c>
    </row>
    <row r="1821" customFormat="false" ht="15" hidden="false" customHeight="false" outlineLevel="0" collapsed="false">
      <c r="A1821" s="16" t="n">
        <v>29.12859129</v>
      </c>
      <c r="B1821" s="16" t="n">
        <v>157.2388553</v>
      </c>
      <c r="C1821" s="16" t="n">
        <v>27.6812691463442</v>
      </c>
      <c r="D1821" s="6" t="s">
        <v>57</v>
      </c>
      <c r="E1821" s="6" t="s">
        <v>24</v>
      </c>
      <c r="F1821" s="6" t="s">
        <v>23</v>
      </c>
      <c r="G1821" s="6" t="s">
        <v>58</v>
      </c>
      <c r="H1821" s="6" t="s">
        <v>59</v>
      </c>
      <c r="I1821" s="6" t="str">
        <f aca="false">IF(A1821&lt;Outliers!$E$6,"Low",IF(A1821&gt;Outliers!$F$6,"High",""))</f>
        <v/>
      </c>
      <c r="J1821" s="6" t="str">
        <f aca="false">IF(B1821&lt;Outliers!$E$7,"Low",IF(B1821&gt;Outliers!$F$7,"High",""))</f>
        <v/>
      </c>
      <c r="K1821" s="6" t="str">
        <f aca="false">IF(C1821&lt;Outliers!$E$8,"Low",IF(C1821&gt;Outliers!$F$8,"High",""))</f>
        <v/>
      </c>
      <c r="L1821" s="6" t="str">
        <f aca="false">A1821&amp;";"&amp;B1821&amp;";"&amp;C1821</f>
        <v>29.12859129;157.2388553;27.6812691463442</v>
      </c>
      <c r="M1821" s="6" t="n">
        <f aca="false">IF(COUNTIF($L$2:$L$2201,L1821)&gt;1,1,0)</f>
        <v>0</v>
      </c>
      <c r="N1821" s="6" t="str">
        <f aca="false">IF(AND(C1821&lt;Assumptions!$B$9,B1821&lt;Assumptions!$B$10),"Irrigate Now",IF(AND(C1821&gt;=Assumptions!$B$11,B1821&gt;=Assumptions!$B$12),"No Irrigation Needed","Monitor"))</f>
        <v>No Irrigation Needed</v>
      </c>
      <c r="O1821" s="6" t="n">
        <f aca="false">IF(N1821=G1821,1,0)</f>
        <v>1</v>
      </c>
    </row>
    <row r="1822" customFormat="false" ht="15" hidden="false" customHeight="false" outlineLevel="0" collapsed="false">
      <c r="A1822" s="16" t="n">
        <v>27.0828252</v>
      </c>
      <c r="B1822" s="16" t="n">
        <v>171.7575545</v>
      </c>
      <c r="C1822" s="16" t="n">
        <v>22.4698941164693</v>
      </c>
      <c r="D1822" s="6" t="s">
        <v>57</v>
      </c>
      <c r="E1822" s="6" t="s">
        <v>24</v>
      </c>
      <c r="F1822" s="6" t="s">
        <v>23</v>
      </c>
      <c r="G1822" s="6" t="s">
        <v>61</v>
      </c>
      <c r="H1822" s="6" t="s">
        <v>62</v>
      </c>
      <c r="I1822" s="6" t="str">
        <f aca="false">IF(A1822&lt;Outliers!$E$6,"Low",IF(A1822&gt;Outliers!$F$6,"High",""))</f>
        <v/>
      </c>
      <c r="J1822" s="6" t="str">
        <f aca="false">IF(B1822&lt;Outliers!$E$7,"Low",IF(B1822&gt;Outliers!$F$7,"High",""))</f>
        <v/>
      </c>
      <c r="K1822" s="6" t="str">
        <f aca="false">IF(C1822&lt;Outliers!$E$8,"Low",IF(C1822&gt;Outliers!$F$8,"High",""))</f>
        <v/>
      </c>
      <c r="L1822" s="6" t="str">
        <f aca="false">A1822&amp;";"&amp;B1822&amp;";"&amp;C1822</f>
        <v>27.0828252;171.7575545;22.4698941164693</v>
      </c>
      <c r="M1822" s="6" t="n">
        <f aca="false">IF(COUNTIF($L$2:$L$2201,L1822)&gt;1,1,0)</f>
        <v>0</v>
      </c>
      <c r="N1822" s="6" t="str">
        <f aca="false">IF(AND(C1822&lt;Assumptions!$B$9,B1822&lt;Assumptions!$B$10),"Irrigate Now",IF(AND(C1822&gt;=Assumptions!$B$11,B1822&gt;=Assumptions!$B$12),"No Irrigation Needed","Monitor"))</f>
        <v>Monitor</v>
      </c>
      <c r="O1822" s="6" t="n">
        <f aca="false">IF(N1822=G1822,1,0)</f>
        <v>1</v>
      </c>
    </row>
    <row r="1823" customFormat="false" ht="15" hidden="false" customHeight="false" outlineLevel="0" collapsed="false">
      <c r="A1823" s="16" t="n">
        <v>28.11321494</v>
      </c>
      <c r="B1823" s="16" t="n">
        <v>172.4813641</v>
      </c>
      <c r="C1823" s="16" t="n">
        <v>14.0045848874092</v>
      </c>
      <c r="D1823" s="6" t="s">
        <v>57</v>
      </c>
      <c r="E1823" s="6" t="s">
        <v>24</v>
      </c>
      <c r="F1823" s="6" t="s">
        <v>60</v>
      </c>
      <c r="G1823" s="6" t="s">
        <v>61</v>
      </c>
      <c r="H1823" s="6" t="s">
        <v>62</v>
      </c>
      <c r="I1823" s="6" t="str">
        <f aca="false">IF(A1823&lt;Outliers!$E$6,"Low",IF(A1823&gt;Outliers!$F$6,"High",""))</f>
        <v/>
      </c>
      <c r="J1823" s="6" t="str">
        <f aca="false">IF(B1823&lt;Outliers!$E$7,"Low",IF(B1823&gt;Outliers!$F$7,"High",""))</f>
        <v/>
      </c>
      <c r="K1823" s="6" t="str">
        <f aca="false">IF(C1823&lt;Outliers!$E$8,"Low",IF(C1823&gt;Outliers!$F$8,"High",""))</f>
        <v/>
      </c>
      <c r="L1823" s="6" t="str">
        <f aca="false">A1823&amp;";"&amp;B1823&amp;";"&amp;C1823</f>
        <v>28.11321494;172.4813641;14.0045848874092</v>
      </c>
      <c r="M1823" s="6" t="n">
        <f aca="false">IF(COUNTIF($L$2:$L$2201,L1823)&gt;1,1,0)</f>
        <v>0</v>
      </c>
      <c r="N1823" s="6" t="str">
        <f aca="false">IF(AND(C1823&lt;Assumptions!$B$9,B1823&lt;Assumptions!$B$10),"Irrigate Now",IF(AND(C1823&gt;=Assumptions!$B$11,B1823&gt;=Assumptions!$B$12),"No Irrigation Needed","Monitor"))</f>
        <v>Monitor</v>
      </c>
      <c r="O1823" s="6" t="n">
        <f aca="false">IF(N1823=G1823,1,0)</f>
        <v>1</v>
      </c>
    </row>
    <row r="1824" customFormat="false" ht="15" hidden="false" customHeight="false" outlineLevel="0" collapsed="false">
      <c r="A1824" s="16" t="n">
        <v>27.5136304</v>
      </c>
      <c r="B1824" s="16" t="n">
        <v>156.6732553</v>
      </c>
      <c r="C1824" s="16" t="n">
        <v>22.4955072407414</v>
      </c>
      <c r="D1824" s="6" t="s">
        <v>57</v>
      </c>
      <c r="E1824" s="6" t="s">
        <v>24</v>
      </c>
      <c r="F1824" s="6" t="s">
        <v>23</v>
      </c>
      <c r="G1824" s="6" t="s">
        <v>61</v>
      </c>
      <c r="H1824" s="6" t="s">
        <v>62</v>
      </c>
      <c r="I1824" s="6" t="str">
        <f aca="false">IF(A1824&lt;Outliers!$E$6,"Low",IF(A1824&gt;Outliers!$F$6,"High",""))</f>
        <v/>
      </c>
      <c r="J1824" s="6" t="str">
        <f aca="false">IF(B1824&lt;Outliers!$E$7,"Low",IF(B1824&gt;Outliers!$F$7,"High",""))</f>
        <v/>
      </c>
      <c r="K1824" s="6" t="str">
        <f aca="false">IF(C1824&lt;Outliers!$E$8,"Low",IF(C1824&gt;Outliers!$F$8,"High",""))</f>
        <v/>
      </c>
      <c r="L1824" s="6" t="str">
        <f aca="false">A1824&amp;";"&amp;B1824&amp;";"&amp;C1824</f>
        <v>27.5136304;156.6732553;22.4955072407414</v>
      </c>
      <c r="M1824" s="6" t="n">
        <f aca="false">IF(COUNTIF($L$2:$L$2201,L1824)&gt;1,1,0)</f>
        <v>0</v>
      </c>
      <c r="N1824" s="6" t="str">
        <f aca="false">IF(AND(C1824&lt;Assumptions!$B$9,B1824&lt;Assumptions!$B$10),"Irrigate Now",IF(AND(C1824&gt;=Assumptions!$B$11,B1824&gt;=Assumptions!$B$12),"No Irrigation Needed","Monitor"))</f>
        <v>Monitor</v>
      </c>
      <c r="O1824" s="6" t="n">
        <f aca="false">IF(N1824=G1824,1,0)</f>
        <v>1</v>
      </c>
    </row>
    <row r="1825" customFormat="false" ht="15" hidden="false" customHeight="false" outlineLevel="0" collapsed="false">
      <c r="A1825" s="16" t="n">
        <v>27.63834933</v>
      </c>
      <c r="B1825" s="16" t="n">
        <v>205.5463111</v>
      </c>
      <c r="C1825" s="16" t="n">
        <v>12.5741520692118</v>
      </c>
      <c r="D1825" s="6" t="s">
        <v>57</v>
      </c>
      <c r="E1825" s="6" t="s">
        <v>24</v>
      </c>
      <c r="F1825" s="6" t="s">
        <v>60</v>
      </c>
      <c r="G1825" s="6" t="s">
        <v>61</v>
      </c>
      <c r="H1825" s="6" t="s">
        <v>62</v>
      </c>
      <c r="I1825" s="6" t="str">
        <f aca="false">IF(A1825&lt;Outliers!$E$6,"Low",IF(A1825&gt;Outliers!$F$6,"High",""))</f>
        <v/>
      </c>
      <c r="J1825" s="6" t="str">
        <f aca="false">IF(B1825&lt;Outliers!$E$7,"Low",IF(B1825&gt;Outliers!$F$7,"High",""))</f>
        <v/>
      </c>
      <c r="K1825" s="6" t="str">
        <f aca="false">IF(C1825&lt;Outliers!$E$8,"Low",IF(C1825&gt;Outliers!$F$8,"High",""))</f>
        <v/>
      </c>
      <c r="L1825" s="6" t="str">
        <f aca="false">A1825&amp;";"&amp;B1825&amp;";"&amp;C1825</f>
        <v>27.63834933;205.5463111;12.5741520692118</v>
      </c>
      <c r="M1825" s="6" t="n">
        <f aca="false">IF(COUNTIF($L$2:$L$2201,L1825)&gt;1,1,0)</f>
        <v>0</v>
      </c>
      <c r="N1825" s="6" t="str">
        <f aca="false">IF(AND(C1825&lt;Assumptions!$B$9,B1825&lt;Assumptions!$B$10),"Irrigate Now",IF(AND(C1825&gt;=Assumptions!$B$11,B1825&gt;=Assumptions!$B$12),"No Irrigation Needed","Monitor"))</f>
        <v>Monitor</v>
      </c>
      <c r="O1825" s="6" t="n">
        <f aca="false">IF(N1825=G1825,1,0)</f>
        <v>1</v>
      </c>
    </row>
    <row r="1826" customFormat="false" ht="15" hidden="false" customHeight="false" outlineLevel="0" collapsed="false">
      <c r="A1826" s="16" t="n">
        <v>29.01256899</v>
      </c>
      <c r="B1826" s="16" t="n">
        <v>150.0500312</v>
      </c>
      <c r="C1826" s="16" t="n">
        <v>24.1422844078638</v>
      </c>
      <c r="D1826" s="6" t="s">
        <v>57</v>
      </c>
      <c r="E1826" s="6" t="s">
        <v>24</v>
      </c>
      <c r="F1826" s="6" t="s">
        <v>23</v>
      </c>
      <c r="G1826" s="6" t="s">
        <v>61</v>
      </c>
      <c r="H1826" s="6" t="s">
        <v>62</v>
      </c>
      <c r="I1826" s="6" t="str">
        <f aca="false">IF(A1826&lt;Outliers!$E$6,"Low",IF(A1826&gt;Outliers!$F$6,"High",""))</f>
        <v/>
      </c>
      <c r="J1826" s="6" t="str">
        <f aca="false">IF(B1826&lt;Outliers!$E$7,"Low",IF(B1826&gt;Outliers!$F$7,"High",""))</f>
        <v/>
      </c>
      <c r="K1826" s="6" t="str">
        <f aca="false">IF(C1826&lt;Outliers!$E$8,"Low",IF(C1826&gt;Outliers!$F$8,"High",""))</f>
        <v/>
      </c>
      <c r="L1826" s="6" t="str">
        <f aca="false">A1826&amp;";"&amp;B1826&amp;";"&amp;C1826</f>
        <v>29.01256899;150.0500312;24.1422844078638</v>
      </c>
      <c r="M1826" s="6" t="n">
        <f aca="false">IF(COUNTIF($L$2:$L$2201,L1826)&gt;1,1,0)</f>
        <v>0</v>
      </c>
      <c r="N1826" s="6" t="str">
        <f aca="false">IF(AND(C1826&lt;Assumptions!$B$9,B1826&lt;Assumptions!$B$10),"Irrigate Now",IF(AND(C1826&gt;=Assumptions!$B$11,B1826&gt;=Assumptions!$B$12),"No Irrigation Needed","Monitor"))</f>
        <v>Monitor</v>
      </c>
      <c r="O1826" s="6" t="n">
        <f aca="false">IF(N1826=G1826,1,0)</f>
        <v>1</v>
      </c>
    </row>
    <row r="1827" customFormat="false" ht="15" hidden="false" customHeight="false" outlineLevel="0" collapsed="false">
      <c r="A1827" s="16" t="n">
        <v>26.58413917</v>
      </c>
      <c r="B1827" s="16" t="n">
        <v>171.6262299</v>
      </c>
      <c r="C1827" s="16" t="n">
        <v>11.242089032785</v>
      </c>
      <c r="D1827" s="6" t="s">
        <v>57</v>
      </c>
      <c r="E1827" s="6" t="s">
        <v>24</v>
      </c>
      <c r="F1827" s="6" t="s">
        <v>24</v>
      </c>
      <c r="G1827" s="6" t="s">
        <v>61</v>
      </c>
      <c r="H1827" s="6" t="s">
        <v>62</v>
      </c>
      <c r="I1827" s="6" t="str">
        <f aca="false">IF(A1827&lt;Outliers!$E$6,"Low",IF(A1827&gt;Outliers!$F$6,"High",""))</f>
        <v/>
      </c>
      <c r="J1827" s="6" t="str">
        <f aca="false">IF(B1827&lt;Outliers!$E$7,"Low",IF(B1827&gt;Outliers!$F$7,"High",""))</f>
        <v/>
      </c>
      <c r="K1827" s="6" t="str">
        <f aca="false">IF(C1827&lt;Outliers!$E$8,"Low",IF(C1827&gt;Outliers!$F$8,"High",""))</f>
        <v/>
      </c>
      <c r="L1827" s="6" t="str">
        <f aca="false">A1827&amp;";"&amp;B1827&amp;";"&amp;C1827</f>
        <v>26.58413917;171.6262299;11.242089032785</v>
      </c>
      <c r="M1827" s="6" t="n">
        <f aca="false">IF(COUNTIF($L$2:$L$2201,L1827)&gt;1,1,0)</f>
        <v>0</v>
      </c>
      <c r="N1827" s="6" t="str">
        <f aca="false">IF(AND(C1827&lt;Assumptions!$B$9,B1827&lt;Assumptions!$B$10),"Irrigate Now",IF(AND(C1827&gt;=Assumptions!$B$11,B1827&gt;=Assumptions!$B$12),"No Irrigation Needed","Monitor"))</f>
        <v>Monitor</v>
      </c>
      <c r="O1827" s="6" t="n">
        <f aca="false">IF(N1827=G1827,1,0)</f>
        <v>1</v>
      </c>
    </row>
    <row r="1828" customFormat="false" ht="15" hidden="false" customHeight="false" outlineLevel="0" collapsed="false">
      <c r="A1828" s="16" t="n">
        <v>28.28905147</v>
      </c>
      <c r="B1828" s="16" t="n">
        <v>142.9403233</v>
      </c>
      <c r="C1828" s="16" t="n">
        <v>20.0395244460017</v>
      </c>
      <c r="D1828" s="6" t="s">
        <v>57</v>
      </c>
      <c r="E1828" s="6" t="s">
        <v>57</v>
      </c>
      <c r="F1828" s="6" t="s">
        <v>60</v>
      </c>
      <c r="G1828" s="6" t="s">
        <v>61</v>
      </c>
      <c r="H1828" s="6" t="s">
        <v>63</v>
      </c>
      <c r="I1828" s="6" t="str">
        <f aca="false">IF(A1828&lt;Outliers!$E$6,"Low",IF(A1828&gt;Outliers!$F$6,"High",""))</f>
        <v/>
      </c>
      <c r="J1828" s="6" t="str">
        <f aca="false">IF(B1828&lt;Outliers!$E$7,"Low",IF(B1828&gt;Outliers!$F$7,"High",""))</f>
        <v/>
      </c>
      <c r="K1828" s="6" t="str">
        <f aca="false">IF(C1828&lt;Outliers!$E$8,"Low",IF(C1828&gt;Outliers!$F$8,"High",""))</f>
        <v/>
      </c>
      <c r="L1828" s="6" t="str">
        <f aca="false">A1828&amp;";"&amp;B1828&amp;";"&amp;C1828</f>
        <v>28.28905147;142.9403233;20.0395244460017</v>
      </c>
      <c r="M1828" s="6" t="n">
        <f aca="false">IF(COUNTIF($L$2:$L$2201,L1828)&gt;1,1,0)</f>
        <v>0</v>
      </c>
      <c r="N1828" s="6" t="str">
        <f aca="false">IF(AND(C1828&lt;Assumptions!$B$9,B1828&lt;Assumptions!$B$10),"Irrigate Now",IF(AND(C1828&gt;=Assumptions!$B$11,B1828&gt;=Assumptions!$B$12),"No Irrigation Needed","Monitor"))</f>
        <v>Monitor</v>
      </c>
      <c r="O1828" s="6" t="n">
        <f aca="false">IF(N1828=G1828,1,0)</f>
        <v>1</v>
      </c>
    </row>
    <row r="1829" customFormat="false" ht="15" hidden="false" customHeight="false" outlineLevel="0" collapsed="false">
      <c r="A1829" s="16" t="n">
        <v>28.69164799</v>
      </c>
      <c r="B1829" s="16" t="n">
        <v>178.9635457</v>
      </c>
      <c r="C1829" s="16" t="n">
        <v>19.0623856105986</v>
      </c>
      <c r="D1829" s="6" t="s">
        <v>57</v>
      </c>
      <c r="E1829" s="6" t="s">
        <v>24</v>
      </c>
      <c r="F1829" s="6" t="s">
        <v>60</v>
      </c>
      <c r="G1829" s="6" t="s">
        <v>61</v>
      </c>
      <c r="H1829" s="6" t="s">
        <v>62</v>
      </c>
      <c r="I1829" s="6" t="str">
        <f aca="false">IF(A1829&lt;Outliers!$E$6,"Low",IF(A1829&gt;Outliers!$F$6,"High",""))</f>
        <v/>
      </c>
      <c r="J1829" s="6" t="str">
        <f aca="false">IF(B1829&lt;Outliers!$E$7,"Low",IF(B1829&gt;Outliers!$F$7,"High",""))</f>
        <v/>
      </c>
      <c r="K1829" s="6" t="str">
        <f aca="false">IF(C1829&lt;Outliers!$E$8,"Low",IF(C1829&gt;Outliers!$F$8,"High",""))</f>
        <v/>
      </c>
      <c r="L1829" s="6" t="str">
        <f aca="false">A1829&amp;";"&amp;B1829&amp;";"&amp;C1829</f>
        <v>28.69164799;178.9635457;19.0623856105986</v>
      </c>
      <c r="M1829" s="6" t="n">
        <f aca="false">IF(COUNTIF($L$2:$L$2201,L1829)&gt;1,1,0)</f>
        <v>0</v>
      </c>
      <c r="N1829" s="6" t="str">
        <f aca="false">IF(AND(C1829&lt;Assumptions!$B$9,B1829&lt;Assumptions!$B$10),"Irrigate Now",IF(AND(C1829&gt;=Assumptions!$B$11,B1829&gt;=Assumptions!$B$12),"No Irrigation Needed","Monitor"))</f>
        <v>Monitor</v>
      </c>
      <c r="O1829" s="6" t="n">
        <f aca="false">IF(N1829=G1829,1,0)</f>
        <v>1</v>
      </c>
    </row>
    <row r="1830" customFormat="false" ht="15" hidden="false" customHeight="false" outlineLevel="0" collapsed="false">
      <c r="A1830" s="16" t="n">
        <v>29.70931288</v>
      </c>
      <c r="B1830" s="16" t="n">
        <v>209.8453993</v>
      </c>
      <c r="C1830" s="16" t="n">
        <v>11.0583419034184</v>
      </c>
      <c r="D1830" s="6" t="s">
        <v>57</v>
      </c>
      <c r="E1830" s="6" t="s">
        <v>24</v>
      </c>
      <c r="F1830" s="6" t="s">
        <v>24</v>
      </c>
      <c r="G1830" s="6" t="s">
        <v>61</v>
      </c>
      <c r="H1830" s="6" t="s">
        <v>62</v>
      </c>
      <c r="I1830" s="6" t="str">
        <f aca="false">IF(A1830&lt;Outliers!$E$6,"Low",IF(A1830&gt;Outliers!$F$6,"High",""))</f>
        <v/>
      </c>
      <c r="J1830" s="6" t="str">
        <f aca="false">IF(B1830&lt;Outliers!$E$7,"Low",IF(B1830&gt;Outliers!$F$7,"High",""))</f>
        <v/>
      </c>
      <c r="K1830" s="6" t="str">
        <f aca="false">IF(C1830&lt;Outliers!$E$8,"Low",IF(C1830&gt;Outliers!$F$8,"High",""))</f>
        <v/>
      </c>
      <c r="L1830" s="6" t="str">
        <f aca="false">A1830&amp;";"&amp;B1830&amp;";"&amp;C1830</f>
        <v>29.70931288;209.8453993;11.0583419034184</v>
      </c>
      <c r="M1830" s="6" t="n">
        <f aca="false">IF(COUNTIF($L$2:$L$2201,L1830)&gt;1,1,0)</f>
        <v>0</v>
      </c>
      <c r="N1830" s="6" t="str">
        <f aca="false">IF(AND(C1830&lt;Assumptions!$B$9,B1830&lt;Assumptions!$B$10),"Irrigate Now",IF(AND(C1830&gt;=Assumptions!$B$11,B1830&gt;=Assumptions!$B$12),"No Irrigation Needed","Monitor"))</f>
        <v>Monitor</v>
      </c>
      <c r="O1830" s="6" t="n">
        <f aca="false">IF(N1830=G1830,1,0)</f>
        <v>1</v>
      </c>
    </row>
    <row r="1831" customFormat="false" ht="15" hidden="false" customHeight="false" outlineLevel="0" collapsed="false">
      <c r="A1831" s="16" t="n">
        <v>27.14865285</v>
      </c>
      <c r="B1831" s="16" t="n">
        <v>149.2433497</v>
      </c>
      <c r="C1831" s="16" t="n">
        <v>18.2935657813962</v>
      </c>
      <c r="D1831" s="6" t="s">
        <v>57</v>
      </c>
      <c r="E1831" s="6" t="s">
        <v>57</v>
      </c>
      <c r="F1831" s="6" t="s">
        <v>60</v>
      </c>
      <c r="G1831" s="6" t="s">
        <v>61</v>
      </c>
      <c r="H1831" s="6" t="s">
        <v>63</v>
      </c>
      <c r="I1831" s="6" t="str">
        <f aca="false">IF(A1831&lt;Outliers!$E$6,"Low",IF(A1831&gt;Outliers!$F$6,"High",""))</f>
        <v/>
      </c>
      <c r="J1831" s="6" t="str">
        <f aca="false">IF(B1831&lt;Outliers!$E$7,"Low",IF(B1831&gt;Outliers!$F$7,"High",""))</f>
        <v/>
      </c>
      <c r="K1831" s="6" t="str">
        <f aca="false">IF(C1831&lt;Outliers!$E$8,"Low",IF(C1831&gt;Outliers!$F$8,"High",""))</f>
        <v/>
      </c>
      <c r="L1831" s="6" t="str">
        <f aca="false">A1831&amp;";"&amp;B1831&amp;";"&amp;C1831</f>
        <v>27.14865285;149.2433497;18.2935657813962</v>
      </c>
      <c r="M1831" s="6" t="n">
        <f aca="false">IF(COUNTIF($L$2:$L$2201,L1831)&gt;1,1,0)</f>
        <v>0</v>
      </c>
      <c r="N1831" s="6" t="str">
        <f aca="false">IF(AND(C1831&lt;Assumptions!$B$9,B1831&lt;Assumptions!$B$10),"Irrigate Now",IF(AND(C1831&gt;=Assumptions!$B$11,B1831&gt;=Assumptions!$B$12),"No Irrigation Needed","Monitor"))</f>
        <v>Monitor</v>
      </c>
      <c r="O1831" s="6" t="n">
        <f aca="false">IF(N1831=G1831,1,0)</f>
        <v>1</v>
      </c>
    </row>
    <row r="1832" customFormat="false" ht="15" hidden="false" customHeight="false" outlineLevel="0" collapsed="false">
      <c r="A1832" s="16" t="n">
        <v>29.28725038</v>
      </c>
      <c r="B1832" s="16" t="n">
        <v>132.1491176</v>
      </c>
      <c r="C1832" s="16" t="n">
        <v>25.2289281592189</v>
      </c>
      <c r="D1832" s="6" t="s">
        <v>57</v>
      </c>
      <c r="E1832" s="6" t="s">
        <v>57</v>
      </c>
      <c r="F1832" s="6" t="s">
        <v>23</v>
      </c>
      <c r="G1832" s="6" t="s">
        <v>58</v>
      </c>
      <c r="H1832" s="6" t="s">
        <v>59</v>
      </c>
      <c r="I1832" s="6" t="str">
        <f aca="false">IF(A1832&lt;Outliers!$E$6,"Low",IF(A1832&gt;Outliers!$F$6,"High",""))</f>
        <v/>
      </c>
      <c r="J1832" s="6" t="str">
        <f aca="false">IF(B1832&lt;Outliers!$E$7,"Low",IF(B1832&gt;Outliers!$F$7,"High",""))</f>
        <v/>
      </c>
      <c r="K1832" s="6" t="str">
        <f aca="false">IF(C1832&lt;Outliers!$E$8,"Low",IF(C1832&gt;Outliers!$F$8,"High",""))</f>
        <v/>
      </c>
      <c r="L1832" s="6" t="str">
        <f aca="false">A1832&amp;";"&amp;B1832&amp;";"&amp;C1832</f>
        <v>29.28725038;132.1491176;25.2289281592189</v>
      </c>
      <c r="M1832" s="6" t="n">
        <f aca="false">IF(COUNTIF($L$2:$L$2201,L1832)&gt;1,1,0)</f>
        <v>0</v>
      </c>
      <c r="N1832" s="6" t="str">
        <f aca="false">IF(AND(C1832&lt;Assumptions!$B$9,B1832&lt;Assumptions!$B$10),"Irrigate Now",IF(AND(C1832&gt;=Assumptions!$B$11,B1832&gt;=Assumptions!$B$12),"No Irrigation Needed","Monitor"))</f>
        <v>No Irrigation Needed</v>
      </c>
      <c r="O1832" s="6" t="n">
        <f aca="false">IF(N1832=G1832,1,0)</f>
        <v>1</v>
      </c>
    </row>
    <row r="1833" customFormat="false" ht="15" hidden="false" customHeight="false" outlineLevel="0" collapsed="false">
      <c r="A1833" s="16" t="n">
        <v>25.06871967</v>
      </c>
      <c r="B1833" s="16" t="n">
        <v>134.8419069</v>
      </c>
      <c r="C1833" s="16" t="n">
        <v>12.6250813033723</v>
      </c>
      <c r="D1833" s="6" t="s">
        <v>57</v>
      </c>
      <c r="E1833" s="6" t="s">
        <v>57</v>
      </c>
      <c r="F1833" s="6" t="s">
        <v>24</v>
      </c>
      <c r="G1833" s="6" t="s">
        <v>61</v>
      </c>
      <c r="H1833" s="6" t="s">
        <v>63</v>
      </c>
      <c r="I1833" s="6" t="str">
        <f aca="false">IF(A1833&lt;Outliers!$E$6,"Low",IF(A1833&gt;Outliers!$F$6,"High",""))</f>
        <v/>
      </c>
      <c r="J1833" s="6" t="str">
        <f aca="false">IF(B1833&lt;Outliers!$E$7,"Low",IF(B1833&gt;Outliers!$F$7,"High",""))</f>
        <v/>
      </c>
      <c r="K1833" s="6" t="str">
        <f aca="false">IF(C1833&lt;Outliers!$E$8,"Low",IF(C1833&gt;Outliers!$F$8,"High",""))</f>
        <v/>
      </c>
      <c r="L1833" s="6" t="str">
        <f aca="false">A1833&amp;";"&amp;B1833&amp;";"&amp;C1833</f>
        <v>25.06871967;134.8419069;12.6250813033723</v>
      </c>
      <c r="M1833" s="6" t="n">
        <f aca="false">IF(COUNTIF($L$2:$L$2201,L1833)&gt;1,1,0)</f>
        <v>0</v>
      </c>
      <c r="N1833" s="6" t="str">
        <f aca="false">IF(AND(C1833&lt;Assumptions!$B$9,B1833&lt;Assumptions!$B$10),"Irrigate Now",IF(AND(C1833&gt;=Assumptions!$B$11,B1833&gt;=Assumptions!$B$12),"No Irrigation Needed","Monitor"))</f>
        <v>Monitor</v>
      </c>
      <c r="O1833" s="6" t="n">
        <f aca="false">IF(N1833=G1833,1,0)</f>
        <v>1</v>
      </c>
    </row>
    <row r="1834" customFormat="false" ht="15" hidden="false" customHeight="false" outlineLevel="0" collapsed="false">
      <c r="A1834" s="16" t="n">
        <v>26.92449525</v>
      </c>
      <c r="B1834" s="16" t="n">
        <v>194.9022136</v>
      </c>
      <c r="C1834" s="16" t="n">
        <v>28.2944972408629</v>
      </c>
      <c r="D1834" s="6" t="s">
        <v>57</v>
      </c>
      <c r="E1834" s="6" t="s">
        <v>24</v>
      </c>
      <c r="F1834" s="6" t="s">
        <v>23</v>
      </c>
      <c r="G1834" s="6" t="s">
        <v>58</v>
      </c>
      <c r="H1834" s="6" t="s">
        <v>59</v>
      </c>
      <c r="I1834" s="6" t="str">
        <f aca="false">IF(A1834&lt;Outliers!$E$6,"Low",IF(A1834&gt;Outliers!$F$6,"High",""))</f>
        <v/>
      </c>
      <c r="J1834" s="6" t="str">
        <f aca="false">IF(B1834&lt;Outliers!$E$7,"Low",IF(B1834&gt;Outliers!$F$7,"High",""))</f>
        <v/>
      </c>
      <c r="K1834" s="6" t="str">
        <f aca="false">IF(C1834&lt;Outliers!$E$8,"Low",IF(C1834&gt;Outliers!$F$8,"High",""))</f>
        <v/>
      </c>
      <c r="L1834" s="6" t="str">
        <f aca="false">A1834&amp;";"&amp;B1834&amp;";"&amp;C1834</f>
        <v>26.92449525;194.9022136;28.2944972408629</v>
      </c>
      <c r="M1834" s="6" t="n">
        <f aca="false">IF(COUNTIF($L$2:$L$2201,L1834)&gt;1,1,0)</f>
        <v>0</v>
      </c>
      <c r="N1834" s="6" t="str">
        <f aca="false">IF(AND(C1834&lt;Assumptions!$B$9,B1834&lt;Assumptions!$B$10),"Irrigate Now",IF(AND(C1834&gt;=Assumptions!$B$11,B1834&gt;=Assumptions!$B$12),"No Irrigation Needed","Monitor"))</f>
        <v>No Irrigation Needed</v>
      </c>
      <c r="O1834" s="6" t="n">
        <f aca="false">IF(N1834=G1834,1,0)</f>
        <v>1</v>
      </c>
    </row>
    <row r="1835" customFormat="false" ht="15" hidden="false" customHeight="false" outlineLevel="0" collapsed="false">
      <c r="A1835" s="16" t="n">
        <v>28.27804288</v>
      </c>
      <c r="B1835" s="16" t="n">
        <v>171.9457959</v>
      </c>
      <c r="C1835" s="16" t="n">
        <v>22.0821728906488</v>
      </c>
      <c r="D1835" s="6" t="s">
        <v>57</v>
      </c>
      <c r="E1835" s="6" t="s">
        <v>24</v>
      </c>
      <c r="F1835" s="6" t="s">
        <v>23</v>
      </c>
      <c r="G1835" s="6" t="s">
        <v>61</v>
      </c>
      <c r="H1835" s="6" t="s">
        <v>62</v>
      </c>
      <c r="I1835" s="6" t="str">
        <f aca="false">IF(A1835&lt;Outliers!$E$6,"Low",IF(A1835&gt;Outliers!$F$6,"High",""))</f>
        <v/>
      </c>
      <c r="J1835" s="6" t="str">
        <f aca="false">IF(B1835&lt;Outliers!$E$7,"Low",IF(B1835&gt;Outliers!$F$7,"High",""))</f>
        <v/>
      </c>
      <c r="K1835" s="6" t="str">
        <f aca="false">IF(C1835&lt;Outliers!$E$8,"Low",IF(C1835&gt;Outliers!$F$8,"High",""))</f>
        <v/>
      </c>
      <c r="L1835" s="6" t="str">
        <f aca="false">A1835&amp;";"&amp;B1835&amp;";"&amp;C1835</f>
        <v>28.27804288;171.9457959;22.0821728906488</v>
      </c>
      <c r="M1835" s="6" t="n">
        <f aca="false">IF(COUNTIF($L$2:$L$2201,L1835)&gt;1,1,0)</f>
        <v>0</v>
      </c>
      <c r="N1835" s="6" t="str">
        <f aca="false">IF(AND(C1835&lt;Assumptions!$B$9,B1835&lt;Assumptions!$B$10),"Irrigate Now",IF(AND(C1835&gt;=Assumptions!$B$11,B1835&gt;=Assumptions!$B$12),"No Irrigation Needed","Monitor"))</f>
        <v>Monitor</v>
      </c>
      <c r="O1835" s="6" t="n">
        <f aca="false">IF(N1835=G1835,1,0)</f>
        <v>1</v>
      </c>
    </row>
    <row r="1836" customFormat="false" ht="15" hidden="false" customHeight="false" outlineLevel="0" collapsed="false">
      <c r="A1836" s="16" t="n">
        <v>29.18032562</v>
      </c>
      <c r="B1836" s="16" t="n">
        <v>204.9603677</v>
      </c>
      <c r="C1836" s="16" t="n">
        <v>14.876704045612</v>
      </c>
      <c r="D1836" s="6" t="s">
        <v>57</v>
      </c>
      <c r="E1836" s="6" t="s">
        <v>24</v>
      </c>
      <c r="F1836" s="6" t="s">
        <v>60</v>
      </c>
      <c r="G1836" s="6" t="s">
        <v>61</v>
      </c>
      <c r="H1836" s="6" t="s">
        <v>62</v>
      </c>
      <c r="I1836" s="6" t="str">
        <f aca="false">IF(A1836&lt;Outliers!$E$6,"Low",IF(A1836&gt;Outliers!$F$6,"High",""))</f>
        <v/>
      </c>
      <c r="J1836" s="6" t="str">
        <f aca="false">IF(B1836&lt;Outliers!$E$7,"Low",IF(B1836&gt;Outliers!$F$7,"High",""))</f>
        <v/>
      </c>
      <c r="K1836" s="6" t="str">
        <f aca="false">IF(C1836&lt;Outliers!$E$8,"Low",IF(C1836&gt;Outliers!$F$8,"High",""))</f>
        <v/>
      </c>
      <c r="L1836" s="6" t="str">
        <f aca="false">A1836&amp;";"&amp;B1836&amp;";"&amp;C1836</f>
        <v>29.18032562;204.9603677;14.876704045612</v>
      </c>
      <c r="M1836" s="6" t="n">
        <f aca="false">IF(COUNTIF($L$2:$L$2201,L1836)&gt;1,1,0)</f>
        <v>0</v>
      </c>
      <c r="N1836" s="6" t="str">
        <f aca="false">IF(AND(C1836&lt;Assumptions!$B$9,B1836&lt;Assumptions!$B$10),"Irrigate Now",IF(AND(C1836&gt;=Assumptions!$B$11,B1836&gt;=Assumptions!$B$12),"No Irrigation Needed","Monitor"))</f>
        <v>Monitor</v>
      </c>
      <c r="O1836" s="6" t="n">
        <f aca="false">IF(N1836=G1836,1,0)</f>
        <v>1</v>
      </c>
    </row>
    <row r="1837" customFormat="false" ht="15" hidden="false" customHeight="false" outlineLevel="0" collapsed="false">
      <c r="A1837" s="16" t="n">
        <v>28.3575072</v>
      </c>
      <c r="B1837" s="16" t="n">
        <v>160.7306991</v>
      </c>
      <c r="C1837" s="16" t="n">
        <v>27.9981493166134</v>
      </c>
      <c r="D1837" s="6" t="s">
        <v>57</v>
      </c>
      <c r="E1837" s="6" t="s">
        <v>24</v>
      </c>
      <c r="F1837" s="6" t="s">
        <v>23</v>
      </c>
      <c r="G1837" s="6" t="s">
        <v>58</v>
      </c>
      <c r="H1837" s="6" t="s">
        <v>59</v>
      </c>
      <c r="I1837" s="6" t="str">
        <f aca="false">IF(A1837&lt;Outliers!$E$6,"Low",IF(A1837&gt;Outliers!$F$6,"High",""))</f>
        <v/>
      </c>
      <c r="J1837" s="6" t="str">
        <f aca="false">IF(B1837&lt;Outliers!$E$7,"Low",IF(B1837&gt;Outliers!$F$7,"High",""))</f>
        <v/>
      </c>
      <c r="K1837" s="6" t="str">
        <f aca="false">IF(C1837&lt;Outliers!$E$8,"Low",IF(C1837&gt;Outliers!$F$8,"High",""))</f>
        <v/>
      </c>
      <c r="L1837" s="6" t="str">
        <f aca="false">A1837&amp;";"&amp;B1837&amp;";"&amp;C1837</f>
        <v>28.3575072;160.7306991;27.9981493166134</v>
      </c>
      <c r="M1837" s="6" t="n">
        <f aca="false">IF(COUNTIF($L$2:$L$2201,L1837)&gt;1,1,0)</f>
        <v>0</v>
      </c>
      <c r="N1837" s="6" t="str">
        <f aca="false">IF(AND(C1837&lt;Assumptions!$B$9,B1837&lt;Assumptions!$B$10),"Irrigate Now",IF(AND(C1837&gt;=Assumptions!$B$11,B1837&gt;=Assumptions!$B$12),"No Irrigation Needed","Monitor"))</f>
        <v>No Irrigation Needed</v>
      </c>
      <c r="O1837" s="6" t="n">
        <f aca="false">IF(N1837=G1837,1,0)</f>
        <v>1</v>
      </c>
    </row>
    <row r="1838" customFormat="false" ht="15" hidden="false" customHeight="false" outlineLevel="0" collapsed="false">
      <c r="A1838" s="16" t="n">
        <v>29.38072512</v>
      </c>
      <c r="B1838" s="16" t="n">
        <v>218.5241851</v>
      </c>
      <c r="C1838" s="16" t="n">
        <v>24.5671573928449</v>
      </c>
      <c r="D1838" s="6" t="s">
        <v>57</v>
      </c>
      <c r="E1838" s="6" t="s">
        <v>24</v>
      </c>
      <c r="F1838" s="6" t="s">
        <v>23</v>
      </c>
      <c r="G1838" s="6" t="s">
        <v>61</v>
      </c>
      <c r="H1838" s="6" t="s">
        <v>62</v>
      </c>
      <c r="I1838" s="6" t="str">
        <f aca="false">IF(A1838&lt;Outliers!$E$6,"Low",IF(A1838&gt;Outliers!$F$6,"High",""))</f>
        <v/>
      </c>
      <c r="J1838" s="6" t="str">
        <f aca="false">IF(B1838&lt;Outliers!$E$7,"Low",IF(B1838&gt;Outliers!$F$7,"High",""))</f>
        <v>High</v>
      </c>
      <c r="K1838" s="6" t="str">
        <f aca="false">IF(C1838&lt;Outliers!$E$8,"Low",IF(C1838&gt;Outliers!$F$8,"High",""))</f>
        <v/>
      </c>
      <c r="L1838" s="6" t="str">
        <f aca="false">A1838&amp;";"&amp;B1838&amp;";"&amp;C1838</f>
        <v>29.38072512;218.5241851;24.5671573928449</v>
      </c>
      <c r="M1838" s="6" t="n">
        <f aca="false">IF(COUNTIF($L$2:$L$2201,L1838)&gt;1,1,0)</f>
        <v>0</v>
      </c>
      <c r="N1838" s="6" t="str">
        <f aca="false">IF(AND(C1838&lt;Assumptions!$B$9,B1838&lt;Assumptions!$B$10),"Irrigate Now",IF(AND(C1838&gt;=Assumptions!$B$11,B1838&gt;=Assumptions!$B$12),"No Irrigation Needed","Monitor"))</f>
        <v>Monitor</v>
      </c>
      <c r="O1838" s="6" t="n">
        <f aca="false">IF(N1838=G1838,1,0)</f>
        <v>1</v>
      </c>
    </row>
    <row r="1839" customFormat="false" ht="15" hidden="false" customHeight="false" outlineLevel="0" collapsed="false">
      <c r="A1839" s="16" t="n">
        <v>25.39241091</v>
      </c>
      <c r="B1839" s="16" t="n">
        <v>218.080385</v>
      </c>
      <c r="C1839" s="16" t="n">
        <v>18.0938734844291</v>
      </c>
      <c r="D1839" s="6" t="s">
        <v>57</v>
      </c>
      <c r="E1839" s="6" t="s">
        <v>24</v>
      </c>
      <c r="F1839" s="6" t="s">
        <v>23</v>
      </c>
      <c r="G1839" s="6" t="s">
        <v>61</v>
      </c>
      <c r="H1839" s="6" t="s">
        <v>62</v>
      </c>
      <c r="I1839" s="6" t="str">
        <f aca="false">IF(A1839&lt;Outliers!$E$6,"Low",IF(A1839&gt;Outliers!$F$6,"High",""))</f>
        <v/>
      </c>
      <c r="J1839" s="6" t="str">
        <f aca="false">IF(B1839&lt;Outliers!$E$7,"Low",IF(B1839&gt;Outliers!$F$7,"High",""))</f>
        <v>High</v>
      </c>
      <c r="K1839" s="6" t="str">
        <f aca="false">IF(C1839&lt;Outliers!$E$8,"Low",IF(C1839&gt;Outliers!$F$8,"High",""))</f>
        <v/>
      </c>
      <c r="L1839" s="6" t="str">
        <f aca="false">A1839&amp;";"&amp;B1839&amp;";"&amp;C1839</f>
        <v>25.39241091;218.080385;18.0938734844291</v>
      </c>
      <c r="M1839" s="6" t="n">
        <f aca="false">IF(COUNTIF($L$2:$L$2201,L1839)&gt;1,1,0)</f>
        <v>0</v>
      </c>
      <c r="N1839" s="6" t="str">
        <f aca="false">IF(AND(C1839&lt;Assumptions!$B$9,B1839&lt;Assumptions!$B$10),"Irrigate Now",IF(AND(C1839&gt;=Assumptions!$B$11,B1839&gt;=Assumptions!$B$12),"No Irrigation Needed","Monitor"))</f>
        <v>Monitor</v>
      </c>
      <c r="O1839" s="6" t="n">
        <f aca="false">IF(N1839=G1839,1,0)</f>
        <v>1</v>
      </c>
    </row>
    <row r="1840" customFormat="false" ht="15" hidden="false" customHeight="false" outlineLevel="0" collapsed="false">
      <c r="A1840" s="16" t="n">
        <v>26.31270635</v>
      </c>
      <c r="B1840" s="16" t="n">
        <v>208.1181381</v>
      </c>
      <c r="C1840" s="16" t="n">
        <v>19.7217983333102</v>
      </c>
      <c r="D1840" s="6" t="s">
        <v>57</v>
      </c>
      <c r="E1840" s="6" t="s">
        <v>24</v>
      </c>
      <c r="F1840" s="6" t="s">
        <v>23</v>
      </c>
      <c r="G1840" s="6" t="s">
        <v>61</v>
      </c>
      <c r="H1840" s="6" t="s">
        <v>62</v>
      </c>
      <c r="I1840" s="6" t="str">
        <f aca="false">IF(A1840&lt;Outliers!$E$6,"Low",IF(A1840&gt;Outliers!$F$6,"High",""))</f>
        <v/>
      </c>
      <c r="J1840" s="6" t="str">
        <f aca="false">IF(B1840&lt;Outliers!$E$7,"Low",IF(B1840&gt;Outliers!$F$7,"High",""))</f>
        <v/>
      </c>
      <c r="K1840" s="6" t="str">
        <f aca="false">IF(C1840&lt;Outliers!$E$8,"Low",IF(C1840&gt;Outliers!$F$8,"High",""))</f>
        <v/>
      </c>
      <c r="L1840" s="6" t="str">
        <f aca="false">A1840&amp;";"&amp;B1840&amp;";"&amp;C1840</f>
        <v>26.31270635;208.1181381;19.7217983333102</v>
      </c>
      <c r="M1840" s="6" t="n">
        <f aca="false">IF(COUNTIF($L$2:$L$2201,L1840)&gt;1,1,0)</f>
        <v>0</v>
      </c>
      <c r="N1840" s="6" t="str">
        <f aca="false">IF(AND(C1840&lt;Assumptions!$B$9,B1840&lt;Assumptions!$B$10),"Irrigate Now",IF(AND(C1840&gt;=Assumptions!$B$11,B1840&gt;=Assumptions!$B$12),"No Irrigation Needed","Monitor"))</f>
        <v>Monitor</v>
      </c>
      <c r="O1840" s="6" t="n">
        <f aca="false">IF(N1840=G1840,1,0)</f>
        <v>1</v>
      </c>
    </row>
    <row r="1841" customFormat="false" ht="15" hidden="false" customHeight="false" outlineLevel="0" collapsed="false">
      <c r="A1841" s="16" t="n">
        <v>29.52501367</v>
      </c>
      <c r="B1841" s="16" t="n">
        <v>194.3100272</v>
      </c>
      <c r="C1841" s="16" t="n">
        <v>16.6342036582875</v>
      </c>
      <c r="D1841" s="6" t="s">
        <v>57</v>
      </c>
      <c r="E1841" s="6" t="s">
        <v>24</v>
      </c>
      <c r="F1841" s="6" t="s">
        <v>60</v>
      </c>
      <c r="G1841" s="6" t="s">
        <v>61</v>
      </c>
      <c r="H1841" s="6" t="s">
        <v>62</v>
      </c>
      <c r="I1841" s="6" t="str">
        <f aca="false">IF(A1841&lt;Outliers!$E$6,"Low",IF(A1841&gt;Outliers!$F$6,"High",""))</f>
        <v/>
      </c>
      <c r="J1841" s="6" t="str">
        <f aca="false">IF(B1841&lt;Outliers!$E$7,"Low",IF(B1841&gt;Outliers!$F$7,"High",""))</f>
        <v/>
      </c>
      <c r="K1841" s="6" t="str">
        <f aca="false">IF(C1841&lt;Outliers!$E$8,"Low",IF(C1841&gt;Outliers!$F$8,"High",""))</f>
        <v/>
      </c>
      <c r="L1841" s="6" t="str">
        <f aca="false">A1841&amp;";"&amp;B1841&amp;";"&amp;C1841</f>
        <v>29.52501367;194.3100272;16.6342036582875</v>
      </c>
      <c r="M1841" s="6" t="n">
        <f aca="false">IF(COUNTIF($L$2:$L$2201,L1841)&gt;1,1,0)</f>
        <v>0</v>
      </c>
      <c r="N1841" s="6" t="str">
        <f aca="false">IF(AND(C1841&lt;Assumptions!$B$9,B1841&lt;Assumptions!$B$10),"Irrigate Now",IF(AND(C1841&gt;=Assumptions!$B$11,B1841&gt;=Assumptions!$B$12),"No Irrigation Needed","Monitor"))</f>
        <v>Monitor</v>
      </c>
      <c r="O1841" s="6" t="n">
        <f aca="false">IF(N1841=G1841,1,0)</f>
        <v>1</v>
      </c>
    </row>
    <row r="1842" customFormat="false" ht="15" hidden="false" customHeight="false" outlineLevel="0" collapsed="false">
      <c r="A1842" s="16" t="n">
        <v>28.83214859</v>
      </c>
      <c r="B1842" s="16" t="n">
        <v>145.4172387</v>
      </c>
      <c r="C1842" s="16" t="n">
        <v>17.4167902081755</v>
      </c>
      <c r="D1842" s="6" t="s">
        <v>57</v>
      </c>
      <c r="E1842" s="6" t="s">
        <v>57</v>
      </c>
      <c r="F1842" s="6" t="s">
        <v>60</v>
      </c>
      <c r="G1842" s="6" t="s">
        <v>61</v>
      </c>
      <c r="H1842" s="6" t="s">
        <v>63</v>
      </c>
      <c r="I1842" s="6" t="str">
        <f aca="false">IF(A1842&lt;Outliers!$E$6,"Low",IF(A1842&gt;Outliers!$F$6,"High",""))</f>
        <v/>
      </c>
      <c r="J1842" s="6" t="str">
        <f aca="false">IF(B1842&lt;Outliers!$E$7,"Low",IF(B1842&gt;Outliers!$F$7,"High",""))</f>
        <v/>
      </c>
      <c r="K1842" s="6" t="str">
        <f aca="false">IF(C1842&lt;Outliers!$E$8,"Low",IF(C1842&gt;Outliers!$F$8,"High",""))</f>
        <v/>
      </c>
      <c r="L1842" s="6" t="str">
        <f aca="false">A1842&amp;";"&amp;B1842&amp;";"&amp;C1842</f>
        <v>28.83214859;145.4172387;17.4167902081755</v>
      </c>
      <c r="M1842" s="6" t="n">
        <f aca="false">IF(COUNTIF($L$2:$L$2201,L1842)&gt;1,1,0)</f>
        <v>0</v>
      </c>
      <c r="N1842" s="6" t="str">
        <f aca="false">IF(AND(C1842&lt;Assumptions!$B$9,B1842&lt;Assumptions!$B$10),"Irrigate Now",IF(AND(C1842&gt;=Assumptions!$B$11,B1842&gt;=Assumptions!$B$12),"No Irrigation Needed","Monitor"))</f>
        <v>Monitor</v>
      </c>
      <c r="O1842" s="6" t="n">
        <f aca="false">IF(N1842=G1842,1,0)</f>
        <v>1</v>
      </c>
    </row>
    <row r="1843" customFormat="false" ht="15" hidden="false" customHeight="false" outlineLevel="0" collapsed="false">
      <c r="A1843" s="16" t="n">
        <v>28.48444906</v>
      </c>
      <c r="B1843" s="16" t="n">
        <v>160.389421</v>
      </c>
      <c r="C1843" s="16" t="n">
        <v>25.6583155618605</v>
      </c>
      <c r="D1843" s="6" t="s">
        <v>57</v>
      </c>
      <c r="E1843" s="6" t="s">
        <v>24</v>
      </c>
      <c r="F1843" s="6" t="s">
        <v>23</v>
      </c>
      <c r="G1843" s="6" t="s">
        <v>58</v>
      </c>
      <c r="H1843" s="6" t="s">
        <v>59</v>
      </c>
      <c r="I1843" s="6" t="str">
        <f aca="false">IF(A1843&lt;Outliers!$E$6,"Low",IF(A1843&gt;Outliers!$F$6,"High",""))</f>
        <v/>
      </c>
      <c r="J1843" s="6" t="str">
        <f aca="false">IF(B1843&lt;Outliers!$E$7,"Low",IF(B1843&gt;Outliers!$F$7,"High",""))</f>
        <v/>
      </c>
      <c r="K1843" s="6" t="str">
        <f aca="false">IF(C1843&lt;Outliers!$E$8,"Low",IF(C1843&gt;Outliers!$F$8,"High",""))</f>
        <v/>
      </c>
      <c r="L1843" s="6" t="str">
        <f aca="false">A1843&amp;";"&amp;B1843&amp;";"&amp;C1843</f>
        <v>28.48444906;160.389421;25.6583155618605</v>
      </c>
      <c r="M1843" s="6" t="n">
        <f aca="false">IF(COUNTIF($L$2:$L$2201,L1843)&gt;1,1,0)</f>
        <v>0</v>
      </c>
      <c r="N1843" s="6" t="str">
        <f aca="false">IF(AND(C1843&lt;Assumptions!$B$9,B1843&lt;Assumptions!$B$10),"Irrigate Now",IF(AND(C1843&gt;=Assumptions!$B$11,B1843&gt;=Assumptions!$B$12),"No Irrigation Needed","Monitor"))</f>
        <v>No Irrigation Needed</v>
      </c>
      <c r="O1843" s="6" t="n">
        <f aca="false">IF(N1843=G1843,1,0)</f>
        <v>1</v>
      </c>
    </row>
    <row r="1844" customFormat="false" ht="15" hidden="false" customHeight="false" outlineLevel="0" collapsed="false">
      <c r="A1844" s="16" t="n">
        <v>28.74013335</v>
      </c>
      <c r="B1844" s="16" t="n">
        <v>156.7650823</v>
      </c>
      <c r="C1844" s="16" t="n">
        <v>13.2375226078302</v>
      </c>
      <c r="D1844" s="6" t="s">
        <v>57</v>
      </c>
      <c r="E1844" s="6" t="s">
        <v>24</v>
      </c>
      <c r="F1844" s="6" t="s">
        <v>24</v>
      </c>
      <c r="G1844" s="6" t="s">
        <v>61</v>
      </c>
      <c r="H1844" s="6" t="s">
        <v>62</v>
      </c>
      <c r="I1844" s="6" t="str">
        <f aca="false">IF(A1844&lt;Outliers!$E$6,"Low",IF(A1844&gt;Outliers!$F$6,"High",""))</f>
        <v/>
      </c>
      <c r="J1844" s="6" t="str">
        <f aca="false">IF(B1844&lt;Outliers!$E$7,"Low",IF(B1844&gt;Outliers!$F$7,"High",""))</f>
        <v/>
      </c>
      <c r="K1844" s="6" t="str">
        <f aca="false">IF(C1844&lt;Outliers!$E$8,"Low",IF(C1844&gt;Outliers!$F$8,"High",""))</f>
        <v/>
      </c>
      <c r="L1844" s="6" t="str">
        <f aca="false">A1844&amp;";"&amp;B1844&amp;";"&amp;C1844</f>
        <v>28.74013335;156.7650823;13.2375226078302</v>
      </c>
      <c r="M1844" s="6" t="n">
        <f aca="false">IF(COUNTIF($L$2:$L$2201,L1844)&gt;1,1,0)</f>
        <v>0</v>
      </c>
      <c r="N1844" s="6" t="str">
        <f aca="false">IF(AND(C1844&lt;Assumptions!$B$9,B1844&lt;Assumptions!$B$10),"Irrigate Now",IF(AND(C1844&gt;=Assumptions!$B$11,B1844&gt;=Assumptions!$B$12),"No Irrigation Needed","Monitor"))</f>
        <v>Monitor</v>
      </c>
      <c r="O1844" s="6" t="n">
        <f aca="false">IF(N1844=G1844,1,0)</f>
        <v>1</v>
      </c>
    </row>
    <row r="1845" customFormat="false" ht="15" hidden="false" customHeight="false" outlineLevel="0" collapsed="false">
      <c r="A1845" s="16" t="n">
        <v>25.00872392</v>
      </c>
      <c r="B1845" s="16" t="n">
        <v>165.8092179</v>
      </c>
      <c r="C1845" s="16" t="n">
        <v>11.0095557633807</v>
      </c>
      <c r="D1845" s="6" t="s">
        <v>57</v>
      </c>
      <c r="E1845" s="6" t="s">
        <v>24</v>
      </c>
      <c r="F1845" s="6" t="s">
        <v>24</v>
      </c>
      <c r="G1845" s="6" t="s">
        <v>61</v>
      </c>
      <c r="H1845" s="6" t="s">
        <v>62</v>
      </c>
      <c r="I1845" s="6" t="str">
        <f aca="false">IF(A1845&lt;Outliers!$E$6,"Low",IF(A1845&gt;Outliers!$F$6,"High",""))</f>
        <v/>
      </c>
      <c r="J1845" s="6" t="str">
        <f aca="false">IF(B1845&lt;Outliers!$E$7,"Low",IF(B1845&gt;Outliers!$F$7,"High",""))</f>
        <v/>
      </c>
      <c r="K1845" s="6" t="str">
        <f aca="false">IF(C1845&lt;Outliers!$E$8,"Low",IF(C1845&gt;Outliers!$F$8,"High",""))</f>
        <v/>
      </c>
      <c r="L1845" s="6" t="str">
        <f aca="false">A1845&amp;";"&amp;B1845&amp;";"&amp;C1845</f>
        <v>25.00872392;165.8092179;11.0095557633807</v>
      </c>
      <c r="M1845" s="6" t="n">
        <f aca="false">IF(COUNTIF($L$2:$L$2201,L1845)&gt;1,1,0)</f>
        <v>0</v>
      </c>
      <c r="N1845" s="6" t="str">
        <f aca="false">IF(AND(C1845&lt;Assumptions!$B$9,B1845&lt;Assumptions!$B$10),"Irrigate Now",IF(AND(C1845&gt;=Assumptions!$B$11,B1845&gt;=Assumptions!$B$12),"No Irrigation Needed","Monitor"))</f>
        <v>Monitor</v>
      </c>
      <c r="O1845" s="6" t="n">
        <f aca="false">IF(N1845=G1845,1,0)</f>
        <v>1</v>
      </c>
    </row>
    <row r="1846" customFormat="false" ht="15" hidden="false" customHeight="false" outlineLevel="0" collapsed="false">
      <c r="A1846" s="16" t="n">
        <v>29.8690834</v>
      </c>
      <c r="B1846" s="16" t="n">
        <v>192.7678575</v>
      </c>
      <c r="C1846" s="16" t="n">
        <v>24.2522476250313</v>
      </c>
      <c r="D1846" s="6" t="s">
        <v>57</v>
      </c>
      <c r="E1846" s="6" t="s">
        <v>24</v>
      </c>
      <c r="F1846" s="6" t="s">
        <v>23</v>
      </c>
      <c r="G1846" s="6" t="s">
        <v>61</v>
      </c>
      <c r="H1846" s="6" t="s">
        <v>62</v>
      </c>
      <c r="I1846" s="6" t="str">
        <f aca="false">IF(A1846&lt;Outliers!$E$6,"Low",IF(A1846&gt;Outliers!$F$6,"High",""))</f>
        <v/>
      </c>
      <c r="J1846" s="6" t="str">
        <f aca="false">IF(B1846&lt;Outliers!$E$7,"Low",IF(B1846&gt;Outliers!$F$7,"High",""))</f>
        <v/>
      </c>
      <c r="K1846" s="6" t="str">
        <f aca="false">IF(C1846&lt;Outliers!$E$8,"Low",IF(C1846&gt;Outliers!$F$8,"High",""))</f>
        <v/>
      </c>
      <c r="L1846" s="6" t="str">
        <f aca="false">A1846&amp;";"&amp;B1846&amp;";"&amp;C1846</f>
        <v>29.8690834;192.7678575;24.2522476250313</v>
      </c>
      <c r="M1846" s="6" t="n">
        <f aca="false">IF(COUNTIF($L$2:$L$2201,L1846)&gt;1,1,0)</f>
        <v>0</v>
      </c>
      <c r="N1846" s="6" t="str">
        <f aca="false">IF(AND(C1846&lt;Assumptions!$B$9,B1846&lt;Assumptions!$B$10),"Irrigate Now",IF(AND(C1846&gt;=Assumptions!$B$11,B1846&gt;=Assumptions!$B$12),"No Irrigation Needed","Monitor"))</f>
        <v>Monitor</v>
      </c>
      <c r="O1846" s="6" t="n">
        <f aca="false">IF(N1846=G1846,1,0)</f>
        <v>1</v>
      </c>
    </row>
    <row r="1847" customFormat="false" ht="15" hidden="false" customHeight="false" outlineLevel="0" collapsed="false">
      <c r="A1847" s="16" t="n">
        <v>27.54273211</v>
      </c>
      <c r="B1847" s="16" t="n">
        <v>150.2012138</v>
      </c>
      <c r="C1847" s="16" t="n">
        <v>16.945426191101</v>
      </c>
      <c r="D1847" s="6" t="s">
        <v>57</v>
      </c>
      <c r="E1847" s="6" t="s">
        <v>24</v>
      </c>
      <c r="F1847" s="6" t="s">
        <v>60</v>
      </c>
      <c r="G1847" s="6" t="s">
        <v>61</v>
      </c>
      <c r="H1847" s="6" t="s">
        <v>62</v>
      </c>
      <c r="I1847" s="6" t="str">
        <f aca="false">IF(A1847&lt;Outliers!$E$6,"Low",IF(A1847&gt;Outliers!$F$6,"High",""))</f>
        <v/>
      </c>
      <c r="J1847" s="6" t="str">
        <f aca="false">IF(B1847&lt;Outliers!$E$7,"Low",IF(B1847&gt;Outliers!$F$7,"High",""))</f>
        <v/>
      </c>
      <c r="K1847" s="6" t="str">
        <f aca="false">IF(C1847&lt;Outliers!$E$8,"Low",IF(C1847&gt;Outliers!$F$8,"High",""))</f>
        <v/>
      </c>
      <c r="L1847" s="6" t="str">
        <f aca="false">A1847&amp;";"&amp;B1847&amp;";"&amp;C1847</f>
        <v>27.54273211;150.2012138;16.945426191101</v>
      </c>
      <c r="M1847" s="6" t="n">
        <f aca="false">IF(COUNTIF($L$2:$L$2201,L1847)&gt;1,1,0)</f>
        <v>0</v>
      </c>
      <c r="N1847" s="6" t="str">
        <f aca="false">IF(AND(C1847&lt;Assumptions!$B$9,B1847&lt;Assumptions!$B$10),"Irrigate Now",IF(AND(C1847&gt;=Assumptions!$B$11,B1847&gt;=Assumptions!$B$12),"No Irrigation Needed","Monitor"))</f>
        <v>Monitor</v>
      </c>
      <c r="O1847" s="6" t="n">
        <f aca="false">IF(N1847=G1847,1,0)</f>
        <v>1</v>
      </c>
    </row>
    <row r="1848" customFormat="false" ht="15" hidden="false" customHeight="false" outlineLevel="0" collapsed="false">
      <c r="A1848" s="16" t="n">
        <v>26.52166434</v>
      </c>
      <c r="B1848" s="16" t="n">
        <v>144.6261698</v>
      </c>
      <c r="C1848" s="16" t="n">
        <v>20.4305365914335</v>
      </c>
      <c r="D1848" s="6" t="s">
        <v>57</v>
      </c>
      <c r="E1848" s="6" t="s">
        <v>57</v>
      </c>
      <c r="F1848" s="6" t="s">
        <v>60</v>
      </c>
      <c r="G1848" s="6" t="s">
        <v>61</v>
      </c>
      <c r="H1848" s="6" t="s">
        <v>63</v>
      </c>
      <c r="I1848" s="6" t="str">
        <f aca="false">IF(A1848&lt;Outliers!$E$6,"Low",IF(A1848&gt;Outliers!$F$6,"High",""))</f>
        <v/>
      </c>
      <c r="J1848" s="6" t="str">
        <f aca="false">IF(B1848&lt;Outliers!$E$7,"Low",IF(B1848&gt;Outliers!$F$7,"High",""))</f>
        <v/>
      </c>
      <c r="K1848" s="6" t="str">
        <f aca="false">IF(C1848&lt;Outliers!$E$8,"Low",IF(C1848&gt;Outliers!$F$8,"High",""))</f>
        <v/>
      </c>
      <c r="L1848" s="6" t="str">
        <f aca="false">A1848&amp;";"&amp;B1848&amp;";"&amp;C1848</f>
        <v>26.52166434;144.6261698;20.4305365914335</v>
      </c>
      <c r="M1848" s="6" t="n">
        <f aca="false">IF(COUNTIF($L$2:$L$2201,L1848)&gt;1,1,0)</f>
        <v>0</v>
      </c>
      <c r="N1848" s="6" t="str">
        <f aca="false">IF(AND(C1848&lt;Assumptions!$B$9,B1848&lt;Assumptions!$B$10),"Irrigate Now",IF(AND(C1848&gt;=Assumptions!$B$11,B1848&gt;=Assumptions!$B$12),"No Irrigation Needed","Monitor"))</f>
        <v>Monitor</v>
      </c>
      <c r="O1848" s="6" t="n">
        <f aca="false">IF(N1848=G1848,1,0)</f>
        <v>1</v>
      </c>
    </row>
    <row r="1849" customFormat="false" ht="15" hidden="false" customHeight="false" outlineLevel="0" collapsed="false">
      <c r="A1849" s="16" t="n">
        <v>25.03512351</v>
      </c>
      <c r="B1849" s="16" t="n">
        <v>174.796583</v>
      </c>
      <c r="C1849" s="16" t="n">
        <v>19.7707066476541</v>
      </c>
      <c r="D1849" s="6" t="s">
        <v>57</v>
      </c>
      <c r="E1849" s="6" t="s">
        <v>24</v>
      </c>
      <c r="F1849" s="6" t="s">
        <v>60</v>
      </c>
      <c r="G1849" s="6" t="s">
        <v>61</v>
      </c>
      <c r="H1849" s="6" t="s">
        <v>62</v>
      </c>
      <c r="I1849" s="6" t="str">
        <f aca="false">IF(A1849&lt;Outliers!$E$6,"Low",IF(A1849&gt;Outliers!$F$6,"High",""))</f>
        <v/>
      </c>
      <c r="J1849" s="6" t="str">
        <f aca="false">IF(B1849&lt;Outliers!$E$7,"Low",IF(B1849&gt;Outliers!$F$7,"High",""))</f>
        <v/>
      </c>
      <c r="K1849" s="6" t="str">
        <f aca="false">IF(C1849&lt;Outliers!$E$8,"Low",IF(C1849&gt;Outliers!$F$8,"High",""))</f>
        <v/>
      </c>
      <c r="L1849" s="6" t="str">
        <f aca="false">A1849&amp;";"&amp;B1849&amp;";"&amp;C1849</f>
        <v>25.03512351;174.796583;19.7707066476541</v>
      </c>
      <c r="M1849" s="6" t="n">
        <f aca="false">IF(COUNTIF($L$2:$L$2201,L1849)&gt;1,1,0)</f>
        <v>0</v>
      </c>
      <c r="N1849" s="6" t="str">
        <f aca="false">IF(AND(C1849&lt;Assumptions!$B$9,B1849&lt;Assumptions!$B$10),"Irrigate Now",IF(AND(C1849&gt;=Assumptions!$B$11,B1849&gt;=Assumptions!$B$12),"No Irrigation Needed","Monitor"))</f>
        <v>Monitor</v>
      </c>
      <c r="O1849" s="6" t="n">
        <f aca="false">IF(N1849=G1849,1,0)</f>
        <v>1</v>
      </c>
    </row>
    <row r="1850" customFormat="false" ht="15" hidden="false" customHeight="false" outlineLevel="0" collapsed="false">
      <c r="A1850" s="16" t="n">
        <v>29.20394909</v>
      </c>
      <c r="B1850" s="16" t="n">
        <v>211.2506267</v>
      </c>
      <c r="C1850" s="16" t="n">
        <v>17.7940394245121</v>
      </c>
      <c r="D1850" s="6" t="s">
        <v>57</v>
      </c>
      <c r="E1850" s="6" t="s">
        <v>24</v>
      </c>
      <c r="F1850" s="6" t="s">
        <v>60</v>
      </c>
      <c r="G1850" s="6" t="s">
        <v>61</v>
      </c>
      <c r="H1850" s="6" t="s">
        <v>62</v>
      </c>
      <c r="I1850" s="6" t="str">
        <f aca="false">IF(A1850&lt;Outliers!$E$6,"Low",IF(A1850&gt;Outliers!$F$6,"High",""))</f>
        <v/>
      </c>
      <c r="J1850" s="6" t="str">
        <f aca="false">IF(B1850&lt;Outliers!$E$7,"Low",IF(B1850&gt;Outliers!$F$7,"High",""))</f>
        <v/>
      </c>
      <c r="K1850" s="6" t="str">
        <f aca="false">IF(C1850&lt;Outliers!$E$8,"Low",IF(C1850&gt;Outliers!$F$8,"High",""))</f>
        <v/>
      </c>
      <c r="L1850" s="6" t="str">
        <f aca="false">A1850&amp;";"&amp;B1850&amp;";"&amp;C1850</f>
        <v>29.20394909;211.2506267;17.7940394245121</v>
      </c>
      <c r="M1850" s="6" t="n">
        <f aca="false">IF(COUNTIF($L$2:$L$2201,L1850)&gt;1,1,0)</f>
        <v>0</v>
      </c>
      <c r="N1850" s="6" t="str">
        <f aca="false">IF(AND(C1850&lt;Assumptions!$B$9,B1850&lt;Assumptions!$B$10),"Irrigate Now",IF(AND(C1850&gt;=Assumptions!$B$11,B1850&gt;=Assumptions!$B$12),"No Irrigation Needed","Monitor"))</f>
        <v>Monitor</v>
      </c>
      <c r="O1850" s="6" t="n">
        <f aca="false">IF(N1850=G1850,1,0)</f>
        <v>1</v>
      </c>
    </row>
    <row r="1851" customFormat="false" ht="15" hidden="false" customHeight="false" outlineLevel="0" collapsed="false">
      <c r="A1851" s="16" t="n">
        <v>27.05826457</v>
      </c>
      <c r="B1851" s="16" t="n">
        <v>224.7006953</v>
      </c>
      <c r="C1851" s="16" t="n">
        <v>24.1794207949257</v>
      </c>
      <c r="D1851" s="6" t="s">
        <v>57</v>
      </c>
      <c r="E1851" s="6" t="s">
        <v>24</v>
      </c>
      <c r="F1851" s="6" t="s">
        <v>23</v>
      </c>
      <c r="G1851" s="6" t="s">
        <v>61</v>
      </c>
      <c r="H1851" s="6" t="s">
        <v>62</v>
      </c>
      <c r="I1851" s="6" t="str">
        <f aca="false">IF(A1851&lt;Outliers!$E$6,"Low",IF(A1851&gt;Outliers!$F$6,"High",""))</f>
        <v/>
      </c>
      <c r="J1851" s="6" t="str">
        <f aca="false">IF(B1851&lt;Outliers!$E$7,"Low",IF(B1851&gt;Outliers!$F$7,"High",""))</f>
        <v>High</v>
      </c>
      <c r="K1851" s="6" t="str">
        <f aca="false">IF(C1851&lt;Outliers!$E$8,"Low",IF(C1851&gt;Outliers!$F$8,"High",""))</f>
        <v/>
      </c>
      <c r="L1851" s="6" t="str">
        <f aca="false">A1851&amp;";"&amp;B1851&amp;";"&amp;C1851</f>
        <v>27.05826457;224.7006953;24.1794207949257</v>
      </c>
      <c r="M1851" s="6" t="n">
        <f aca="false">IF(COUNTIF($L$2:$L$2201,L1851)&gt;1,1,0)</f>
        <v>0</v>
      </c>
      <c r="N1851" s="6" t="str">
        <f aca="false">IF(AND(C1851&lt;Assumptions!$B$9,B1851&lt;Assumptions!$B$10),"Irrigate Now",IF(AND(C1851&gt;=Assumptions!$B$11,B1851&gt;=Assumptions!$B$12),"No Irrigation Needed","Monitor"))</f>
        <v>Monitor</v>
      </c>
      <c r="O1851" s="6" t="n">
        <f aca="false">IF(N1851=G1851,1,0)</f>
        <v>1</v>
      </c>
    </row>
    <row r="1852" customFormat="false" ht="15" hidden="false" customHeight="false" outlineLevel="0" collapsed="false">
      <c r="A1852" s="16" t="n">
        <v>26.18552389</v>
      </c>
      <c r="B1852" s="16" t="n">
        <v>135.4186222</v>
      </c>
      <c r="C1852" s="16" t="n">
        <v>22.6753445416774</v>
      </c>
      <c r="D1852" s="6" t="s">
        <v>57</v>
      </c>
      <c r="E1852" s="6" t="s">
        <v>57</v>
      </c>
      <c r="F1852" s="6" t="s">
        <v>23</v>
      </c>
      <c r="G1852" s="6" t="s">
        <v>61</v>
      </c>
      <c r="H1852" s="6" t="s">
        <v>63</v>
      </c>
      <c r="I1852" s="6" t="str">
        <f aca="false">IF(A1852&lt;Outliers!$E$6,"Low",IF(A1852&gt;Outliers!$F$6,"High",""))</f>
        <v/>
      </c>
      <c r="J1852" s="6" t="str">
        <f aca="false">IF(B1852&lt;Outliers!$E$7,"Low",IF(B1852&gt;Outliers!$F$7,"High",""))</f>
        <v/>
      </c>
      <c r="K1852" s="6" t="str">
        <f aca="false">IF(C1852&lt;Outliers!$E$8,"Low",IF(C1852&gt;Outliers!$F$8,"High",""))</f>
        <v/>
      </c>
      <c r="L1852" s="6" t="str">
        <f aca="false">A1852&amp;";"&amp;B1852&amp;";"&amp;C1852</f>
        <v>26.18552389;135.4186222;22.6753445416774</v>
      </c>
      <c r="M1852" s="6" t="n">
        <f aca="false">IF(COUNTIF($L$2:$L$2201,L1852)&gt;1,1,0)</f>
        <v>0</v>
      </c>
      <c r="N1852" s="6" t="str">
        <f aca="false">IF(AND(C1852&lt;Assumptions!$B$9,B1852&lt;Assumptions!$B$10),"Irrigate Now",IF(AND(C1852&gt;=Assumptions!$B$11,B1852&gt;=Assumptions!$B$12),"No Irrigation Needed","Monitor"))</f>
        <v>Monitor</v>
      </c>
      <c r="O1852" s="6" t="n">
        <f aca="false">IF(N1852=G1852,1,0)</f>
        <v>1</v>
      </c>
    </row>
    <row r="1853" customFormat="false" ht="15" hidden="false" customHeight="false" outlineLevel="0" collapsed="false">
      <c r="A1853" s="16" t="n">
        <v>27.59376845</v>
      </c>
      <c r="B1853" s="16" t="n">
        <v>162.8432736</v>
      </c>
      <c r="C1853" s="16" t="n">
        <v>16.0977605115489</v>
      </c>
      <c r="D1853" s="6" t="s">
        <v>57</v>
      </c>
      <c r="E1853" s="6" t="s">
        <v>24</v>
      </c>
      <c r="F1853" s="6" t="s">
        <v>60</v>
      </c>
      <c r="G1853" s="6" t="s">
        <v>61</v>
      </c>
      <c r="H1853" s="6" t="s">
        <v>62</v>
      </c>
      <c r="I1853" s="6" t="str">
        <f aca="false">IF(A1853&lt;Outliers!$E$6,"Low",IF(A1853&gt;Outliers!$F$6,"High",""))</f>
        <v/>
      </c>
      <c r="J1853" s="6" t="str">
        <f aca="false">IF(B1853&lt;Outliers!$E$7,"Low",IF(B1853&gt;Outliers!$F$7,"High",""))</f>
        <v/>
      </c>
      <c r="K1853" s="6" t="str">
        <f aca="false">IF(C1853&lt;Outliers!$E$8,"Low",IF(C1853&gt;Outliers!$F$8,"High",""))</f>
        <v/>
      </c>
      <c r="L1853" s="6" t="str">
        <f aca="false">A1853&amp;";"&amp;B1853&amp;";"&amp;C1853</f>
        <v>27.59376845;162.8432736;16.0977605115489</v>
      </c>
      <c r="M1853" s="6" t="n">
        <f aca="false">IF(COUNTIF($L$2:$L$2201,L1853)&gt;1,1,0)</f>
        <v>0</v>
      </c>
      <c r="N1853" s="6" t="str">
        <f aca="false">IF(AND(C1853&lt;Assumptions!$B$9,B1853&lt;Assumptions!$B$10),"Irrigate Now",IF(AND(C1853&gt;=Assumptions!$B$11,B1853&gt;=Assumptions!$B$12),"No Irrigation Needed","Monitor"))</f>
        <v>Monitor</v>
      </c>
      <c r="O1853" s="6" t="n">
        <f aca="false">IF(N1853=G1853,1,0)</f>
        <v>1</v>
      </c>
    </row>
    <row r="1854" customFormat="false" ht="15" hidden="false" customHeight="false" outlineLevel="0" collapsed="false">
      <c r="A1854" s="16" t="n">
        <v>25.76011662</v>
      </c>
      <c r="B1854" s="16" t="n">
        <v>131.2451414</v>
      </c>
      <c r="C1854" s="16" t="n">
        <v>26.4479230549476</v>
      </c>
      <c r="D1854" s="6" t="s">
        <v>57</v>
      </c>
      <c r="E1854" s="6" t="s">
        <v>57</v>
      </c>
      <c r="F1854" s="6" t="s">
        <v>23</v>
      </c>
      <c r="G1854" s="6" t="s">
        <v>58</v>
      </c>
      <c r="H1854" s="6" t="s">
        <v>59</v>
      </c>
      <c r="I1854" s="6" t="str">
        <f aca="false">IF(A1854&lt;Outliers!$E$6,"Low",IF(A1854&gt;Outliers!$F$6,"High",""))</f>
        <v/>
      </c>
      <c r="J1854" s="6" t="str">
        <f aca="false">IF(B1854&lt;Outliers!$E$7,"Low",IF(B1854&gt;Outliers!$F$7,"High",""))</f>
        <v/>
      </c>
      <c r="K1854" s="6" t="str">
        <f aca="false">IF(C1854&lt;Outliers!$E$8,"Low",IF(C1854&gt;Outliers!$F$8,"High",""))</f>
        <v/>
      </c>
      <c r="L1854" s="6" t="str">
        <f aca="false">A1854&amp;";"&amp;B1854&amp;";"&amp;C1854</f>
        <v>25.76011662;131.2451414;26.4479230549476</v>
      </c>
      <c r="M1854" s="6" t="n">
        <f aca="false">IF(COUNTIF($L$2:$L$2201,L1854)&gt;1,1,0)</f>
        <v>0</v>
      </c>
      <c r="N1854" s="6" t="str">
        <f aca="false">IF(AND(C1854&lt;Assumptions!$B$9,B1854&lt;Assumptions!$B$10),"Irrigate Now",IF(AND(C1854&gt;=Assumptions!$B$11,B1854&gt;=Assumptions!$B$12),"No Irrigation Needed","Monitor"))</f>
        <v>No Irrigation Needed</v>
      </c>
      <c r="O1854" s="6" t="n">
        <f aca="false">IF(N1854=G1854,1,0)</f>
        <v>1</v>
      </c>
    </row>
    <row r="1855" customFormat="false" ht="15" hidden="false" customHeight="false" outlineLevel="0" collapsed="false">
      <c r="A1855" s="16" t="n">
        <v>28.87862994</v>
      </c>
      <c r="B1855" s="16" t="n">
        <v>145.0583117</v>
      </c>
      <c r="C1855" s="16" t="n">
        <v>23.2062616676908</v>
      </c>
      <c r="D1855" s="6" t="s">
        <v>57</v>
      </c>
      <c r="E1855" s="6" t="s">
        <v>57</v>
      </c>
      <c r="F1855" s="6" t="s">
        <v>23</v>
      </c>
      <c r="G1855" s="6" t="s">
        <v>61</v>
      </c>
      <c r="H1855" s="6" t="s">
        <v>63</v>
      </c>
      <c r="I1855" s="6" t="str">
        <f aca="false">IF(A1855&lt;Outliers!$E$6,"Low",IF(A1855&gt;Outliers!$F$6,"High",""))</f>
        <v/>
      </c>
      <c r="J1855" s="6" t="str">
        <f aca="false">IF(B1855&lt;Outliers!$E$7,"Low",IF(B1855&gt;Outliers!$F$7,"High",""))</f>
        <v/>
      </c>
      <c r="K1855" s="6" t="str">
        <f aca="false">IF(C1855&lt;Outliers!$E$8,"Low",IF(C1855&gt;Outliers!$F$8,"High",""))</f>
        <v/>
      </c>
      <c r="L1855" s="6" t="str">
        <f aca="false">A1855&amp;";"&amp;B1855&amp;";"&amp;C1855</f>
        <v>28.87862994;145.0583117;23.2062616676908</v>
      </c>
      <c r="M1855" s="6" t="n">
        <f aca="false">IF(COUNTIF($L$2:$L$2201,L1855)&gt;1,1,0)</f>
        <v>0</v>
      </c>
      <c r="N1855" s="6" t="str">
        <f aca="false">IF(AND(C1855&lt;Assumptions!$B$9,B1855&lt;Assumptions!$B$10),"Irrigate Now",IF(AND(C1855&gt;=Assumptions!$B$11,B1855&gt;=Assumptions!$B$12),"No Irrigation Needed","Monitor"))</f>
        <v>Monitor</v>
      </c>
      <c r="O1855" s="6" t="n">
        <f aca="false">IF(N1855=G1855,1,0)</f>
        <v>1</v>
      </c>
    </row>
    <row r="1856" customFormat="false" ht="15" hidden="false" customHeight="false" outlineLevel="0" collapsed="false">
      <c r="A1856" s="16" t="n">
        <v>26.50908611</v>
      </c>
      <c r="B1856" s="16" t="n">
        <v>199.8778403</v>
      </c>
      <c r="C1856" s="16" t="n">
        <v>19.0587906546736</v>
      </c>
      <c r="D1856" s="6" t="s">
        <v>57</v>
      </c>
      <c r="E1856" s="6" t="s">
        <v>24</v>
      </c>
      <c r="F1856" s="6" t="s">
        <v>23</v>
      </c>
      <c r="G1856" s="6" t="s">
        <v>61</v>
      </c>
      <c r="H1856" s="6" t="s">
        <v>62</v>
      </c>
      <c r="I1856" s="6" t="str">
        <f aca="false">IF(A1856&lt;Outliers!$E$6,"Low",IF(A1856&gt;Outliers!$F$6,"High",""))</f>
        <v/>
      </c>
      <c r="J1856" s="6" t="str">
        <f aca="false">IF(B1856&lt;Outliers!$E$7,"Low",IF(B1856&gt;Outliers!$F$7,"High",""))</f>
        <v/>
      </c>
      <c r="K1856" s="6" t="str">
        <f aca="false">IF(C1856&lt;Outliers!$E$8,"Low",IF(C1856&gt;Outliers!$F$8,"High",""))</f>
        <v/>
      </c>
      <c r="L1856" s="6" t="str">
        <f aca="false">A1856&amp;";"&amp;B1856&amp;";"&amp;C1856</f>
        <v>26.50908611;199.8778403;19.0587906546736</v>
      </c>
      <c r="M1856" s="6" t="n">
        <f aca="false">IF(COUNTIF($L$2:$L$2201,L1856)&gt;1,1,0)</f>
        <v>0</v>
      </c>
      <c r="N1856" s="6" t="str">
        <f aca="false">IF(AND(C1856&lt;Assumptions!$B$9,B1856&lt;Assumptions!$B$10),"Irrigate Now",IF(AND(C1856&gt;=Assumptions!$B$11,B1856&gt;=Assumptions!$B$12),"No Irrigation Needed","Monitor"))</f>
        <v>Monitor</v>
      </c>
      <c r="O1856" s="6" t="n">
        <f aca="false">IF(N1856=G1856,1,0)</f>
        <v>1</v>
      </c>
    </row>
    <row r="1857" customFormat="false" ht="15" hidden="false" customHeight="false" outlineLevel="0" collapsed="false">
      <c r="A1857" s="16" t="n">
        <v>26.87037587</v>
      </c>
      <c r="B1857" s="16" t="n">
        <v>214.4128874</v>
      </c>
      <c r="C1857" s="16" t="n">
        <v>15.8512837190891</v>
      </c>
      <c r="D1857" s="6" t="s">
        <v>57</v>
      </c>
      <c r="E1857" s="6" t="s">
        <v>24</v>
      </c>
      <c r="F1857" s="6" t="s">
        <v>60</v>
      </c>
      <c r="G1857" s="6" t="s">
        <v>61</v>
      </c>
      <c r="H1857" s="6" t="s">
        <v>62</v>
      </c>
      <c r="I1857" s="6" t="str">
        <f aca="false">IF(A1857&lt;Outliers!$E$6,"Low",IF(A1857&gt;Outliers!$F$6,"High",""))</f>
        <v/>
      </c>
      <c r="J1857" s="6" t="str">
        <f aca="false">IF(B1857&lt;Outliers!$E$7,"Low",IF(B1857&gt;Outliers!$F$7,"High",""))</f>
        <v>High</v>
      </c>
      <c r="K1857" s="6" t="str">
        <f aca="false">IF(C1857&lt;Outliers!$E$8,"Low",IF(C1857&gt;Outliers!$F$8,"High",""))</f>
        <v/>
      </c>
      <c r="L1857" s="6" t="str">
        <f aca="false">A1857&amp;";"&amp;B1857&amp;";"&amp;C1857</f>
        <v>26.87037587;214.4128874;15.8512837190891</v>
      </c>
      <c r="M1857" s="6" t="n">
        <f aca="false">IF(COUNTIF($L$2:$L$2201,L1857)&gt;1,1,0)</f>
        <v>0</v>
      </c>
      <c r="N1857" s="6" t="str">
        <f aca="false">IF(AND(C1857&lt;Assumptions!$B$9,B1857&lt;Assumptions!$B$10),"Irrigate Now",IF(AND(C1857&gt;=Assumptions!$B$11,B1857&gt;=Assumptions!$B$12),"No Irrigation Needed","Monitor"))</f>
        <v>Monitor</v>
      </c>
      <c r="O1857" s="6" t="n">
        <f aca="false">IF(N1857=G1857,1,0)</f>
        <v>1</v>
      </c>
    </row>
    <row r="1858" customFormat="false" ht="15" hidden="false" customHeight="false" outlineLevel="0" collapsed="false">
      <c r="A1858" s="16" t="n">
        <v>27.57283516</v>
      </c>
      <c r="B1858" s="16" t="n">
        <v>145.9298935</v>
      </c>
      <c r="C1858" s="16" t="n">
        <v>16.6099940590011</v>
      </c>
      <c r="D1858" s="6" t="s">
        <v>57</v>
      </c>
      <c r="E1858" s="6" t="s">
        <v>57</v>
      </c>
      <c r="F1858" s="6" t="s">
        <v>60</v>
      </c>
      <c r="G1858" s="6" t="s">
        <v>61</v>
      </c>
      <c r="H1858" s="6" t="s">
        <v>63</v>
      </c>
      <c r="I1858" s="6" t="str">
        <f aca="false">IF(A1858&lt;Outliers!$E$6,"Low",IF(A1858&gt;Outliers!$F$6,"High",""))</f>
        <v/>
      </c>
      <c r="J1858" s="6" t="str">
        <f aca="false">IF(B1858&lt;Outliers!$E$7,"Low",IF(B1858&gt;Outliers!$F$7,"High",""))</f>
        <v/>
      </c>
      <c r="K1858" s="6" t="str">
        <f aca="false">IF(C1858&lt;Outliers!$E$8,"Low",IF(C1858&gt;Outliers!$F$8,"High",""))</f>
        <v/>
      </c>
      <c r="L1858" s="6" t="str">
        <f aca="false">A1858&amp;";"&amp;B1858&amp;";"&amp;C1858</f>
        <v>27.57283516;145.9298935;16.6099940590011</v>
      </c>
      <c r="M1858" s="6" t="n">
        <f aca="false">IF(COUNTIF($L$2:$L$2201,L1858)&gt;1,1,0)</f>
        <v>0</v>
      </c>
      <c r="N1858" s="6" t="str">
        <f aca="false">IF(AND(C1858&lt;Assumptions!$B$9,B1858&lt;Assumptions!$B$10),"Irrigate Now",IF(AND(C1858&gt;=Assumptions!$B$11,B1858&gt;=Assumptions!$B$12),"No Irrigation Needed","Monitor"))</f>
        <v>Monitor</v>
      </c>
      <c r="O1858" s="6" t="n">
        <f aca="false">IF(N1858=G1858,1,0)</f>
        <v>1</v>
      </c>
    </row>
    <row r="1859" customFormat="false" ht="15" hidden="false" customHeight="false" outlineLevel="0" collapsed="false">
      <c r="A1859" s="16" t="n">
        <v>28.05912437</v>
      </c>
      <c r="B1859" s="16" t="n">
        <v>171.6516396</v>
      </c>
      <c r="C1859" s="16" t="n">
        <v>14.9934928771481</v>
      </c>
      <c r="D1859" s="6" t="s">
        <v>57</v>
      </c>
      <c r="E1859" s="6" t="s">
        <v>24</v>
      </c>
      <c r="F1859" s="6" t="s">
        <v>60</v>
      </c>
      <c r="G1859" s="6" t="s">
        <v>61</v>
      </c>
      <c r="H1859" s="6" t="s">
        <v>62</v>
      </c>
      <c r="I1859" s="6" t="str">
        <f aca="false">IF(A1859&lt;Outliers!$E$6,"Low",IF(A1859&gt;Outliers!$F$6,"High",""))</f>
        <v/>
      </c>
      <c r="J1859" s="6" t="str">
        <f aca="false">IF(B1859&lt;Outliers!$E$7,"Low",IF(B1859&gt;Outliers!$F$7,"High",""))</f>
        <v/>
      </c>
      <c r="K1859" s="6" t="str">
        <f aca="false">IF(C1859&lt;Outliers!$E$8,"Low",IF(C1859&gt;Outliers!$F$8,"High",""))</f>
        <v/>
      </c>
      <c r="L1859" s="6" t="str">
        <f aca="false">A1859&amp;";"&amp;B1859&amp;";"&amp;C1859</f>
        <v>28.05912437;171.6516396;14.9934928771481</v>
      </c>
      <c r="M1859" s="6" t="n">
        <f aca="false">IF(COUNTIF($L$2:$L$2201,L1859)&gt;1,1,0)</f>
        <v>0</v>
      </c>
      <c r="N1859" s="6" t="str">
        <f aca="false">IF(AND(C1859&lt;Assumptions!$B$9,B1859&lt;Assumptions!$B$10),"Irrigate Now",IF(AND(C1859&gt;=Assumptions!$B$11,B1859&gt;=Assumptions!$B$12),"No Irrigation Needed","Monitor"))</f>
        <v>Monitor</v>
      </c>
      <c r="O1859" s="6" t="n">
        <f aca="false">IF(N1859=G1859,1,0)</f>
        <v>1</v>
      </c>
    </row>
    <row r="1860" customFormat="false" ht="15" hidden="false" customHeight="false" outlineLevel="0" collapsed="false">
      <c r="A1860" s="16" t="n">
        <v>29.51611558</v>
      </c>
      <c r="B1860" s="16" t="n">
        <v>131.2116167</v>
      </c>
      <c r="C1860" s="16" t="n">
        <v>17.412679457142</v>
      </c>
      <c r="D1860" s="6" t="s">
        <v>57</v>
      </c>
      <c r="E1860" s="6" t="s">
        <v>57</v>
      </c>
      <c r="F1860" s="6" t="s">
        <v>60</v>
      </c>
      <c r="G1860" s="6" t="s">
        <v>61</v>
      </c>
      <c r="H1860" s="6" t="s">
        <v>63</v>
      </c>
      <c r="I1860" s="6" t="str">
        <f aca="false">IF(A1860&lt;Outliers!$E$6,"Low",IF(A1860&gt;Outliers!$F$6,"High",""))</f>
        <v/>
      </c>
      <c r="J1860" s="6" t="str">
        <f aca="false">IF(B1860&lt;Outliers!$E$7,"Low",IF(B1860&gt;Outliers!$F$7,"High",""))</f>
        <v/>
      </c>
      <c r="K1860" s="6" t="str">
        <f aca="false">IF(C1860&lt;Outliers!$E$8,"Low",IF(C1860&gt;Outliers!$F$8,"High",""))</f>
        <v/>
      </c>
      <c r="L1860" s="6" t="str">
        <f aca="false">A1860&amp;";"&amp;B1860&amp;";"&amp;C1860</f>
        <v>29.51611558;131.2116167;17.412679457142</v>
      </c>
      <c r="M1860" s="6" t="n">
        <f aca="false">IF(COUNTIF($L$2:$L$2201,L1860)&gt;1,1,0)</f>
        <v>0</v>
      </c>
      <c r="N1860" s="6" t="str">
        <f aca="false">IF(AND(C1860&lt;Assumptions!$B$9,B1860&lt;Assumptions!$B$10),"Irrigate Now",IF(AND(C1860&gt;=Assumptions!$B$11,B1860&gt;=Assumptions!$B$12),"No Irrigation Needed","Monitor"))</f>
        <v>Monitor</v>
      </c>
      <c r="O1860" s="6" t="n">
        <f aca="false">IF(N1860=G1860,1,0)</f>
        <v>1</v>
      </c>
    </row>
    <row r="1861" customFormat="false" ht="15" hidden="false" customHeight="false" outlineLevel="0" collapsed="false">
      <c r="A1861" s="16" t="n">
        <v>28.96318258</v>
      </c>
      <c r="B1861" s="16" t="n">
        <v>222.803013</v>
      </c>
      <c r="C1861" s="16" t="n">
        <v>12.1748787318853</v>
      </c>
      <c r="D1861" s="6" t="s">
        <v>57</v>
      </c>
      <c r="E1861" s="6" t="s">
        <v>24</v>
      </c>
      <c r="F1861" s="6" t="s">
        <v>60</v>
      </c>
      <c r="G1861" s="6" t="s">
        <v>61</v>
      </c>
      <c r="H1861" s="6" t="s">
        <v>62</v>
      </c>
      <c r="I1861" s="6" t="str">
        <f aca="false">IF(A1861&lt;Outliers!$E$6,"Low",IF(A1861&gt;Outliers!$F$6,"High",""))</f>
        <v/>
      </c>
      <c r="J1861" s="6" t="str">
        <f aca="false">IF(B1861&lt;Outliers!$E$7,"Low",IF(B1861&gt;Outliers!$F$7,"High",""))</f>
        <v>High</v>
      </c>
      <c r="K1861" s="6" t="str">
        <f aca="false">IF(C1861&lt;Outliers!$E$8,"Low",IF(C1861&gt;Outliers!$F$8,"High",""))</f>
        <v/>
      </c>
      <c r="L1861" s="6" t="str">
        <f aca="false">A1861&amp;";"&amp;B1861&amp;";"&amp;C1861</f>
        <v>28.96318258;222.803013;12.1748787318853</v>
      </c>
      <c r="M1861" s="6" t="n">
        <f aca="false">IF(COUNTIF($L$2:$L$2201,L1861)&gt;1,1,0)</f>
        <v>0</v>
      </c>
      <c r="N1861" s="6" t="str">
        <f aca="false">IF(AND(C1861&lt;Assumptions!$B$9,B1861&lt;Assumptions!$B$10),"Irrigate Now",IF(AND(C1861&gt;=Assumptions!$B$11,B1861&gt;=Assumptions!$B$12),"No Irrigation Needed","Monitor"))</f>
        <v>Monitor</v>
      </c>
      <c r="O1861" s="6" t="n">
        <f aca="false">IF(N1861=G1861,1,0)</f>
        <v>1</v>
      </c>
    </row>
    <row r="1862" customFormat="false" ht="15" hidden="false" customHeight="false" outlineLevel="0" collapsed="false">
      <c r="A1862" s="16" t="n">
        <v>25.09897688</v>
      </c>
      <c r="B1862" s="16" t="n">
        <v>157.7592626</v>
      </c>
      <c r="C1862" s="16" t="n">
        <v>19.2886142412469</v>
      </c>
      <c r="D1862" s="6" t="s">
        <v>57</v>
      </c>
      <c r="E1862" s="6" t="s">
        <v>24</v>
      </c>
      <c r="F1862" s="6" t="s">
        <v>60</v>
      </c>
      <c r="G1862" s="6" t="s">
        <v>61</v>
      </c>
      <c r="H1862" s="6" t="s">
        <v>62</v>
      </c>
      <c r="I1862" s="6" t="str">
        <f aca="false">IF(A1862&lt;Outliers!$E$6,"Low",IF(A1862&gt;Outliers!$F$6,"High",""))</f>
        <v/>
      </c>
      <c r="J1862" s="6" t="str">
        <f aca="false">IF(B1862&lt;Outliers!$E$7,"Low",IF(B1862&gt;Outliers!$F$7,"High",""))</f>
        <v/>
      </c>
      <c r="K1862" s="6" t="str">
        <f aca="false">IF(C1862&lt;Outliers!$E$8,"Low",IF(C1862&gt;Outliers!$F$8,"High",""))</f>
        <v/>
      </c>
      <c r="L1862" s="6" t="str">
        <f aca="false">A1862&amp;";"&amp;B1862&amp;";"&amp;C1862</f>
        <v>25.09897688;157.7592626;19.2886142412469</v>
      </c>
      <c r="M1862" s="6" t="n">
        <f aca="false">IF(COUNTIF($L$2:$L$2201,L1862)&gt;1,1,0)</f>
        <v>0</v>
      </c>
      <c r="N1862" s="6" t="str">
        <f aca="false">IF(AND(C1862&lt;Assumptions!$B$9,B1862&lt;Assumptions!$B$10),"Irrigate Now",IF(AND(C1862&gt;=Assumptions!$B$11,B1862&gt;=Assumptions!$B$12),"No Irrigation Needed","Monitor"))</f>
        <v>Monitor</v>
      </c>
      <c r="O1862" s="6" t="n">
        <f aca="false">IF(N1862=G1862,1,0)</f>
        <v>1</v>
      </c>
    </row>
    <row r="1863" customFormat="false" ht="15" hidden="false" customHeight="false" outlineLevel="0" collapsed="false">
      <c r="A1863" s="16" t="n">
        <v>27.1872282</v>
      </c>
      <c r="B1863" s="16" t="n">
        <v>141.3220576</v>
      </c>
      <c r="C1863" s="16" t="n">
        <v>19.5899136735612</v>
      </c>
      <c r="D1863" s="6" t="s">
        <v>57</v>
      </c>
      <c r="E1863" s="6" t="s">
        <v>57</v>
      </c>
      <c r="F1863" s="6" t="s">
        <v>60</v>
      </c>
      <c r="G1863" s="6" t="s">
        <v>61</v>
      </c>
      <c r="H1863" s="6" t="s">
        <v>63</v>
      </c>
      <c r="I1863" s="6" t="str">
        <f aca="false">IF(A1863&lt;Outliers!$E$6,"Low",IF(A1863&gt;Outliers!$F$6,"High",""))</f>
        <v/>
      </c>
      <c r="J1863" s="6" t="str">
        <f aca="false">IF(B1863&lt;Outliers!$E$7,"Low",IF(B1863&gt;Outliers!$F$7,"High",""))</f>
        <v/>
      </c>
      <c r="K1863" s="6" t="str">
        <f aca="false">IF(C1863&lt;Outliers!$E$8,"Low",IF(C1863&gt;Outliers!$F$8,"High",""))</f>
        <v/>
      </c>
      <c r="L1863" s="6" t="str">
        <f aca="false">A1863&amp;";"&amp;B1863&amp;";"&amp;C1863</f>
        <v>27.1872282;141.3220576;19.5899136735612</v>
      </c>
      <c r="M1863" s="6" t="n">
        <f aca="false">IF(COUNTIF($L$2:$L$2201,L1863)&gt;1,1,0)</f>
        <v>0</v>
      </c>
      <c r="N1863" s="6" t="str">
        <f aca="false">IF(AND(C1863&lt;Assumptions!$B$9,B1863&lt;Assumptions!$B$10),"Irrigate Now",IF(AND(C1863&gt;=Assumptions!$B$11,B1863&gt;=Assumptions!$B$12),"No Irrigation Needed","Monitor"))</f>
        <v>Monitor</v>
      </c>
      <c r="O1863" s="6" t="n">
        <f aca="false">IF(N1863=G1863,1,0)</f>
        <v>1</v>
      </c>
    </row>
    <row r="1864" customFormat="false" ht="15" hidden="false" customHeight="false" outlineLevel="0" collapsed="false">
      <c r="A1864" s="16" t="n">
        <v>29.03065024</v>
      </c>
      <c r="B1864" s="16" t="n">
        <v>205.5720367</v>
      </c>
      <c r="C1864" s="16" t="n">
        <v>20.2766882885652</v>
      </c>
      <c r="D1864" s="6" t="s">
        <v>57</v>
      </c>
      <c r="E1864" s="6" t="s">
        <v>24</v>
      </c>
      <c r="F1864" s="6" t="s">
        <v>23</v>
      </c>
      <c r="G1864" s="6" t="s">
        <v>61</v>
      </c>
      <c r="H1864" s="6" t="s">
        <v>62</v>
      </c>
      <c r="I1864" s="6" t="str">
        <f aca="false">IF(A1864&lt;Outliers!$E$6,"Low",IF(A1864&gt;Outliers!$F$6,"High",""))</f>
        <v/>
      </c>
      <c r="J1864" s="6" t="str">
        <f aca="false">IF(B1864&lt;Outliers!$E$7,"Low",IF(B1864&gt;Outliers!$F$7,"High",""))</f>
        <v/>
      </c>
      <c r="K1864" s="6" t="str">
        <f aca="false">IF(C1864&lt;Outliers!$E$8,"Low",IF(C1864&gt;Outliers!$F$8,"High",""))</f>
        <v/>
      </c>
      <c r="L1864" s="6" t="str">
        <f aca="false">A1864&amp;";"&amp;B1864&amp;";"&amp;C1864</f>
        <v>29.03065024;205.5720367;20.2766882885652</v>
      </c>
      <c r="M1864" s="6" t="n">
        <f aca="false">IF(COUNTIF($L$2:$L$2201,L1864)&gt;1,1,0)</f>
        <v>0</v>
      </c>
      <c r="N1864" s="6" t="str">
        <f aca="false">IF(AND(C1864&lt;Assumptions!$B$9,B1864&lt;Assumptions!$B$10),"Irrigate Now",IF(AND(C1864&gt;=Assumptions!$B$11,B1864&gt;=Assumptions!$B$12),"No Irrigation Needed","Monitor"))</f>
        <v>Monitor</v>
      </c>
      <c r="O1864" s="6" t="n">
        <f aca="false">IF(N1864=G1864,1,0)</f>
        <v>1</v>
      </c>
    </row>
    <row r="1865" customFormat="false" ht="15" hidden="false" customHeight="false" outlineLevel="0" collapsed="false">
      <c r="A1865" s="16" t="n">
        <v>27.754298</v>
      </c>
      <c r="B1865" s="16" t="n">
        <v>131.0900076</v>
      </c>
      <c r="C1865" s="16" t="n">
        <v>28.4009445812027</v>
      </c>
      <c r="D1865" s="6" t="s">
        <v>57</v>
      </c>
      <c r="E1865" s="6" t="s">
        <v>57</v>
      </c>
      <c r="F1865" s="6" t="s">
        <v>23</v>
      </c>
      <c r="G1865" s="6" t="s">
        <v>58</v>
      </c>
      <c r="H1865" s="6" t="s">
        <v>59</v>
      </c>
      <c r="I1865" s="6" t="str">
        <f aca="false">IF(A1865&lt;Outliers!$E$6,"Low",IF(A1865&gt;Outliers!$F$6,"High",""))</f>
        <v/>
      </c>
      <c r="J1865" s="6" t="str">
        <f aca="false">IF(B1865&lt;Outliers!$E$7,"Low",IF(B1865&gt;Outliers!$F$7,"High",""))</f>
        <v/>
      </c>
      <c r="K1865" s="6" t="str">
        <f aca="false">IF(C1865&lt;Outliers!$E$8,"Low",IF(C1865&gt;Outliers!$F$8,"High",""))</f>
        <v/>
      </c>
      <c r="L1865" s="6" t="str">
        <f aca="false">A1865&amp;";"&amp;B1865&amp;";"&amp;C1865</f>
        <v>27.754298;131.0900076;28.4009445812027</v>
      </c>
      <c r="M1865" s="6" t="n">
        <f aca="false">IF(COUNTIF($L$2:$L$2201,L1865)&gt;1,1,0)</f>
        <v>0</v>
      </c>
      <c r="N1865" s="6" t="str">
        <f aca="false">IF(AND(C1865&lt;Assumptions!$B$9,B1865&lt;Assumptions!$B$10),"Irrigate Now",IF(AND(C1865&gt;=Assumptions!$B$11,B1865&gt;=Assumptions!$B$12),"No Irrigation Needed","Monitor"))</f>
        <v>No Irrigation Needed</v>
      </c>
      <c r="O1865" s="6" t="n">
        <f aca="false">IF(N1865=G1865,1,0)</f>
        <v>1</v>
      </c>
    </row>
    <row r="1866" customFormat="false" ht="15" hidden="false" customHeight="false" outlineLevel="0" collapsed="false">
      <c r="A1866" s="16" t="n">
        <v>27.31155708</v>
      </c>
      <c r="B1866" s="16" t="n">
        <v>201.8258633</v>
      </c>
      <c r="C1866" s="16" t="n">
        <v>23.7870052058037</v>
      </c>
      <c r="D1866" s="6" t="s">
        <v>57</v>
      </c>
      <c r="E1866" s="6" t="s">
        <v>24</v>
      </c>
      <c r="F1866" s="6" t="s">
        <v>23</v>
      </c>
      <c r="G1866" s="6" t="s">
        <v>61</v>
      </c>
      <c r="H1866" s="6" t="s">
        <v>62</v>
      </c>
      <c r="I1866" s="6" t="str">
        <f aca="false">IF(A1866&lt;Outliers!$E$6,"Low",IF(A1866&gt;Outliers!$F$6,"High",""))</f>
        <v/>
      </c>
      <c r="J1866" s="6" t="str">
        <f aca="false">IF(B1866&lt;Outliers!$E$7,"Low",IF(B1866&gt;Outliers!$F$7,"High",""))</f>
        <v/>
      </c>
      <c r="K1866" s="6" t="str">
        <f aca="false">IF(C1866&lt;Outliers!$E$8,"Low",IF(C1866&gt;Outliers!$F$8,"High",""))</f>
        <v/>
      </c>
      <c r="L1866" s="6" t="str">
        <f aca="false">A1866&amp;";"&amp;B1866&amp;";"&amp;C1866</f>
        <v>27.31155708;201.8258633;23.7870052058037</v>
      </c>
      <c r="M1866" s="6" t="n">
        <f aca="false">IF(COUNTIF($L$2:$L$2201,L1866)&gt;1,1,0)</f>
        <v>0</v>
      </c>
      <c r="N1866" s="6" t="str">
        <f aca="false">IF(AND(C1866&lt;Assumptions!$B$9,B1866&lt;Assumptions!$B$10),"Irrigate Now",IF(AND(C1866&gt;=Assumptions!$B$11,B1866&gt;=Assumptions!$B$12),"No Irrigation Needed","Monitor"))</f>
        <v>Monitor</v>
      </c>
      <c r="O1866" s="6" t="n">
        <f aca="false">IF(N1866=G1866,1,0)</f>
        <v>1</v>
      </c>
    </row>
    <row r="1867" customFormat="false" ht="15" hidden="false" customHeight="false" outlineLevel="0" collapsed="false">
      <c r="A1867" s="16" t="n">
        <v>28.84270971</v>
      </c>
      <c r="B1867" s="16" t="n">
        <v>224.4016682</v>
      </c>
      <c r="C1867" s="16" t="n">
        <v>14.7363326093309</v>
      </c>
      <c r="D1867" s="6" t="s">
        <v>57</v>
      </c>
      <c r="E1867" s="6" t="s">
        <v>24</v>
      </c>
      <c r="F1867" s="6" t="s">
        <v>60</v>
      </c>
      <c r="G1867" s="6" t="s">
        <v>61</v>
      </c>
      <c r="H1867" s="6" t="s">
        <v>62</v>
      </c>
      <c r="I1867" s="6" t="str">
        <f aca="false">IF(A1867&lt;Outliers!$E$6,"Low",IF(A1867&gt;Outliers!$F$6,"High",""))</f>
        <v/>
      </c>
      <c r="J1867" s="6" t="str">
        <f aca="false">IF(B1867&lt;Outliers!$E$7,"Low",IF(B1867&gt;Outliers!$F$7,"High",""))</f>
        <v>High</v>
      </c>
      <c r="K1867" s="6" t="str">
        <f aca="false">IF(C1867&lt;Outliers!$E$8,"Low",IF(C1867&gt;Outliers!$F$8,"High",""))</f>
        <v/>
      </c>
      <c r="L1867" s="6" t="str">
        <f aca="false">A1867&amp;";"&amp;B1867&amp;";"&amp;C1867</f>
        <v>28.84270971;224.4016682;14.7363326093309</v>
      </c>
      <c r="M1867" s="6" t="n">
        <f aca="false">IF(COUNTIF($L$2:$L$2201,L1867)&gt;1,1,0)</f>
        <v>0</v>
      </c>
      <c r="N1867" s="6" t="str">
        <f aca="false">IF(AND(C1867&lt;Assumptions!$B$9,B1867&lt;Assumptions!$B$10),"Irrigate Now",IF(AND(C1867&gt;=Assumptions!$B$11,B1867&gt;=Assumptions!$B$12),"No Irrigation Needed","Monitor"))</f>
        <v>Monitor</v>
      </c>
      <c r="O1867" s="6" t="n">
        <f aca="false">IF(N1867=G1867,1,0)</f>
        <v>1</v>
      </c>
    </row>
    <row r="1868" customFormat="false" ht="15" hidden="false" customHeight="false" outlineLevel="0" collapsed="false">
      <c r="A1868" s="16" t="n">
        <v>26.61423461</v>
      </c>
      <c r="B1868" s="16" t="n">
        <v>191.006688</v>
      </c>
      <c r="C1868" s="16" t="n">
        <v>16.2001044635105</v>
      </c>
      <c r="D1868" s="6" t="s">
        <v>57</v>
      </c>
      <c r="E1868" s="6" t="s">
        <v>24</v>
      </c>
      <c r="F1868" s="6" t="s">
        <v>60</v>
      </c>
      <c r="G1868" s="6" t="s">
        <v>61</v>
      </c>
      <c r="H1868" s="6" t="s">
        <v>62</v>
      </c>
      <c r="I1868" s="6" t="str">
        <f aca="false">IF(A1868&lt;Outliers!$E$6,"Low",IF(A1868&gt;Outliers!$F$6,"High",""))</f>
        <v/>
      </c>
      <c r="J1868" s="6" t="str">
        <f aca="false">IF(B1868&lt;Outliers!$E$7,"Low",IF(B1868&gt;Outliers!$F$7,"High",""))</f>
        <v/>
      </c>
      <c r="K1868" s="6" t="str">
        <f aca="false">IF(C1868&lt;Outliers!$E$8,"Low",IF(C1868&gt;Outliers!$F$8,"High",""))</f>
        <v/>
      </c>
      <c r="L1868" s="6" t="str">
        <f aca="false">A1868&amp;";"&amp;B1868&amp;";"&amp;C1868</f>
        <v>26.61423461;191.006688;16.2001044635105</v>
      </c>
      <c r="M1868" s="6" t="n">
        <f aca="false">IF(COUNTIF($L$2:$L$2201,L1868)&gt;1,1,0)</f>
        <v>0</v>
      </c>
      <c r="N1868" s="6" t="str">
        <f aca="false">IF(AND(C1868&lt;Assumptions!$B$9,B1868&lt;Assumptions!$B$10),"Irrigate Now",IF(AND(C1868&gt;=Assumptions!$B$11,B1868&gt;=Assumptions!$B$12),"No Irrigation Needed","Monitor"))</f>
        <v>Monitor</v>
      </c>
      <c r="O1868" s="6" t="n">
        <f aca="false">IF(N1868=G1868,1,0)</f>
        <v>1</v>
      </c>
    </row>
    <row r="1869" customFormat="false" ht="15" hidden="false" customHeight="false" outlineLevel="0" collapsed="false">
      <c r="A1869" s="16" t="n">
        <v>29.70143197</v>
      </c>
      <c r="B1869" s="16" t="n">
        <v>215.1968037</v>
      </c>
      <c r="C1869" s="16" t="n">
        <v>25.4011561733171</v>
      </c>
      <c r="D1869" s="6" t="s">
        <v>57</v>
      </c>
      <c r="E1869" s="6" t="s">
        <v>24</v>
      </c>
      <c r="F1869" s="6" t="s">
        <v>23</v>
      </c>
      <c r="G1869" s="6" t="s">
        <v>58</v>
      </c>
      <c r="H1869" s="6" t="s">
        <v>59</v>
      </c>
      <c r="I1869" s="6" t="str">
        <f aca="false">IF(A1869&lt;Outliers!$E$6,"Low",IF(A1869&gt;Outliers!$F$6,"High",""))</f>
        <v/>
      </c>
      <c r="J1869" s="6" t="str">
        <f aca="false">IF(B1869&lt;Outliers!$E$7,"Low",IF(B1869&gt;Outliers!$F$7,"High",""))</f>
        <v>High</v>
      </c>
      <c r="K1869" s="6" t="str">
        <f aca="false">IF(C1869&lt;Outliers!$E$8,"Low",IF(C1869&gt;Outliers!$F$8,"High",""))</f>
        <v/>
      </c>
      <c r="L1869" s="6" t="str">
        <f aca="false">A1869&amp;";"&amp;B1869&amp;";"&amp;C1869</f>
        <v>29.70143197;215.1968037;25.4011561733171</v>
      </c>
      <c r="M1869" s="6" t="n">
        <f aca="false">IF(COUNTIF($L$2:$L$2201,L1869)&gt;1,1,0)</f>
        <v>0</v>
      </c>
      <c r="N1869" s="6" t="str">
        <f aca="false">IF(AND(C1869&lt;Assumptions!$B$9,B1869&lt;Assumptions!$B$10),"Irrigate Now",IF(AND(C1869&gt;=Assumptions!$B$11,B1869&gt;=Assumptions!$B$12),"No Irrigation Needed","Monitor"))</f>
        <v>No Irrigation Needed</v>
      </c>
      <c r="O1869" s="6" t="n">
        <f aca="false">IF(N1869=G1869,1,0)</f>
        <v>1</v>
      </c>
    </row>
    <row r="1870" customFormat="false" ht="15" hidden="false" customHeight="false" outlineLevel="0" collapsed="false">
      <c r="A1870" s="16" t="n">
        <v>25.54759871</v>
      </c>
      <c r="B1870" s="16" t="n">
        <v>212.867626</v>
      </c>
      <c r="C1870" s="16" t="n">
        <v>17.9518421758181</v>
      </c>
      <c r="D1870" s="6" t="s">
        <v>57</v>
      </c>
      <c r="E1870" s="6" t="s">
        <v>24</v>
      </c>
      <c r="F1870" s="6" t="s">
        <v>60</v>
      </c>
      <c r="G1870" s="6" t="s">
        <v>61</v>
      </c>
      <c r="H1870" s="6" t="s">
        <v>62</v>
      </c>
      <c r="I1870" s="6" t="str">
        <f aca="false">IF(A1870&lt;Outliers!$E$6,"Low",IF(A1870&gt;Outliers!$F$6,"High",""))</f>
        <v/>
      </c>
      <c r="J1870" s="6" t="str">
        <f aca="false">IF(B1870&lt;Outliers!$E$7,"Low",IF(B1870&gt;Outliers!$F$7,"High",""))</f>
        <v/>
      </c>
      <c r="K1870" s="6" t="str">
        <f aca="false">IF(C1870&lt;Outliers!$E$8,"Low",IF(C1870&gt;Outliers!$F$8,"High",""))</f>
        <v/>
      </c>
      <c r="L1870" s="6" t="str">
        <f aca="false">A1870&amp;";"&amp;B1870&amp;";"&amp;C1870</f>
        <v>25.54759871;212.867626;17.9518421758181</v>
      </c>
      <c r="M1870" s="6" t="n">
        <f aca="false">IF(COUNTIF($L$2:$L$2201,L1870)&gt;1,1,0)</f>
        <v>0</v>
      </c>
      <c r="N1870" s="6" t="str">
        <f aca="false">IF(AND(C1870&lt;Assumptions!$B$9,B1870&lt;Assumptions!$B$10),"Irrigate Now",IF(AND(C1870&gt;=Assumptions!$B$11,B1870&gt;=Assumptions!$B$12),"No Irrigation Needed","Monitor"))</f>
        <v>Monitor</v>
      </c>
      <c r="O1870" s="6" t="n">
        <f aca="false">IF(N1870=G1870,1,0)</f>
        <v>1</v>
      </c>
    </row>
    <row r="1871" customFormat="false" ht="15" hidden="false" customHeight="false" outlineLevel="0" collapsed="false">
      <c r="A1871" s="16" t="n">
        <v>26.37978453</v>
      </c>
      <c r="B1871" s="16" t="n">
        <v>167.0470997</v>
      </c>
      <c r="C1871" s="16" t="n">
        <v>21.6836322858494</v>
      </c>
      <c r="D1871" s="6" t="s">
        <v>57</v>
      </c>
      <c r="E1871" s="6" t="s">
        <v>24</v>
      </c>
      <c r="F1871" s="6" t="s">
        <v>23</v>
      </c>
      <c r="G1871" s="6" t="s">
        <v>61</v>
      </c>
      <c r="H1871" s="6" t="s">
        <v>62</v>
      </c>
      <c r="I1871" s="6" t="str">
        <f aca="false">IF(A1871&lt;Outliers!$E$6,"Low",IF(A1871&gt;Outliers!$F$6,"High",""))</f>
        <v/>
      </c>
      <c r="J1871" s="6" t="str">
        <f aca="false">IF(B1871&lt;Outliers!$E$7,"Low",IF(B1871&gt;Outliers!$F$7,"High",""))</f>
        <v/>
      </c>
      <c r="K1871" s="6" t="str">
        <f aca="false">IF(C1871&lt;Outliers!$E$8,"Low",IF(C1871&gt;Outliers!$F$8,"High",""))</f>
        <v/>
      </c>
      <c r="L1871" s="6" t="str">
        <f aca="false">A1871&amp;";"&amp;B1871&amp;";"&amp;C1871</f>
        <v>26.37978453;167.0470997;21.6836322858494</v>
      </c>
      <c r="M1871" s="6" t="n">
        <f aca="false">IF(COUNTIF($L$2:$L$2201,L1871)&gt;1,1,0)</f>
        <v>0</v>
      </c>
      <c r="N1871" s="6" t="str">
        <f aca="false">IF(AND(C1871&lt;Assumptions!$B$9,B1871&lt;Assumptions!$B$10),"Irrigate Now",IF(AND(C1871&gt;=Assumptions!$B$11,B1871&gt;=Assumptions!$B$12),"No Irrigation Needed","Monitor"))</f>
        <v>Monitor</v>
      </c>
      <c r="O1871" s="6" t="n">
        <f aca="false">IF(N1871=G1871,1,0)</f>
        <v>1</v>
      </c>
    </row>
    <row r="1872" customFormat="false" ht="15" hidden="false" customHeight="false" outlineLevel="0" collapsed="false">
      <c r="A1872" s="16" t="n">
        <v>27.45907759</v>
      </c>
      <c r="B1872" s="16" t="n">
        <v>142.1430003</v>
      </c>
      <c r="C1872" s="16" t="n">
        <v>12.9728520342168</v>
      </c>
      <c r="D1872" s="6" t="s">
        <v>57</v>
      </c>
      <c r="E1872" s="6" t="s">
        <v>57</v>
      </c>
      <c r="F1872" s="6" t="s">
        <v>24</v>
      </c>
      <c r="G1872" s="6" t="s">
        <v>61</v>
      </c>
      <c r="H1872" s="6" t="s">
        <v>63</v>
      </c>
      <c r="I1872" s="6" t="str">
        <f aca="false">IF(A1872&lt;Outliers!$E$6,"Low",IF(A1872&gt;Outliers!$F$6,"High",""))</f>
        <v/>
      </c>
      <c r="J1872" s="6" t="str">
        <f aca="false">IF(B1872&lt;Outliers!$E$7,"Low",IF(B1872&gt;Outliers!$F$7,"High",""))</f>
        <v/>
      </c>
      <c r="K1872" s="6" t="str">
        <f aca="false">IF(C1872&lt;Outliers!$E$8,"Low",IF(C1872&gt;Outliers!$F$8,"High",""))</f>
        <v/>
      </c>
      <c r="L1872" s="6" t="str">
        <f aca="false">A1872&amp;";"&amp;B1872&amp;";"&amp;C1872</f>
        <v>27.45907759;142.1430003;12.9728520342168</v>
      </c>
      <c r="M1872" s="6" t="n">
        <f aca="false">IF(COUNTIF($L$2:$L$2201,L1872)&gt;1,1,0)</f>
        <v>0</v>
      </c>
      <c r="N1872" s="6" t="str">
        <f aca="false">IF(AND(C1872&lt;Assumptions!$B$9,B1872&lt;Assumptions!$B$10),"Irrigate Now",IF(AND(C1872&gt;=Assumptions!$B$11,B1872&gt;=Assumptions!$B$12),"No Irrigation Needed","Monitor"))</f>
        <v>Monitor</v>
      </c>
      <c r="O1872" s="6" t="n">
        <f aca="false">IF(N1872=G1872,1,0)</f>
        <v>1</v>
      </c>
    </row>
    <row r="1873" customFormat="false" ht="15" hidden="false" customHeight="false" outlineLevel="0" collapsed="false">
      <c r="A1873" s="16" t="n">
        <v>27.02269204</v>
      </c>
      <c r="B1873" s="16" t="n">
        <v>147.1682459</v>
      </c>
      <c r="C1873" s="16" t="n">
        <v>18.437517983027</v>
      </c>
      <c r="D1873" s="6" t="s">
        <v>57</v>
      </c>
      <c r="E1873" s="6" t="s">
        <v>57</v>
      </c>
      <c r="F1873" s="6" t="s">
        <v>60</v>
      </c>
      <c r="G1873" s="6" t="s">
        <v>61</v>
      </c>
      <c r="H1873" s="6" t="s">
        <v>63</v>
      </c>
      <c r="I1873" s="6" t="str">
        <f aca="false">IF(A1873&lt;Outliers!$E$6,"Low",IF(A1873&gt;Outliers!$F$6,"High",""))</f>
        <v/>
      </c>
      <c r="J1873" s="6" t="str">
        <f aca="false">IF(B1873&lt;Outliers!$E$7,"Low",IF(B1873&gt;Outliers!$F$7,"High",""))</f>
        <v/>
      </c>
      <c r="K1873" s="6" t="str">
        <f aca="false">IF(C1873&lt;Outliers!$E$8,"Low",IF(C1873&gt;Outliers!$F$8,"High",""))</f>
        <v/>
      </c>
      <c r="L1873" s="6" t="str">
        <f aca="false">A1873&amp;";"&amp;B1873&amp;";"&amp;C1873</f>
        <v>27.02269204;147.1682459;18.437517983027</v>
      </c>
      <c r="M1873" s="6" t="n">
        <f aca="false">IF(COUNTIF($L$2:$L$2201,L1873)&gt;1,1,0)</f>
        <v>0</v>
      </c>
      <c r="N1873" s="6" t="str">
        <f aca="false">IF(AND(C1873&lt;Assumptions!$B$9,B1873&lt;Assumptions!$B$10),"Irrigate Now",IF(AND(C1873&gt;=Assumptions!$B$11,B1873&gt;=Assumptions!$B$12),"No Irrigation Needed","Monitor"))</f>
        <v>Monitor</v>
      </c>
      <c r="O1873" s="6" t="n">
        <f aca="false">IF(N1873=G1873,1,0)</f>
        <v>1</v>
      </c>
    </row>
    <row r="1874" customFormat="false" ht="15" hidden="false" customHeight="false" outlineLevel="0" collapsed="false">
      <c r="A1874" s="16" t="n">
        <v>28.98545306</v>
      </c>
      <c r="B1874" s="16" t="n">
        <v>148.8398374</v>
      </c>
      <c r="C1874" s="16" t="n">
        <v>10.5369523448355</v>
      </c>
      <c r="D1874" s="6" t="s">
        <v>57</v>
      </c>
      <c r="E1874" s="6" t="s">
        <v>57</v>
      </c>
      <c r="F1874" s="6" t="s">
        <v>24</v>
      </c>
      <c r="G1874" s="6" t="s">
        <v>61</v>
      </c>
      <c r="H1874" s="6" t="s">
        <v>63</v>
      </c>
      <c r="I1874" s="6" t="str">
        <f aca="false">IF(A1874&lt;Outliers!$E$6,"Low",IF(A1874&gt;Outliers!$F$6,"High",""))</f>
        <v/>
      </c>
      <c r="J1874" s="6" t="str">
        <f aca="false">IF(B1874&lt;Outliers!$E$7,"Low",IF(B1874&gt;Outliers!$F$7,"High",""))</f>
        <v/>
      </c>
      <c r="K1874" s="6" t="str">
        <f aca="false">IF(C1874&lt;Outliers!$E$8,"Low",IF(C1874&gt;Outliers!$F$8,"High",""))</f>
        <v/>
      </c>
      <c r="L1874" s="6" t="str">
        <f aca="false">A1874&amp;";"&amp;B1874&amp;";"&amp;C1874</f>
        <v>28.98545306;148.8398374;10.5369523448355</v>
      </c>
      <c r="M1874" s="6" t="n">
        <f aca="false">IF(COUNTIF($L$2:$L$2201,L1874)&gt;1,1,0)</f>
        <v>0</v>
      </c>
      <c r="N1874" s="6" t="str">
        <f aca="false">IF(AND(C1874&lt;Assumptions!$B$9,B1874&lt;Assumptions!$B$10),"Irrigate Now",IF(AND(C1874&gt;=Assumptions!$B$11,B1874&gt;=Assumptions!$B$12),"No Irrigation Needed","Monitor"))</f>
        <v>Monitor</v>
      </c>
      <c r="O1874" s="6" t="n">
        <f aca="false">IF(N1874=G1874,1,0)</f>
        <v>1</v>
      </c>
    </row>
    <row r="1875" customFormat="false" ht="15" hidden="false" customHeight="false" outlineLevel="0" collapsed="false">
      <c r="A1875" s="16" t="n">
        <v>26.1055118</v>
      </c>
      <c r="B1875" s="16" t="n">
        <v>134.1279669</v>
      </c>
      <c r="C1875" s="16" t="n">
        <v>22.0546733189443</v>
      </c>
      <c r="D1875" s="6" t="s">
        <v>57</v>
      </c>
      <c r="E1875" s="6" t="s">
        <v>57</v>
      </c>
      <c r="F1875" s="6" t="s">
        <v>23</v>
      </c>
      <c r="G1875" s="6" t="s">
        <v>61</v>
      </c>
      <c r="H1875" s="6" t="s">
        <v>63</v>
      </c>
      <c r="I1875" s="6" t="str">
        <f aca="false">IF(A1875&lt;Outliers!$E$6,"Low",IF(A1875&gt;Outliers!$F$6,"High",""))</f>
        <v/>
      </c>
      <c r="J1875" s="6" t="str">
        <f aca="false">IF(B1875&lt;Outliers!$E$7,"Low",IF(B1875&gt;Outliers!$F$7,"High",""))</f>
        <v/>
      </c>
      <c r="K1875" s="6" t="str">
        <f aca="false">IF(C1875&lt;Outliers!$E$8,"Low",IF(C1875&gt;Outliers!$F$8,"High",""))</f>
        <v/>
      </c>
      <c r="L1875" s="6" t="str">
        <f aca="false">A1875&amp;";"&amp;B1875&amp;";"&amp;C1875</f>
        <v>26.1055118;134.1279669;22.0546733189443</v>
      </c>
      <c r="M1875" s="6" t="n">
        <f aca="false">IF(COUNTIF($L$2:$L$2201,L1875)&gt;1,1,0)</f>
        <v>0</v>
      </c>
      <c r="N1875" s="6" t="str">
        <f aca="false">IF(AND(C1875&lt;Assumptions!$B$9,B1875&lt;Assumptions!$B$10),"Irrigate Now",IF(AND(C1875&gt;=Assumptions!$B$11,B1875&gt;=Assumptions!$B$12),"No Irrigation Needed","Monitor"))</f>
        <v>Monitor</v>
      </c>
      <c r="O1875" s="6" t="n">
        <f aca="false">IF(N1875=G1875,1,0)</f>
        <v>1</v>
      </c>
    </row>
    <row r="1876" customFormat="false" ht="15" hidden="false" customHeight="false" outlineLevel="0" collapsed="false">
      <c r="A1876" s="16" t="n">
        <v>25.0707247</v>
      </c>
      <c r="B1876" s="16" t="n">
        <v>192.9036306</v>
      </c>
      <c r="C1876" s="16" t="n">
        <v>11.8959784758989</v>
      </c>
      <c r="D1876" s="6" t="s">
        <v>57</v>
      </c>
      <c r="E1876" s="6" t="s">
        <v>24</v>
      </c>
      <c r="F1876" s="6" t="s">
        <v>24</v>
      </c>
      <c r="G1876" s="6" t="s">
        <v>61</v>
      </c>
      <c r="H1876" s="6" t="s">
        <v>62</v>
      </c>
      <c r="I1876" s="6" t="str">
        <f aca="false">IF(A1876&lt;Outliers!$E$6,"Low",IF(A1876&gt;Outliers!$F$6,"High",""))</f>
        <v/>
      </c>
      <c r="J1876" s="6" t="str">
        <f aca="false">IF(B1876&lt;Outliers!$E$7,"Low",IF(B1876&gt;Outliers!$F$7,"High",""))</f>
        <v/>
      </c>
      <c r="K1876" s="6" t="str">
        <f aca="false">IF(C1876&lt;Outliers!$E$8,"Low",IF(C1876&gt;Outliers!$F$8,"High",""))</f>
        <v/>
      </c>
      <c r="L1876" s="6" t="str">
        <f aca="false">A1876&amp;";"&amp;B1876&amp;";"&amp;C1876</f>
        <v>25.0707247;192.9036306;11.8959784758989</v>
      </c>
      <c r="M1876" s="6" t="n">
        <f aca="false">IF(COUNTIF($L$2:$L$2201,L1876)&gt;1,1,0)</f>
        <v>0</v>
      </c>
      <c r="N1876" s="6" t="str">
        <f aca="false">IF(AND(C1876&lt;Assumptions!$B$9,B1876&lt;Assumptions!$B$10),"Irrigate Now",IF(AND(C1876&gt;=Assumptions!$B$11,B1876&gt;=Assumptions!$B$12),"No Irrigation Needed","Monitor"))</f>
        <v>Monitor</v>
      </c>
      <c r="O1876" s="6" t="n">
        <f aca="false">IF(N1876=G1876,1,0)</f>
        <v>1</v>
      </c>
    </row>
    <row r="1877" customFormat="false" ht="15" hidden="false" customHeight="false" outlineLevel="0" collapsed="false">
      <c r="A1877" s="16" t="n">
        <v>25.54963273</v>
      </c>
      <c r="B1877" s="16" t="n">
        <v>191.2996157</v>
      </c>
      <c r="C1877" s="16" t="n">
        <v>21.8127811674367</v>
      </c>
      <c r="D1877" s="6" t="s">
        <v>57</v>
      </c>
      <c r="E1877" s="6" t="s">
        <v>24</v>
      </c>
      <c r="F1877" s="6" t="s">
        <v>23</v>
      </c>
      <c r="G1877" s="6" t="s">
        <v>61</v>
      </c>
      <c r="H1877" s="6" t="s">
        <v>62</v>
      </c>
      <c r="I1877" s="6" t="str">
        <f aca="false">IF(A1877&lt;Outliers!$E$6,"Low",IF(A1877&gt;Outliers!$F$6,"High",""))</f>
        <v/>
      </c>
      <c r="J1877" s="6" t="str">
        <f aca="false">IF(B1877&lt;Outliers!$E$7,"Low",IF(B1877&gt;Outliers!$F$7,"High",""))</f>
        <v/>
      </c>
      <c r="K1877" s="6" t="str">
        <f aca="false">IF(C1877&lt;Outliers!$E$8,"Low",IF(C1877&gt;Outliers!$F$8,"High",""))</f>
        <v/>
      </c>
      <c r="L1877" s="6" t="str">
        <f aca="false">A1877&amp;";"&amp;B1877&amp;";"&amp;C1877</f>
        <v>25.54963273;191.2996157;21.8127811674367</v>
      </c>
      <c r="M1877" s="6" t="n">
        <f aca="false">IF(COUNTIF($L$2:$L$2201,L1877)&gt;1,1,0)</f>
        <v>0</v>
      </c>
      <c r="N1877" s="6" t="str">
        <f aca="false">IF(AND(C1877&lt;Assumptions!$B$9,B1877&lt;Assumptions!$B$10),"Irrigate Now",IF(AND(C1877&gt;=Assumptions!$B$11,B1877&gt;=Assumptions!$B$12),"No Irrigation Needed","Monitor"))</f>
        <v>Monitor</v>
      </c>
      <c r="O1877" s="6" t="n">
        <f aca="false">IF(N1877=G1877,1,0)</f>
        <v>1</v>
      </c>
    </row>
    <row r="1878" customFormat="false" ht="15" hidden="false" customHeight="false" outlineLevel="0" collapsed="false">
      <c r="A1878" s="16" t="n">
        <v>28.56973521</v>
      </c>
      <c r="B1878" s="16" t="n">
        <v>134.8370348</v>
      </c>
      <c r="C1878" s="16" t="n">
        <v>25.2309571918527</v>
      </c>
      <c r="D1878" s="6" t="s">
        <v>57</v>
      </c>
      <c r="E1878" s="6" t="s">
        <v>57</v>
      </c>
      <c r="F1878" s="6" t="s">
        <v>23</v>
      </c>
      <c r="G1878" s="6" t="s">
        <v>58</v>
      </c>
      <c r="H1878" s="6" t="s">
        <v>59</v>
      </c>
      <c r="I1878" s="6" t="str">
        <f aca="false">IF(A1878&lt;Outliers!$E$6,"Low",IF(A1878&gt;Outliers!$F$6,"High",""))</f>
        <v/>
      </c>
      <c r="J1878" s="6" t="str">
        <f aca="false">IF(B1878&lt;Outliers!$E$7,"Low",IF(B1878&gt;Outliers!$F$7,"High",""))</f>
        <v/>
      </c>
      <c r="K1878" s="6" t="str">
        <f aca="false">IF(C1878&lt;Outliers!$E$8,"Low",IF(C1878&gt;Outliers!$F$8,"High",""))</f>
        <v/>
      </c>
      <c r="L1878" s="6" t="str">
        <f aca="false">A1878&amp;";"&amp;B1878&amp;";"&amp;C1878</f>
        <v>28.56973521;134.8370348;25.2309571918527</v>
      </c>
      <c r="M1878" s="6" t="n">
        <f aca="false">IF(COUNTIF($L$2:$L$2201,L1878)&gt;1,1,0)</f>
        <v>0</v>
      </c>
      <c r="N1878" s="6" t="str">
        <f aca="false">IF(AND(C1878&lt;Assumptions!$B$9,B1878&lt;Assumptions!$B$10),"Irrigate Now",IF(AND(C1878&gt;=Assumptions!$B$11,B1878&gt;=Assumptions!$B$12),"No Irrigation Needed","Monitor"))</f>
        <v>No Irrigation Needed</v>
      </c>
      <c r="O1878" s="6" t="n">
        <f aca="false">IF(N1878=G1878,1,0)</f>
        <v>1</v>
      </c>
    </row>
    <row r="1879" customFormat="false" ht="15" hidden="false" customHeight="false" outlineLevel="0" collapsed="false">
      <c r="A1879" s="16" t="n">
        <v>26.07010807</v>
      </c>
      <c r="B1879" s="16" t="n">
        <v>143.533473</v>
      </c>
      <c r="C1879" s="16" t="n">
        <v>18.2176099089905</v>
      </c>
      <c r="D1879" s="6" t="s">
        <v>57</v>
      </c>
      <c r="E1879" s="6" t="s">
        <v>57</v>
      </c>
      <c r="F1879" s="6" t="s">
        <v>60</v>
      </c>
      <c r="G1879" s="6" t="s">
        <v>61</v>
      </c>
      <c r="H1879" s="6" t="s">
        <v>63</v>
      </c>
      <c r="I1879" s="6" t="str">
        <f aca="false">IF(A1879&lt;Outliers!$E$6,"Low",IF(A1879&gt;Outliers!$F$6,"High",""))</f>
        <v/>
      </c>
      <c r="J1879" s="6" t="str">
        <f aca="false">IF(B1879&lt;Outliers!$E$7,"Low",IF(B1879&gt;Outliers!$F$7,"High",""))</f>
        <v/>
      </c>
      <c r="K1879" s="6" t="str">
        <f aca="false">IF(C1879&lt;Outliers!$E$8,"Low",IF(C1879&gt;Outliers!$F$8,"High",""))</f>
        <v/>
      </c>
      <c r="L1879" s="6" t="str">
        <f aca="false">A1879&amp;";"&amp;B1879&amp;";"&amp;C1879</f>
        <v>26.07010807;143.533473;18.2176099089905</v>
      </c>
      <c r="M1879" s="6" t="n">
        <f aca="false">IF(COUNTIF($L$2:$L$2201,L1879)&gt;1,1,0)</f>
        <v>0</v>
      </c>
      <c r="N1879" s="6" t="str">
        <f aca="false">IF(AND(C1879&lt;Assumptions!$B$9,B1879&lt;Assumptions!$B$10),"Irrigate Now",IF(AND(C1879&gt;=Assumptions!$B$11,B1879&gt;=Assumptions!$B$12),"No Irrigation Needed","Monitor"))</f>
        <v>Monitor</v>
      </c>
      <c r="O1879" s="6" t="n">
        <f aca="false">IF(N1879=G1879,1,0)</f>
        <v>1</v>
      </c>
    </row>
    <row r="1880" customFormat="false" ht="15" hidden="false" customHeight="false" outlineLevel="0" collapsed="false">
      <c r="A1880" s="16" t="n">
        <v>25.51791333</v>
      </c>
      <c r="B1880" s="16" t="n">
        <v>178.7297725</v>
      </c>
      <c r="C1880" s="16" t="n">
        <v>21.3410963776561</v>
      </c>
      <c r="D1880" s="6" t="s">
        <v>57</v>
      </c>
      <c r="E1880" s="6" t="s">
        <v>24</v>
      </c>
      <c r="F1880" s="6" t="s">
        <v>23</v>
      </c>
      <c r="G1880" s="6" t="s">
        <v>61</v>
      </c>
      <c r="H1880" s="6" t="s">
        <v>62</v>
      </c>
      <c r="I1880" s="6" t="str">
        <f aca="false">IF(A1880&lt;Outliers!$E$6,"Low",IF(A1880&gt;Outliers!$F$6,"High",""))</f>
        <v/>
      </c>
      <c r="J1880" s="6" t="str">
        <f aca="false">IF(B1880&lt;Outliers!$E$7,"Low",IF(B1880&gt;Outliers!$F$7,"High",""))</f>
        <v/>
      </c>
      <c r="K1880" s="6" t="str">
        <f aca="false">IF(C1880&lt;Outliers!$E$8,"Low",IF(C1880&gt;Outliers!$F$8,"High",""))</f>
        <v/>
      </c>
      <c r="L1880" s="6" t="str">
        <f aca="false">A1880&amp;";"&amp;B1880&amp;";"&amp;C1880</f>
        <v>25.51791333;178.7297725;21.3410963776561</v>
      </c>
      <c r="M1880" s="6" t="n">
        <f aca="false">IF(COUNTIF($L$2:$L$2201,L1880)&gt;1,1,0)</f>
        <v>0</v>
      </c>
      <c r="N1880" s="6" t="str">
        <f aca="false">IF(AND(C1880&lt;Assumptions!$B$9,B1880&lt;Assumptions!$B$10),"Irrigate Now",IF(AND(C1880&gt;=Assumptions!$B$11,B1880&gt;=Assumptions!$B$12),"No Irrigation Needed","Monitor"))</f>
        <v>Monitor</v>
      </c>
      <c r="O1880" s="6" t="n">
        <f aca="false">IF(N1880=G1880,1,0)</f>
        <v>1</v>
      </c>
    </row>
    <row r="1881" customFormat="false" ht="15" hidden="false" customHeight="false" outlineLevel="0" collapsed="false">
      <c r="A1881" s="16" t="n">
        <v>25.9490364</v>
      </c>
      <c r="B1881" s="16" t="n">
        <v>144.1571109</v>
      </c>
      <c r="C1881" s="16" t="n">
        <v>24.9052269354659</v>
      </c>
      <c r="D1881" s="6" t="s">
        <v>57</v>
      </c>
      <c r="E1881" s="6" t="s">
        <v>57</v>
      </c>
      <c r="F1881" s="6" t="s">
        <v>23</v>
      </c>
      <c r="G1881" s="6" t="s">
        <v>61</v>
      </c>
      <c r="H1881" s="6" t="s">
        <v>63</v>
      </c>
      <c r="I1881" s="6" t="str">
        <f aca="false">IF(A1881&lt;Outliers!$E$6,"Low",IF(A1881&gt;Outliers!$F$6,"High",""))</f>
        <v/>
      </c>
      <c r="J1881" s="6" t="str">
        <f aca="false">IF(B1881&lt;Outliers!$E$7,"Low",IF(B1881&gt;Outliers!$F$7,"High",""))</f>
        <v/>
      </c>
      <c r="K1881" s="6" t="str">
        <f aca="false">IF(C1881&lt;Outliers!$E$8,"Low",IF(C1881&gt;Outliers!$F$8,"High",""))</f>
        <v/>
      </c>
      <c r="L1881" s="6" t="str">
        <f aca="false">A1881&amp;";"&amp;B1881&amp;";"&amp;C1881</f>
        <v>25.9490364;144.1571109;24.9052269354659</v>
      </c>
      <c r="M1881" s="6" t="n">
        <f aca="false">IF(COUNTIF($L$2:$L$2201,L1881)&gt;1,1,0)</f>
        <v>0</v>
      </c>
      <c r="N1881" s="6" t="str">
        <f aca="false">IF(AND(C1881&lt;Assumptions!$B$9,B1881&lt;Assumptions!$B$10),"Irrigate Now",IF(AND(C1881&gt;=Assumptions!$B$11,B1881&gt;=Assumptions!$B$12),"No Irrigation Needed","Monitor"))</f>
        <v>Monitor</v>
      </c>
      <c r="O1881" s="6" t="n">
        <f aca="false">IF(N1881=G1881,1,0)</f>
        <v>1</v>
      </c>
    </row>
    <row r="1882" customFormat="false" ht="15" hidden="false" customHeight="false" outlineLevel="0" collapsed="false">
      <c r="A1882" s="16" t="n">
        <v>28.2974764</v>
      </c>
      <c r="B1882" s="16" t="n">
        <v>182.4482352</v>
      </c>
      <c r="C1882" s="16" t="n">
        <v>26.1561736652814</v>
      </c>
      <c r="D1882" s="6" t="s">
        <v>57</v>
      </c>
      <c r="E1882" s="6" t="s">
        <v>24</v>
      </c>
      <c r="F1882" s="6" t="s">
        <v>23</v>
      </c>
      <c r="G1882" s="6" t="s">
        <v>58</v>
      </c>
      <c r="H1882" s="6" t="s">
        <v>59</v>
      </c>
      <c r="I1882" s="6" t="str">
        <f aca="false">IF(A1882&lt;Outliers!$E$6,"Low",IF(A1882&gt;Outliers!$F$6,"High",""))</f>
        <v/>
      </c>
      <c r="J1882" s="6" t="str">
        <f aca="false">IF(B1882&lt;Outliers!$E$7,"Low",IF(B1882&gt;Outliers!$F$7,"High",""))</f>
        <v/>
      </c>
      <c r="K1882" s="6" t="str">
        <f aca="false">IF(C1882&lt;Outliers!$E$8,"Low",IF(C1882&gt;Outliers!$F$8,"High",""))</f>
        <v/>
      </c>
      <c r="L1882" s="6" t="str">
        <f aca="false">A1882&amp;";"&amp;B1882&amp;";"&amp;C1882</f>
        <v>28.2974764;182.4482352;26.1561736652814</v>
      </c>
      <c r="M1882" s="6" t="n">
        <f aca="false">IF(COUNTIF($L$2:$L$2201,L1882)&gt;1,1,0)</f>
        <v>0</v>
      </c>
      <c r="N1882" s="6" t="str">
        <f aca="false">IF(AND(C1882&lt;Assumptions!$B$9,B1882&lt;Assumptions!$B$10),"Irrigate Now",IF(AND(C1882&gt;=Assumptions!$B$11,B1882&gt;=Assumptions!$B$12),"No Irrigation Needed","Monitor"))</f>
        <v>No Irrigation Needed</v>
      </c>
      <c r="O1882" s="6" t="n">
        <f aca="false">IF(N1882=G1882,1,0)</f>
        <v>1</v>
      </c>
    </row>
    <row r="1883" customFormat="false" ht="15" hidden="false" customHeight="false" outlineLevel="0" collapsed="false">
      <c r="A1883" s="16" t="n">
        <v>29.56549169</v>
      </c>
      <c r="B1883" s="16" t="n">
        <v>224.8315729</v>
      </c>
      <c r="C1883" s="16" t="n">
        <v>15.8952013130928</v>
      </c>
      <c r="D1883" s="6" t="s">
        <v>57</v>
      </c>
      <c r="E1883" s="6" t="s">
        <v>24</v>
      </c>
      <c r="F1883" s="6" t="s">
        <v>60</v>
      </c>
      <c r="G1883" s="6" t="s">
        <v>61</v>
      </c>
      <c r="H1883" s="6" t="s">
        <v>62</v>
      </c>
      <c r="I1883" s="6" t="str">
        <f aca="false">IF(A1883&lt;Outliers!$E$6,"Low",IF(A1883&gt;Outliers!$F$6,"High",""))</f>
        <v/>
      </c>
      <c r="J1883" s="6" t="str">
        <f aca="false">IF(B1883&lt;Outliers!$E$7,"Low",IF(B1883&gt;Outliers!$F$7,"High",""))</f>
        <v>High</v>
      </c>
      <c r="K1883" s="6" t="str">
        <f aca="false">IF(C1883&lt;Outliers!$E$8,"Low",IF(C1883&gt;Outliers!$F$8,"High",""))</f>
        <v/>
      </c>
      <c r="L1883" s="6" t="str">
        <f aca="false">A1883&amp;";"&amp;B1883&amp;";"&amp;C1883</f>
        <v>29.56549169;224.8315729;15.8952013130928</v>
      </c>
      <c r="M1883" s="6" t="n">
        <f aca="false">IF(COUNTIF($L$2:$L$2201,L1883)&gt;1,1,0)</f>
        <v>0</v>
      </c>
      <c r="N1883" s="6" t="str">
        <f aca="false">IF(AND(C1883&lt;Assumptions!$B$9,B1883&lt;Assumptions!$B$10),"Irrigate Now",IF(AND(C1883&gt;=Assumptions!$B$11,B1883&gt;=Assumptions!$B$12),"No Irrigation Needed","Monitor"))</f>
        <v>Monitor</v>
      </c>
      <c r="O1883" s="6" t="n">
        <f aca="false">IF(N1883=G1883,1,0)</f>
        <v>1</v>
      </c>
    </row>
    <row r="1884" customFormat="false" ht="15" hidden="false" customHeight="false" outlineLevel="0" collapsed="false">
      <c r="A1884" s="16" t="n">
        <v>29.69952329</v>
      </c>
      <c r="B1884" s="16" t="n">
        <v>148.3003692</v>
      </c>
      <c r="C1884" s="16" t="n">
        <v>23.7452713481512</v>
      </c>
      <c r="D1884" s="6" t="s">
        <v>57</v>
      </c>
      <c r="E1884" s="6" t="s">
        <v>57</v>
      </c>
      <c r="F1884" s="6" t="s">
        <v>23</v>
      </c>
      <c r="G1884" s="6" t="s">
        <v>61</v>
      </c>
      <c r="H1884" s="6" t="s">
        <v>63</v>
      </c>
      <c r="I1884" s="6" t="str">
        <f aca="false">IF(A1884&lt;Outliers!$E$6,"Low",IF(A1884&gt;Outliers!$F$6,"High",""))</f>
        <v/>
      </c>
      <c r="J1884" s="6" t="str">
        <f aca="false">IF(B1884&lt;Outliers!$E$7,"Low",IF(B1884&gt;Outliers!$F$7,"High",""))</f>
        <v/>
      </c>
      <c r="K1884" s="6" t="str">
        <f aca="false">IF(C1884&lt;Outliers!$E$8,"Low",IF(C1884&gt;Outliers!$F$8,"High",""))</f>
        <v/>
      </c>
      <c r="L1884" s="6" t="str">
        <f aca="false">A1884&amp;";"&amp;B1884&amp;";"&amp;C1884</f>
        <v>29.69952329;148.3003692;23.7452713481512</v>
      </c>
      <c r="M1884" s="6" t="n">
        <f aca="false">IF(COUNTIF($L$2:$L$2201,L1884)&gt;1,1,0)</f>
        <v>0</v>
      </c>
      <c r="N1884" s="6" t="str">
        <f aca="false">IF(AND(C1884&lt;Assumptions!$B$9,B1884&lt;Assumptions!$B$10),"Irrigate Now",IF(AND(C1884&gt;=Assumptions!$B$11,B1884&gt;=Assumptions!$B$12),"No Irrigation Needed","Monitor"))</f>
        <v>Monitor</v>
      </c>
      <c r="O1884" s="6" t="n">
        <f aca="false">IF(N1884=G1884,1,0)</f>
        <v>1</v>
      </c>
    </row>
    <row r="1885" customFormat="false" ht="15" hidden="false" customHeight="false" outlineLevel="0" collapsed="false">
      <c r="A1885" s="16" t="n">
        <v>26.14162144</v>
      </c>
      <c r="B1885" s="16" t="n">
        <v>195.4115025</v>
      </c>
      <c r="C1885" s="16" t="n">
        <v>23.8384671216017</v>
      </c>
      <c r="D1885" s="6" t="s">
        <v>57</v>
      </c>
      <c r="E1885" s="6" t="s">
        <v>24</v>
      </c>
      <c r="F1885" s="6" t="s">
        <v>23</v>
      </c>
      <c r="G1885" s="6" t="s">
        <v>61</v>
      </c>
      <c r="H1885" s="6" t="s">
        <v>62</v>
      </c>
      <c r="I1885" s="6" t="str">
        <f aca="false">IF(A1885&lt;Outliers!$E$6,"Low",IF(A1885&gt;Outliers!$F$6,"High",""))</f>
        <v/>
      </c>
      <c r="J1885" s="6" t="str">
        <f aca="false">IF(B1885&lt;Outliers!$E$7,"Low",IF(B1885&gt;Outliers!$F$7,"High",""))</f>
        <v/>
      </c>
      <c r="K1885" s="6" t="str">
        <f aca="false">IF(C1885&lt;Outliers!$E$8,"Low",IF(C1885&gt;Outliers!$F$8,"High",""))</f>
        <v/>
      </c>
      <c r="L1885" s="6" t="str">
        <f aca="false">A1885&amp;";"&amp;B1885&amp;";"&amp;C1885</f>
        <v>26.14162144;195.4115025;23.8384671216017</v>
      </c>
      <c r="M1885" s="6" t="n">
        <f aca="false">IF(COUNTIF($L$2:$L$2201,L1885)&gt;1,1,0)</f>
        <v>0</v>
      </c>
      <c r="N1885" s="6" t="str">
        <f aca="false">IF(AND(C1885&lt;Assumptions!$B$9,B1885&lt;Assumptions!$B$10),"Irrigate Now",IF(AND(C1885&gt;=Assumptions!$B$11,B1885&gt;=Assumptions!$B$12),"No Irrigation Needed","Monitor"))</f>
        <v>Monitor</v>
      </c>
      <c r="O1885" s="6" t="n">
        <f aca="false">IF(N1885=G1885,1,0)</f>
        <v>1</v>
      </c>
    </row>
    <row r="1886" customFormat="false" ht="15" hidden="false" customHeight="false" outlineLevel="0" collapsed="false">
      <c r="A1886" s="16" t="n">
        <v>26.00175125</v>
      </c>
      <c r="B1886" s="16" t="n">
        <v>209.540094</v>
      </c>
      <c r="C1886" s="16" t="n">
        <v>28.6953453793021</v>
      </c>
      <c r="D1886" s="6" t="s">
        <v>57</v>
      </c>
      <c r="E1886" s="6" t="s">
        <v>24</v>
      </c>
      <c r="F1886" s="6" t="s">
        <v>23</v>
      </c>
      <c r="G1886" s="6" t="s">
        <v>58</v>
      </c>
      <c r="H1886" s="6" t="s">
        <v>59</v>
      </c>
      <c r="I1886" s="6" t="str">
        <f aca="false">IF(A1886&lt;Outliers!$E$6,"Low",IF(A1886&gt;Outliers!$F$6,"High",""))</f>
        <v/>
      </c>
      <c r="J1886" s="6" t="str">
        <f aca="false">IF(B1886&lt;Outliers!$E$7,"Low",IF(B1886&gt;Outliers!$F$7,"High",""))</f>
        <v/>
      </c>
      <c r="K1886" s="6" t="str">
        <f aca="false">IF(C1886&lt;Outliers!$E$8,"Low",IF(C1886&gt;Outliers!$F$8,"High",""))</f>
        <v/>
      </c>
      <c r="L1886" s="6" t="str">
        <f aca="false">A1886&amp;";"&amp;B1886&amp;";"&amp;C1886</f>
        <v>26.00175125;209.540094;28.6953453793021</v>
      </c>
      <c r="M1886" s="6" t="n">
        <f aca="false">IF(COUNTIF($L$2:$L$2201,L1886)&gt;1,1,0)</f>
        <v>0</v>
      </c>
      <c r="N1886" s="6" t="str">
        <f aca="false">IF(AND(C1886&lt;Assumptions!$B$9,B1886&lt;Assumptions!$B$10),"Irrigate Now",IF(AND(C1886&gt;=Assumptions!$B$11,B1886&gt;=Assumptions!$B$12),"No Irrigation Needed","Monitor"))</f>
        <v>No Irrigation Needed</v>
      </c>
      <c r="O1886" s="6" t="n">
        <f aca="false">IF(N1886=G1886,1,0)</f>
        <v>1</v>
      </c>
    </row>
    <row r="1887" customFormat="false" ht="15" hidden="false" customHeight="false" outlineLevel="0" collapsed="false">
      <c r="A1887" s="16" t="n">
        <v>27.15116142</v>
      </c>
      <c r="B1887" s="16" t="n">
        <v>164.9182225</v>
      </c>
      <c r="C1887" s="16" t="n">
        <v>12.4744964288816</v>
      </c>
      <c r="D1887" s="6" t="s">
        <v>57</v>
      </c>
      <c r="E1887" s="6" t="s">
        <v>24</v>
      </c>
      <c r="F1887" s="6" t="s">
        <v>24</v>
      </c>
      <c r="G1887" s="6" t="s">
        <v>61</v>
      </c>
      <c r="H1887" s="6" t="s">
        <v>62</v>
      </c>
      <c r="I1887" s="6" t="str">
        <f aca="false">IF(A1887&lt;Outliers!$E$6,"Low",IF(A1887&gt;Outliers!$F$6,"High",""))</f>
        <v/>
      </c>
      <c r="J1887" s="6" t="str">
        <f aca="false">IF(B1887&lt;Outliers!$E$7,"Low",IF(B1887&gt;Outliers!$F$7,"High",""))</f>
        <v/>
      </c>
      <c r="K1887" s="6" t="str">
        <f aca="false">IF(C1887&lt;Outliers!$E$8,"Low",IF(C1887&gt;Outliers!$F$8,"High",""))</f>
        <v/>
      </c>
      <c r="L1887" s="6" t="str">
        <f aca="false">A1887&amp;";"&amp;B1887&amp;";"&amp;C1887</f>
        <v>27.15116142;164.9182225;12.4744964288816</v>
      </c>
      <c r="M1887" s="6" t="n">
        <f aca="false">IF(COUNTIF($L$2:$L$2201,L1887)&gt;1,1,0)</f>
        <v>0</v>
      </c>
      <c r="N1887" s="6" t="str">
        <f aca="false">IF(AND(C1887&lt;Assumptions!$B$9,B1887&lt;Assumptions!$B$10),"Irrigate Now",IF(AND(C1887&gt;=Assumptions!$B$11,B1887&gt;=Assumptions!$B$12),"No Irrigation Needed","Monitor"))</f>
        <v>Monitor</v>
      </c>
      <c r="O1887" s="6" t="n">
        <f aca="false">IF(N1887=G1887,1,0)</f>
        <v>1</v>
      </c>
    </row>
    <row r="1888" customFormat="false" ht="15" hidden="false" customHeight="false" outlineLevel="0" collapsed="false">
      <c r="A1888" s="16" t="n">
        <v>28.97318719</v>
      </c>
      <c r="B1888" s="16" t="n">
        <v>213.9011021</v>
      </c>
      <c r="C1888" s="16" t="n">
        <v>28.1800921964655</v>
      </c>
      <c r="D1888" s="6" t="s">
        <v>57</v>
      </c>
      <c r="E1888" s="6" t="s">
        <v>24</v>
      </c>
      <c r="F1888" s="6" t="s">
        <v>23</v>
      </c>
      <c r="G1888" s="6" t="s">
        <v>58</v>
      </c>
      <c r="H1888" s="6" t="s">
        <v>59</v>
      </c>
      <c r="I1888" s="6" t="str">
        <f aca="false">IF(A1888&lt;Outliers!$E$6,"Low",IF(A1888&gt;Outliers!$F$6,"High",""))</f>
        <v/>
      </c>
      <c r="J1888" s="6" t="str">
        <f aca="false">IF(B1888&lt;Outliers!$E$7,"Low",IF(B1888&gt;Outliers!$F$7,"High",""))</f>
        <v>High</v>
      </c>
      <c r="K1888" s="6" t="str">
        <f aca="false">IF(C1888&lt;Outliers!$E$8,"Low",IF(C1888&gt;Outliers!$F$8,"High",""))</f>
        <v/>
      </c>
      <c r="L1888" s="6" t="str">
        <f aca="false">A1888&amp;";"&amp;B1888&amp;";"&amp;C1888</f>
        <v>28.97318719;213.9011021;28.1800921964655</v>
      </c>
      <c r="M1888" s="6" t="n">
        <f aca="false">IF(COUNTIF($L$2:$L$2201,L1888)&gt;1,1,0)</f>
        <v>0</v>
      </c>
      <c r="N1888" s="6" t="str">
        <f aca="false">IF(AND(C1888&lt;Assumptions!$B$9,B1888&lt;Assumptions!$B$10),"Irrigate Now",IF(AND(C1888&gt;=Assumptions!$B$11,B1888&gt;=Assumptions!$B$12),"No Irrigation Needed","Monitor"))</f>
        <v>No Irrigation Needed</v>
      </c>
      <c r="O1888" s="6" t="n">
        <f aca="false">IF(N1888=G1888,1,0)</f>
        <v>1</v>
      </c>
    </row>
    <row r="1889" customFormat="false" ht="15" hidden="false" customHeight="false" outlineLevel="0" collapsed="false">
      <c r="A1889" s="16" t="n">
        <v>26.13958446</v>
      </c>
      <c r="B1889" s="16" t="n">
        <v>131.3387935</v>
      </c>
      <c r="C1889" s="16" t="n">
        <v>29.570221629447</v>
      </c>
      <c r="D1889" s="6" t="s">
        <v>57</v>
      </c>
      <c r="E1889" s="6" t="s">
        <v>57</v>
      </c>
      <c r="F1889" s="6" t="s">
        <v>23</v>
      </c>
      <c r="G1889" s="6" t="s">
        <v>58</v>
      </c>
      <c r="H1889" s="6" t="s">
        <v>59</v>
      </c>
      <c r="I1889" s="6" t="str">
        <f aca="false">IF(A1889&lt;Outliers!$E$6,"Low",IF(A1889&gt;Outliers!$F$6,"High",""))</f>
        <v/>
      </c>
      <c r="J1889" s="6" t="str">
        <f aca="false">IF(B1889&lt;Outliers!$E$7,"Low",IF(B1889&gt;Outliers!$F$7,"High",""))</f>
        <v/>
      </c>
      <c r="K1889" s="6" t="str">
        <f aca="false">IF(C1889&lt;Outliers!$E$8,"Low",IF(C1889&gt;Outliers!$F$8,"High",""))</f>
        <v/>
      </c>
      <c r="L1889" s="6" t="str">
        <f aca="false">A1889&amp;";"&amp;B1889&amp;";"&amp;C1889</f>
        <v>26.13958446;131.3387935;29.570221629447</v>
      </c>
      <c r="M1889" s="6" t="n">
        <f aca="false">IF(COUNTIF($L$2:$L$2201,L1889)&gt;1,1,0)</f>
        <v>0</v>
      </c>
      <c r="N1889" s="6" t="str">
        <f aca="false">IF(AND(C1889&lt;Assumptions!$B$9,B1889&lt;Assumptions!$B$10),"Irrigate Now",IF(AND(C1889&gt;=Assumptions!$B$11,B1889&gt;=Assumptions!$B$12),"No Irrigation Needed","Monitor"))</f>
        <v>No Irrigation Needed</v>
      </c>
      <c r="O1889" s="6" t="n">
        <f aca="false">IF(N1889=G1889,1,0)</f>
        <v>1</v>
      </c>
    </row>
    <row r="1890" customFormat="false" ht="15" hidden="false" customHeight="false" outlineLevel="0" collapsed="false">
      <c r="A1890" s="16" t="n">
        <v>25.51618488</v>
      </c>
      <c r="B1890" s="16" t="n">
        <v>135.1272491</v>
      </c>
      <c r="C1890" s="16" t="n">
        <v>28.0607070354501</v>
      </c>
      <c r="D1890" s="6" t="s">
        <v>57</v>
      </c>
      <c r="E1890" s="6" t="s">
        <v>57</v>
      </c>
      <c r="F1890" s="6" t="s">
        <v>23</v>
      </c>
      <c r="G1890" s="6" t="s">
        <v>58</v>
      </c>
      <c r="H1890" s="6" t="s">
        <v>59</v>
      </c>
      <c r="I1890" s="6" t="str">
        <f aca="false">IF(A1890&lt;Outliers!$E$6,"Low",IF(A1890&gt;Outliers!$F$6,"High",""))</f>
        <v/>
      </c>
      <c r="J1890" s="6" t="str">
        <f aca="false">IF(B1890&lt;Outliers!$E$7,"Low",IF(B1890&gt;Outliers!$F$7,"High",""))</f>
        <v/>
      </c>
      <c r="K1890" s="6" t="str">
        <f aca="false">IF(C1890&lt;Outliers!$E$8,"Low",IF(C1890&gt;Outliers!$F$8,"High",""))</f>
        <v/>
      </c>
      <c r="L1890" s="6" t="str">
        <f aca="false">A1890&amp;";"&amp;B1890&amp;";"&amp;C1890</f>
        <v>25.51618488;135.1272491;28.0607070354501</v>
      </c>
      <c r="M1890" s="6" t="n">
        <f aca="false">IF(COUNTIF($L$2:$L$2201,L1890)&gt;1,1,0)</f>
        <v>0</v>
      </c>
      <c r="N1890" s="6" t="str">
        <f aca="false">IF(AND(C1890&lt;Assumptions!$B$9,B1890&lt;Assumptions!$B$10),"Irrigate Now",IF(AND(C1890&gt;=Assumptions!$B$11,B1890&gt;=Assumptions!$B$12),"No Irrigation Needed","Monitor"))</f>
        <v>No Irrigation Needed</v>
      </c>
      <c r="O1890" s="6" t="n">
        <f aca="false">IF(N1890=G1890,1,0)</f>
        <v>1</v>
      </c>
    </row>
    <row r="1891" customFormat="false" ht="15" hidden="false" customHeight="false" outlineLevel="0" collapsed="false">
      <c r="A1891" s="16" t="n">
        <v>27.55821802</v>
      </c>
      <c r="B1891" s="16" t="n">
        <v>174.6256481</v>
      </c>
      <c r="C1891" s="16" t="n">
        <v>12.2102526568018</v>
      </c>
      <c r="D1891" s="6" t="s">
        <v>57</v>
      </c>
      <c r="E1891" s="6" t="s">
        <v>24</v>
      </c>
      <c r="F1891" s="6" t="s">
        <v>24</v>
      </c>
      <c r="G1891" s="6" t="s">
        <v>61</v>
      </c>
      <c r="H1891" s="6" t="s">
        <v>62</v>
      </c>
      <c r="I1891" s="6" t="str">
        <f aca="false">IF(A1891&lt;Outliers!$E$6,"Low",IF(A1891&gt;Outliers!$F$6,"High",""))</f>
        <v/>
      </c>
      <c r="J1891" s="6" t="str">
        <f aca="false">IF(B1891&lt;Outliers!$E$7,"Low",IF(B1891&gt;Outliers!$F$7,"High",""))</f>
        <v/>
      </c>
      <c r="K1891" s="6" t="str">
        <f aca="false">IF(C1891&lt;Outliers!$E$8,"Low",IF(C1891&gt;Outliers!$F$8,"High",""))</f>
        <v/>
      </c>
      <c r="L1891" s="6" t="str">
        <f aca="false">A1891&amp;";"&amp;B1891&amp;";"&amp;C1891</f>
        <v>27.55821802;174.6256481;12.2102526568018</v>
      </c>
      <c r="M1891" s="6" t="n">
        <f aca="false">IF(COUNTIF($L$2:$L$2201,L1891)&gt;1,1,0)</f>
        <v>0</v>
      </c>
      <c r="N1891" s="6" t="str">
        <f aca="false">IF(AND(C1891&lt;Assumptions!$B$9,B1891&lt;Assumptions!$B$10),"Irrigate Now",IF(AND(C1891&gt;=Assumptions!$B$11,B1891&gt;=Assumptions!$B$12),"No Irrigation Needed","Monitor"))</f>
        <v>Monitor</v>
      </c>
      <c r="O1891" s="6" t="n">
        <f aca="false">IF(N1891=G1891,1,0)</f>
        <v>1</v>
      </c>
    </row>
    <row r="1892" customFormat="false" ht="15" hidden="false" customHeight="false" outlineLevel="0" collapsed="false">
      <c r="A1892" s="16" t="n">
        <v>27.81132822</v>
      </c>
      <c r="B1892" s="16" t="n">
        <v>154.0621221</v>
      </c>
      <c r="C1892" s="16" t="n">
        <v>14.7412783439935</v>
      </c>
      <c r="D1892" s="6" t="s">
        <v>57</v>
      </c>
      <c r="E1892" s="6" t="s">
        <v>24</v>
      </c>
      <c r="F1892" s="6" t="s">
        <v>60</v>
      </c>
      <c r="G1892" s="6" t="s">
        <v>61</v>
      </c>
      <c r="H1892" s="6" t="s">
        <v>62</v>
      </c>
      <c r="I1892" s="6" t="str">
        <f aca="false">IF(A1892&lt;Outliers!$E$6,"Low",IF(A1892&gt;Outliers!$F$6,"High",""))</f>
        <v/>
      </c>
      <c r="J1892" s="6" t="str">
        <f aca="false">IF(B1892&lt;Outliers!$E$7,"Low",IF(B1892&gt;Outliers!$F$7,"High",""))</f>
        <v/>
      </c>
      <c r="K1892" s="6" t="str">
        <f aca="false">IF(C1892&lt;Outliers!$E$8,"Low",IF(C1892&gt;Outliers!$F$8,"High",""))</f>
        <v/>
      </c>
      <c r="L1892" s="6" t="str">
        <f aca="false">A1892&amp;";"&amp;B1892&amp;";"&amp;C1892</f>
        <v>27.81132822;154.0621221;14.7412783439935</v>
      </c>
      <c r="M1892" s="6" t="n">
        <f aca="false">IF(COUNTIF($L$2:$L$2201,L1892)&gt;1,1,0)</f>
        <v>0</v>
      </c>
      <c r="N1892" s="6" t="str">
        <f aca="false">IF(AND(C1892&lt;Assumptions!$B$9,B1892&lt;Assumptions!$B$10),"Irrigate Now",IF(AND(C1892&gt;=Assumptions!$B$11,B1892&gt;=Assumptions!$B$12),"No Irrigation Needed","Monitor"))</f>
        <v>Monitor</v>
      </c>
      <c r="O1892" s="6" t="n">
        <f aca="false">IF(N1892=G1892,1,0)</f>
        <v>1</v>
      </c>
    </row>
    <row r="1893" customFormat="false" ht="15" hidden="false" customHeight="false" outlineLevel="0" collapsed="false">
      <c r="A1893" s="16" t="n">
        <v>25.60033702</v>
      </c>
      <c r="B1893" s="16" t="n">
        <v>165.8248732</v>
      </c>
      <c r="C1893" s="16" t="n">
        <v>28.1260418072575</v>
      </c>
      <c r="D1893" s="6" t="s">
        <v>57</v>
      </c>
      <c r="E1893" s="6" t="s">
        <v>24</v>
      </c>
      <c r="F1893" s="6" t="s">
        <v>23</v>
      </c>
      <c r="G1893" s="6" t="s">
        <v>58</v>
      </c>
      <c r="H1893" s="6" t="s">
        <v>59</v>
      </c>
      <c r="I1893" s="6" t="str">
        <f aca="false">IF(A1893&lt;Outliers!$E$6,"Low",IF(A1893&gt;Outliers!$F$6,"High",""))</f>
        <v/>
      </c>
      <c r="J1893" s="6" t="str">
        <f aca="false">IF(B1893&lt;Outliers!$E$7,"Low",IF(B1893&gt;Outliers!$F$7,"High",""))</f>
        <v/>
      </c>
      <c r="K1893" s="6" t="str">
        <f aca="false">IF(C1893&lt;Outliers!$E$8,"Low",IF(C1893&gt;Outliers!$F$8,"High",""))</f>
        <v/>
      </c>
      <c r="L1893" s="6" t="str">
        <f aca="false">A1893&amp;";"&amp;B1893&amp;";"&amp;C1893</f>
        <v>25.60033702;165.8248732;28.1260418072575</v>
      </c>
      <c r="M1893" s="6" t="n">
        <f aca="false">IF(COUNTIF($L$2:$L$2201,L1893)&gt;1,1,0)</f>
        <v>0</v>
      </c>
      <c r="N1893" s="6" t="str">
        <f aca="false">IF(AND(C1893&lt;Assumptions!$B$9,B1893&lt;Assumptions!$B$10),"Irrigate Now",IF(AND(C1893&gt;=Assumptions!$B$11,B1893&gt;=Assumptions!$B$12),"No Irrigation Needed","Monitor"))</f>
        <v>No Irrigation Needed</v>
      </c>
      <c r="O1893" s="6" t="n">
        <f aca="false">IF(N1893=G1893,1,0)</f>
        <v>1</v>
      </c>
    </row>
    <row r="1894" customFormat="false" ht="15" hidden="false" customHeight="false" outlineLevel="0" collapsed="false">
      <c r="A1894" s="16" t="n">
        <v>26.91641934</v>
      </c>
      <c r="B1894" s="16" t="n">
        <v>225.6323656</v>
      </c>
      <c r="C1894" s="16" t="n">
        <v>16.9344379033782</v>
      </c>
      <c r="D1894" s="6" t="s">
        <v>57</v>
      </c>
      <c r="E1894" s="6" t="s">
        <v>24</v>
      </c>
      <c r="F1894" s="6" t="s">
        <v>60</v>
      </c>
      <c r="G1894" s="6" t="s">
        <v>61</v>
      </c>
      <c r="H1894" s="6" t="s">
        <v>62</v>
      </c>
      <c r="I1894" s="6" t="str">
        <f aca="false">IF(A1894&lt;Outliers!$E$6,"Low",IF(A1894&gt;Outliers!$F$6,"High",""))</f>
        <v/>
      </c>
      <c r="J1894" s="6" t="str">
        <f aca="false">IF(B1894&lt;Outliers!$E$7,"Low",IF(B1894&gt;Outliers!$F$7,"High",""))</f>
        <v>High</v>
      </c>
      <c r="K1894" s="6" t="str">
        <f aca="false">IF(C1894&lt;Outliers!$E$8,"Low",IF(C1894&gt;Outliers!$F$8,"High",""))</f>
        <v/>
      </c>
      <c r="L1894" s="6" t="str">
        <f aca="false">A1894&amp;";"&amp;B1894&amp;";"&amp;C1894</f>
        <v>26.91641934;225.6323656;16.9344379033782</v>
      </c>
      <c r="M1894" s="6" t="n">
        <f aca="false">IF(COUNTIF($L$2:$L$2201,L1894)&gt;1,1,0)</f>
        <v>0</v>
      </c>
      <c r="N1894" s="6" t="str">
        <f aca="false">IF(AND(C1894&lt;Assumptions!$B$9,B1894&lt;Assumptions!$B$10),"Irrigate Now",IF(AND(C1894&gt;=Assumptions!$B$11,B1894&gt;=Assumptions!$B$12),"No Irrigation Needed","Monitor"))</f>
        <v>Monitor</v>
      </c>
      <c r="O1894" s="6" t="n">
        <f aca="false">IF(N1894=G1894,1,0)</f>
        <v>1</v>
      </c>
    </row>
    <row r="1895" customFormat="false" ht="15" hidden="false" customHeight="false" outlineLevel="0" collapsed="false">
      <c r="A1895" s="16" t="n">
        <v>29.1797902</v>
      </c>
      <c r="B1895" s="16" t="n">
        <v>188.9252083</v>
      </c>
      <c r="C1895" s="16" t="n">
        <v>21.9632276317918</v>
      </c>
      <c r="D1895" s="6" t="s">
        <v>57</v>
      </c>
      <c r="E1895" s="6" t="s">
        <v>24</v>
      </c>
      <c r="F1895" s="6" t="s">
        <v>23</v>
      </c>
      <c r="G1895" s="6" t="s">
        <v>61</v>
      </c>
      <c r="H1895" s="6" t="s">
        <v>62</v>
      </c>
      <c r="I1895" s="6" t="str">
        <f aca="false">IF(A1895&lt;Outliers!$E$6,"Low",IF(A1895&gt;Outliers!$F$6,"High",""))</f>
        <v/>
      </c>
      <c r="J1895" s="6" t="str">
        <f aca="false">IF(B1895&lt;Outliers!$E$7,"Low",IF(B1895&gt;Outliers!$F$7,"High",""))</f>
        <v/>
      </c>
      <c r="K1895" s="6" t="str">
        <f aca="false">IF(C1895&lt;Outliers!$E$8,"Low",IF(C1895&gt;Outliers!$F$8,"High",""))</f>
        <v/>
      </c>
      <c r="L1895" s="6" t="str">
        <f aca="false">A1895&amp;";"&amp;B1895&amp;";"&amp;C1895</f>
        <v>29.1797902;188.9252083;21.9632276317918</v>
      </c>
      <c r="M1895" s="6" t="n">
        <f aca="false">IF(COUNTIF($L$2:$L$2201,L1895)&gt;1,1,0)</f>
        <v>0</v>
      </c>
      <c r="N1895" s="6" t="str">
        <f aca="false">IF(AND(C1895&lt;Assumptions!$B$9,B1895&lt;Assumptions!$B$10),"Irrigate Now",IF(AND(C1895&gt;=Assumptions!$B$11,B1895&gt;=Assumptions!$B$12),"No Irrigation Needed","Monitor"))</f>
        <v>Monitor</v>
      </c>
      <c r="O1895" s="6" t="n">
        <f aca="false">IF(N1895=G1895,1,0)</f>
        <v>1</v>
      </c>
    </row>
    <row r="1896" customFormat="false" ht="15" hidden="false" customHeight="false" outlineLevel="0" collapsed="false">
      <c r="A1896" s="16" t="n">
        <v>26.44600063</v>
      </c>
      <c r="B1896" s="16" t="n">
        <v>221.2258168</v>
      </c>
      <c r="C1896" s="16" t="n">
        <v>15.4872960647989</v>
      </c>
      <c r="D1896" s="6" t="s">
        <v>57</v>
      </c>
      <c r="E1896" s="6" t="s">
        <v>24</v>
      </c>
      <c r="F1896" s="6" t="s">
        <v>60</v>
      </c>
      <c r="G1896" s="6" t="s">
        <v>61</v>
      </c>
      <c r="H1896" s="6" t="s">
        <v>62</v>
      </c>
      <c r="I1896" s="6" t="str">
        <f aca="false">IF(A1896&lt;Outliers!$E$6,"Low",IF(A1896&gt;Outliers!$F$6,"High",""))</f>
        <v/>
      </c>
      <c r="J1896" s="6" t="str">
        <f aca="false">IF(B1896&lt;Outliers!$E$7,"Low",IF(B1896&gt;Outliers!$F$7,"High",""))</f>
        <v>High</v>
      </c>
      <c r="K1896" s="6" t="str">
        <f aca="false">IF(C1896&lt;Outliers!$E$8,"Low",IF(C1896&gt;Outliers!$F$8,"High",""))</f>
        <v/>
      </c>
      <c r="L1896" s="6" t="str">
        <f aca="false">A1896&amp;";"&amp;B1896&amp;";"&amp;C1896</f>
        <v>26.44600063;221.2258168;15.4872960647989</v>
      </c>
      <c r="M1896" s="6" t="n">
        <f aca="false">IF(COUNTIF($L$2:$L$2201,L1896)&gt;1,1,0)</f>
        <v>0</v>
      </c>
      <c r="N1896" s="6" t="str">
        <f aca="false">IF(AND(C1896&lt;Assumptions!$B$9,B1896&lt;Assumptions!$B$10),"Irrigate Now",IF(AND(C1896&gt;=Assumptions!$B$11,B1896&gt;=Assumptions!$B$12),"No Irrigation Needed","Monitor"))</f>
        <v>Monitor</v>
      </c>
      <c r="O1896" s="6" t="n">
        <f aca="false">IF(N1896=G1896,1,0)</f>
        <v>1</v>
      </c>
    </row>
    <row r="1897" customFormat="false" ht="15" hidden="false" customHeight="false" outlineLevel="0" collapsed="false">
      <c r="A1897" s="16" t="n">
        <v>28.43572863</v>
      </c>
      <c r="B1897" s="16" t="n">
        <v>203.9283708</v>
      </c>
      <c r="C1897" s="16" t="n">
        <v>29.4577249284878</v>
      </c>
      <c r="D1897" s="6" t="s">
        <v>57</v>
      </c>
      <c r="E1897" s="6" t="s">
        <v>24</v>
      </c>
      <c r="F1897" s="6" t="s">
        <v>23</v>
      </c>
      <c r="G1897" s="6" t="s">
        <v>58</v>
      </c>
      <c r="H1897" s="6" t="s">
        <v>59</v>
      </c>
      <c r="I1897" s="6" t="str">
        <f aca="false">IF(A1897&lt;Outliers!$E$6,"Low",IF(A1897&gt;Outliers!$F$6,"High",""))</f>
        <v/>
      </c>
      <c r="J1897" s="6" t="str">
        <f aca="false">IF(B1897&lt;Outliers!$E$7,"Low",IF(B1897&gt;Outliers!$F$7,"High",""))</f>
        <v/>
      </c>
      <c r="K1897" s="6" t="str">
        <f aca="false">IF(C1897&lt;Outliers!$E$8,"Low",IF(C1897&gt;Outliers!$F$8,"High",""))</f>
        <v/>
      </c>
      <c r="L1897" s="6" t="str">
        <f aca="false">A1897&amp;";"&amp;B1897&amp;";"&amp;C1897</f>
        <v>28.43572863;203.9283708;29.4577249284878</v>
      </c>
      <c r="M1897" s="6" t="n">
        <f aca="false">IF(COUNTIF($L$2:$L$2201,L1897)&gt;1,1,0)</f>
        <v>0</v>
      </c>
      <c r="N1897" s="6" t="str">
        <f aca="false">IF(AND(C1897&lt;Assumptions!$B$9,B1897&lt;Assumptions!$B$10),"Irrigate Now",IF(AND(C1897&gt;=Assumptions!$B$11,B1897&gt;=Assumptions!$B$12),"No Irrigation Needed","Monitor"))</f>
        <v>No Irrigation Needed</v>
      </c>
      <c r="O1897" s="6" t="n">
        <f aca="false">IF(N1897=G1897,1,0)</f>
        <v>1</v>
      </c>
    </row>
    <row r="1898" customFormat="false" ht="15" hidden="false" customHeight="false" outlineLevel="0" collapsed="false">
      <c r="A1898" s="16" t="n">
        <v>28.94099669</v>
      </c>
      <c r="B1898" s="16" t="n">
        <v>191.7723087</v>
      </c>
      <c r="C1898" s="16" t="n">
        <v>12.1980112015761</v>
      </c>
      <c r="D1898" s="6" t="s">
        <v>57</v>
      </c>
      <c r="E1898" s="6" t="s">
        <v>24</v>
      </c>
      <c r="F1898" s="6" t="s">
        <v>24</v>
      </c>
      <c r="G1898" s="6" t="s">
        <v>61</v>
      </c>
      <c r="H1898" s="6" t="s">
        <v>62</v>
      </c>
      <c r="I1898" s="6" t="str">
        <f aca="false">IF(A1898&lt;Outliers!$E$6,"Low",IF(A1898&gt;Outliers!$F$6,"High",""))</f>
        <v/>
      </c>
      <c r="J1898" s="6" t="str">
        <f aca="false">IF(B1898&lt;Outliers!$E$7,"Low",IF(B1898&gt;Outliers!$F$7,"High",""))</f>
        <v/>
      </c>
      <c r="K1898" s="6" t="str">
        <f aca="false">IF(C1898&lt;Outliers!$E$8,"Low",IF(C1898&gt;Outliers!$F$8,"High",""))</f>
        <v/>
      </c>
      <c r="L1898" s="6" t="str">
        <f aca="false">A1898&amp;";"&amp;B1898&amp;";"&amp;C1898</f>
        <v>28.94099669;191.7723087;12.1980112015761</v>
      </c>
      <c r="M1898" s="6" t="n">
        <f aca="false">IF(COUNTIF($L$2:$L$2201,L1898)&gt;1,1,0)</f>
        <v>0</v>
      </c>
      <c r="N1898" s="6" t="str">
        <f aca="false">IF(AND(C1898&lt;Assumptions!$B$9,B1898&lt;Assumptions!$B$10),"Irrigate Now",IF(AND(C1898&gt;=Assumptions!$B$11,B1898&gt;=Assumptions!$B$12),"No Irrigation Needed","Monitor"))</f>
        <v>Monitor</v>
      </c>
      <c r="O1898" s="6" t="n">
        <f aca="false">IF(N1898=G1898,1,0)</f>
        <v>1</v>
      </c>
    </row>
    <row r="1899" customFormat="false" ht="15" hidden="false" customHeight="false" outlineLevel="0" collapsed="false">
      <c r="A1899" s="16" t="n">
        <v>26.45488737</v>
      </c>
      <c r="B1899" s="16" t="n">
        <v>149.2220255</v>
      </c>
      <c r="C1899" s="16" t="n">
        <v>11.923286604711</v>
      </c>
      <c r="D1899" s="6" t="s">
        <v>57</v>
      </c>
      <c r="E1899" s="6" t="s">
        <v>57</v>
      </c>
      <c r="F1899" s="6" t="s">
        <v>24</v>
      </c>
      <c r="G1899" s="6" t="s">
        <v>61</v>
      </c>
      <c r="H1899" s="6" t="s">
        <v>63</v>
      </c>
      <c r="I1899" s="6" t="str">
        <f aca="false">IF(A1899&lt;Outliers!$E$6,"Low",IF(A1899&gt;Outliers!$F$6,"High",""))</f>
        <v/>
      </c>
      <c r="J1899" s="6" t="str">
        <f aca="false">IF(B1899&lt;Outliers!$E$7,"Low",IF(B1899&gt;Outliers!$F$7,"High",""))</f>
        <v/>
      </c>
      <c r="K1899" s="6" t="str">
        <f aca="false">IF(C1899&lt;Outliers!$E$8,"Low",IF(C1899&gt;Outliers!$F$8,"High",""))</f>
        <v/>
      </c>
      <c r="L1899" s="6" t="str">
        <f aca="false">A1899&amp;";"&amp;B1899&amp;";"&amp;C1899</f>
        <v>26.45488737;149.2220255;11.923286604711</v>
      </c>
      <c r="M1899" s="6" t="n">
        <f aca="false">IF(COUNTIF($L$2:$L$2201,L1899)&gt;1,1,0)</f>
        <v>0</v>
      </c>
      <c r="N1899" s="6" t="str">
        <f aca="false">IF(AND(C1899&lt;Assumptions!$B$9,B1899&lt;Assumptions!$B$10),"Irrigate Now",IF(AND(C1899&gt;=Assumptions!$B$11,B1899&gt;=Assumptions!$B$12),"No Irrigation Needed","Monitor"))</f>
        <v>Monitor</v>
      </c>
      <c r="O1899" s="6" t="n">
        <f aca="false">IF(N1899=G1899,1,0)</f>
        <v>1</v>
      </c>
    </row>
    <row r="1900" customFormat="false" ht="15" hidden="false" customHeight="false" outlineLevel="0" collapsed="false">
      <c r="A1900" s="16" t="n">
        <v>25.79490531</v>
      </c>
      <c r="B1900" s="16" t="n">
        <v>152.4238712</v>
      </c>
      <c r="C1900" s="16" t="n">
        <v>15.3590921063959</v>
      </c>
      <c r="D1900" s="6" t="s">
        <v>57</v>
      </c>
      <c r="E1900" s="6" t="s">
        <v>24</v>
      </c>
      <c r="F1900" s="6" t="s">
        <v>60</v>
      </c>
      <c r="G1900" s="6" t="s">
        <v>61</v>
      </c>
      <c r="H1900" s="6" t="s">
        <v>62</v>
      </c>
      <c r="I1900" s="6" t="str">
        <f aca="false">IF(A1900&lt;Outliers!$E$6,"Low",IF(A1900&gt;Outliers!$F$6,"High",""))</f>
        <v/>
      </c>
      <c r="J1900" s="6" t="str">
        <f aca="false">IF(B1900&lt;Outliers!$E$7,"Low",IF(B1900&gt;Outliers!$F$7,"High",""))</f>
        <v/>
      </c>
      <c r="K1900" s="6" t="str">
        <f aca="false">IF(C1900&lt;Outliers!$E$8,"Low",IF(C1900&gt;Outliers!$F$8,"High",""))</f>
        <v/>
      </c>
      <c r="L1900" s="6" t="str">
        <f aca="false">A1900&amp;";"&amp;B1900&amp;";"&amp;C1900</f>
        <v>25.79490531;152.4238712;15.3590921063959</v>
      </c>
      <c r="M1900" s="6" t="n">
        <f aca="false">IF(COUNTIF($L$2:$L$2201,L1900)&gt;1,1,0)</f>
        <v>0</v>
      </c>
      <c r="N1900" s="6" t="str">
        <f aca="false">IF(AND(C1900&lt;Assumptions!$B$9,B1900&lt;Assumptions!$B$10),"Irrigate Now",IF(AND(C1900&gt;=Assumptions!$B$11,B1900&gt;=Assumptions!$B$12),"No Irrigation Needed","Monitor"))</f>
        <v>Monitor</v>
      </c>
      <c r="O1900" s="6" t="n">
        <f aca="false">IF(N1900=G1900,1,0)</f>
        <v>1</v>
      </c>
    </row>
    <row r="1901" customFormat="false" ht="15" hidden="false" customHeight="false" outlineLevel="0" collapsed="false">
      <c r="A1901" s="16" t="n">
        <v>26.93141945</v>
      </c>
      <c r="B1901" s="16" t="n">
        <v>166.5712879</v>
      </c>
      <c r="C1901" s="16" t="n">
        <v>28.9875650678845</v>
      </c>
      <c r="D1901" s="6" t="s">
        <v>57</v>
      </c>
      <c r="E1901" s="6" t="s">
        <v>24</v>
      </c>
      <c r="F1901" s="6" t="s">
        <v>23</v>
      </c>
      <c r="G1901" s="6" t="s">
        <v>58</v>
      </c>
      <c r="H1901" s="6" t="s">
        <v>59</v>
      </c>
      <c r="I1901" s="6" t="str">
        <f aca="false">IF(A1901&lt;Outliers!$E$6,"Low",IF(A1901&gt;Outliers!$F$6,"High",""))</f>
        <v/>
      </c>
      <c r="J1901" s="6" t="str">
        <f aca="false">IF(B1901&lt;Outliers!$E$7,"Low",IF(B1901&gt;Outliers!$F$7,"High",""))</f>
        <v/>
      </c>
      <c r="K1901" s="6" t="str">
        <f aca="false">IF(C1901&lt;Outliers!$E$8,"Low",IF(C1901&gt;Outliers!$F$8,"High",""))</f>
        <v/>
      </c>
      <c r="L1901" s="6" t="str">
        <f aca="false">A1901&amp;";"&amp;B1901&amp;";"&amp;C1901</f>
        <v>26.93141945;166.5712879;28.9875650678845</v>
      </c>
      <c r="M1901" s="6" t="n">
        <f aca="false">IF(COUNTIF($L$2:$L$2201,L1901)&gt;1,1,0)</f>
        <v>0</v>
      </c>
      <c r="N1901" s="6" t="str">
        <f aca="false">IF(AND(C1901&lt;Assumptions!$B$9,B1901&lt;Assumptions!$B$10),"Irrigate Now",IF(AND(C1901&gt;=Assumptions!$B$11,B1901&gt;=Assumptions!$B$12),"No Irrigation Needed","Monitor"))</f>
        <v>No Irrigation Needed</v>
      </c>
      <c r="O1901" s="6" t="n">
        <f aca="false">IF(N1901=G1901,1,0)</f>
        <v>1</v>
      </c>
    </row>
    <row r="1902" customFormat="false" ht="15" hidden="false" customHeight="false" outlineLevel="0" collapsed="false">
      <c r="A1902" s="16" t="n">
        <v>24.40228894</v>
      </c>
      <c r="B1902" s="16" t="n">
        <v>90.8022356</v>
      </c>
      <c r="C1902" s="16" t="n">
        <v>28.1517642835077</v>
      </c>
      <c r="D1902" s="6" t="s">
        <v>57</v>
      </c>
      <c r="E1902" s="6" t="s">
        <v>57</v>
      </c>
      <c r="F1902" s="6" t="s">
        <v>23</v>
      </c>
      <c r="G1902" s="6" t="s">
        <v>61</v>
      </c>
      <c r="H1902" s="6" t="s">
        <v>63</v>
      </c>
      <c r="I1902" s="6" t="str">
        <f aca="false">IF(A1902&lt;Outliers!$E$6,"Low",IF(A1902&gt;Outliers!$F$6,"High",""))</f>
        <v/>
      </c>
      <c r="J1902" s="6" t="str">
        <f aca="false">IF(B1902&lt;Outliers!$E$7,"Low",IF(B1902&gt;Outliers!$F$7,"High",""))</f>
        <v/>
      </c>
      <c r="K1902" s="6" t="str">
        <f aca="false">IF(C1902&lt;Outliers!$E$8,"Low",IF(C1902&gt;Outliers!$F$8,"High",""))</f>
        <v/>
      </c>
      <c r="L1902" s="6" t="str">
        <f aca="false">A1902&amp;";"&amp;B1902&amp;";"&amp;C1902</f>
        <v>24.40228894;90.8022356;28.1517642835077</v>
      </c>
      <c r="M1902" s="6" t="n">
        <f aca="false">IF(COUNTIF($L$2:$L$2201,L1902)&gt;1,1,0)</f>
        <v>0</v>
      </c>
      <c r="N1902" s="6" t="str">
        <f aca="false">IF(AND(C1902&lt;Assumptions!$B$9,B1902&lt;Assumptions!$B$10),"Irrigate Now",IF(AND(C1902&gt;=Assumptions!$B$11,B1902&gt;=Assumptions!$B$12),"No Irrigation Needed","Monitor"))</f>
        <v>Monitor</v>
      </c>
      <c r="O1902" s="6" t="n">
        <f aca="false">IF(N1902=G1902,1,0)</f>
        <v>1</v>
      </c>
    </row>
    <row r="1903" customFormat="false" ht="15" hidden="false" customHeight="false" outlineLevel="0" collapsed="false">
      <c r="A1903" s="16" t="n">
        <v>23.09595631</v>
      </c>
      <c r="B1903" s="16" t="n">
        <v>71.29581071</v>
      </c>
      <c r="C1903" s="16" t="n">
        <v>25.1802089073199</v>
      </c>
      <c r="D1903" s="6" t="s">
        <v>57</v>
      </c>
      <c r="E1903" s="6" t="s">
        <v>57</v>
      </c>
      <c r="F1903" s="6" t="s">
        <v>23</v>
      </c>
      <c r="G1903" s="6" t="s">
        <v>61</v>
      </c>
      <c r="H1903" s="6" t="s">
        <v>63</v>
      </c>
      <c r="I1903" s="6" t="str">
        <f aca="false">IF(A1903&lt;Outliers!$E$6,"Low",IF(A1903&gt;Outliers!$F$6,"High",""))</f>
        <v/>
      </c>
      <c r="J1903" s="6" t="str">
        <f aca="false">IF(B1903&lt;Outliers!$E$7,"Low",IF(B1903&gt;Outliers!$F$7,"High",""))</f>
        <v/>
      </c>
      <c r="K1903" s="6" t="str">
        <f aca="false">IF(C1903&lt;Outliers!$E$8,"Low",IF(C1903&gt;Outliers!$F$8,"High",""))</f>
        <v/>
      </c>
      <c r="L1903" s="6" t="str">
        <f aca="false">A1903&amp;";"&amp;B1903&amp;";"&amp;C1903</f>
        <v>23.09595631;71.29581071;25.1802089073199</v>
      </c>
      <c r="M1903" s="6" t="n">
        <f aca="false">IF(COUNTIF($L$2:$L$2201,L1903)&gt;1,1,0)</f>
        <v>0</v>
      </c>
      <c r="N1903" s="6" t="str">
        <f aca="false">IF(AND(C1903&lt;Assumptions!$B$9,B1903&lt;Assumptions!$B$10),"Irrigate Now",IF(AND(C1903&gt;=Assumptions!$B$11,B1903&gt;=Assumptions!$B$12),"No Irrigation Needed","Monitor"))</f>
        <v>Monitor</v>
      </c>
      <c r="O1903" s="6" t="n">
        <f aca="false">IF(N1903=G1903,1,0)</f>
        <v>1</v>
      </c>
    </row>
    <row r="1904" customFormat="false" ht="15" hidden="false" customHeight="false" outlineLevel="0" collapsed="false">
      <c r="A1904" s="16" t="n">
        <v>23.9656349</v>
      </c>
      <c r="B1904" s="16" t="n">
        <v>90.75616738</v>
      </c>
      <c r="C1904" s="16" t="n">
        <v>27.7425381591006</v>
      </c>
      <c r="D1904" s="6" t="s">
        <v>57</v>
      </c>
      <c r="E1904" s="6" t="s">
        <v>57</v>
      </c>
      <c r="F1904" s="6" t="s">
        <v>23</v>
      </c>
      <c r="G1904" s="6" t="s">
        <v>61</v>
      </c>
      <c r="H1904" s="6" t="s">
        <v>63</v>
      </c>
      <c r="I1904" s="6" t="str">
        <f aca="false">IF(A1904&lt;Outliers!$E$6,"Low",IF(A1904&gt;Outliers!$F$6,"High",""))</f>
        <v/>
      </c>
      <c r="J1904" s="6" t="str">
        <f aca="false">IF(B1904&lt;Outliers!$E$7,"Low",IF(B1904&gt;Outliers!$F$7,"High",""))</f>
        <v/>
      </c>
      <c r="K1904" s="6" t="str">
        <f aca="false">IF(C1904&lt;Outliers!$E$8,"Low",IF(C1904&gt;Outliers!$F$8,"High",""))</f>
        <v/>
      </c>
      <c r="L1904" s="6" t="str">
        <f aca="false">A1904&amp;";"&amp;B1904&amp;";"&amp;C1904</f>
        <v>23.9656349;90.75616738;27.7425381591006</v>
      </c>
      <c r="M1904" s="6" t="n">
        <f aca="false">IF(COUNTIF($L$2:$L$2201,L1904)&gt;1,1,0)</f>
        <v>0</v>
      </c>
      <c r="N1904" s="6" t="str">
        <f aca="false">IF(AND(C1904&lt;Assumptions!$B$9,B1904&lt;Assumptions!$B$10),"Irrigate Now",IF(AND(C1904&gt;=Assumptions!$B$11,B1904&gt;=Assumptions!$B$12),"No Irrigation Needed","Monitor"))</f>
        <v>Monitor</v>
      </c>
      <c r="O1904" s="6" t="n">
        <f aca="false">IF(N1904=G1904,1,0)</f>
        <v>1</v>
      </c>
    </row>
    <row r="1905" customFormat="false" ht="15" hidden="false" customHeight="false" outlineLevel="0" collapsed="false">
      <c r="A1905" s="16" t="n">
        <v>24.88738107</v>
      </c>
      <c r="B1905" s="16" t="n">
        <v>89.76050416</v>
      </c>
      <c r="C1905" s="16" t="n">
        <v>14.7130676835211</v>
      </c>
      <c r="D1905" s="6" t="s">
        <v>57</v>
      </c>
      <c r="E1905" s="6" t="s">
        <v>57</v>
      </c>
      <c r="F1905" s="6" t="s">
        <v>24</v>
      </c>
      <c r="G1905" s="6" t="s">
        <v>64</v>
      </c>
      <c r="H1905" s="6" t="s">
        <v>65</v>
      </c>
      <c r="I1905" s="6" t="str">
        <f aca="false">IF(A1905&lt;Outliers!$E$6,"Low",IF(A1905&gt;Outliers!$F$6,"High",""))</f>
        <v/>
      </c>
      <c r="J1905" s="6" t="str">
        <f aca="false">IF(B1905&lt;Outliers!$E$7,"Low",IF(B1905&gt;Outliers!$F$7,"High",""))</f>
        <v/>
      </c>
      <c r="K1905" s="6" t="str">
        <f aca="false">IF(C1905&lt;Outliers!$E$8,"Low",IF(C1905&gt;Outliers!$F$8,"High",""))</f>
        <v/>
      </c>
      <c r="L1905" s="6" t="str">
        <f aca="false">A1905&amp;";"&amp;B1905&amp;";"&amp;C1905</f>
        <v>24.88738107;89.76050416;14.7130676835211</v>
      </c>
      <c r="M1905" s="6" t="n">
        <f aca="false">IF(COUNTIF($L$2:$L$2201,L1905)&gt;1,1,0)</f>
        <v>0</v>
      </c>
      <c r="N1905" s="6" t="str">
        <f aca="false">IF(AND(C1905&lt;Assumptions!$B$9,B1905&lt;Assumptions!$B$10),"Irrigate Now",IF(AND(C1905&gt;=Assumptions!$B$11,B1905&gt;=Assumptions!$B$12),"No Irrigation Needed","Monitor"))</f>
        <v>Irrigate Now</v>
      </c>
      <c r="O1905" s="6" t="n">
        <f aca="false">IF(N1905=G1905,1,0)</f>
        <v>1</v>
      </c>
    </row>
    <row r="1906" customFormat="false" ht="15" hidden="false" customHeight="false" outlineLevel="0" collapsed="false">
      <c r="A1906" s="16" t="n">
        <v>25.36243778</v>
      </c>
      <c r="B1906" s="16" t="n">
        <v>88.43618918</v>
      </c>
      <c r="C1906" s="16" t="n">
        <v>27.3677601844601</v>
      </c>
      <c r="D1906" s="6" t="s">
        <v>57</v>
      </c>
      <c r="E1906" s="6" t="s">
        <v>57</v>
      </c>
      <c r="F1906" s="6" t="s">
        <v>23</v>
      </c>
      <c r="G1906" s="6" t="s">
        <v>61</v>
      </c>
      <c r="H1906" s="6" t="s">
        <v>63</v>
      </c>
      <c r="I1906" s="6" t="str">
        <f aca="false">IF(A1906&lt;Outliers!$E$6,"Low",IF(A1906&gt;Outliers!$F$6,"High",""))</f>
        <v/>
      </c>
      <c r="J1906" s="6" t="str">
        <f aca="false">IF(B1906&lt;Outliers!$E$7,"Low",IF(B1906&gt;Outliers!$F$7,"High",""))</f>
        <v/>
      </c>
      <c r="K1906" s="6" t="str">
        <f aca="false">IF(C1906&lt;Outliers!$E$8,"Low",IF(C1906&gt;Outliers!$F$8,"High",""))</f>
        <v/>
      </c>
      <c r="L1906" s="6" t="str">
        <f aca="false">A1906&amp;";"&amp;B1906&amp;";"&amp;C1906</f>
        <v>25.36243778;88.43618918;27.3677601844601</v>
      </c>
      <c r="M1906" s="6" t="n">
        <f aca="false">IF(COUNTIF($L$2:$L$2201,L1906)&gt;1,1,0)</f>
        <v>0</v>
      </c>
      <c r="N1906" s="6" t="str">
        <f aca="false">IF(AND(C1906&lt;Assumptions!$B$9,B1906&lt;Assumptions!$B$10),"Irrigate Now",IF(AND(C1906&gt;=Assumptions!$B$11,B1906&gt;=Assumptions!$B$12),"No Irrigation Needed","Monitor"))</f>
        <v>Monitor</v>
      </c>
      <c r="O1906" s="6" t="n">
        <f aca="false">IF(N1906=G1906,1,0)</f>
        <v>1</v>
      </c>
    </row>
    <row r="1907" customFormat="false" ht="15" hidden="false" customHeight="false" outlineLevel="0" collapsed="false">
      <c r="A1907" s="16" t="n">
        <v>24.69457084</v>
      </c>
      <c r="B1907" s="16" t="n">
        <v>78.58494391</v>
      </c>
      <c r="C1907" s="16" t="n">
        <v>26.5521564080792</v>
      </c>
      <c r="D1907" s="6" t="s">
        <v>57</v>
      </c>
      <c r="E1907" s="6" t="s">
        <v>57</v>
      </c>
      <c r="F1907" s="6" t="s">
        <v>23</v>
      </c>
      <c r="G1907" s="6" t="s">
        <v>61</v>
      </c>
      <c r="H1907" s="6" t="s">
        <v>63</v>
      </c>
      <c r="I1907" s="6" t="str">
        <f aca="false">IF(A1907&lt;Outliers!$E$6,"Low",IF(A1907&gt;Outliers!$F$6,"High",""))</f>
        <v/>
      </c>
      <c r="J1907" s="6" t="str">
        <f aca="false">IF(B1907&lt;Outliers!$E$7,"Low",IF(B1907&gt;Outliers!$F$7,"High",""))</f>
        <v/>
      </c>
      <c r="K1907" s="6" t="str">
        <f aca="false">IF(C1907&lt;Outliers!$E$8,"Low",IF(C1907&gt;Outliers!$F$8,"High",""))</f>
        <v/>
      </c>
      <c r="L1907" s="6" t="str">
        <f aca="false">A1907&amp;";"&amp;B1907&amp;";"&amp;C1907</f>
        <v>24.69457084;78.58494391;26.5521564080792</v>
      </c>
      <c r="M1907" s="6" t="n">
        <f aca="false">IF(COUNTIF($L$2:$L$2201,L1907)&gt;1,1,0)</f>
        <v>0</v>
      </c>
      <c r="N1907" s="6" t="str">
        <f aca="false">IF(AND(C1907&lt;Assumptions!$B$9,B1907&lt;Assumptions!$B$10),"Irrigate Now",IF(AND(C1907&gt;=Assumptions!$B$11,B1907&gt;=Assumptions!$B$12),"No Irrigation Needed","Monitor"))</f>
        <v>Monitor</v>
      </c>
      <c r="O1907" s="6" t="n">
        <f aca="false">IF(N1907=G1907,1,0)</f>
        <v>1</v>
      </c>
    </row>
    <row r="1908" customFormat="false" ht="15" hidden="false" customHeight="false" outlineLevel="0" collapsed="false">
      <c r="A1908" s="16" t="n">
        <v>25.0017188</v>
      </c>
      <c r="B1908" s="16" t="n">
        <v>96.32600992</v>
      </c>
      <c r="C1908" s="16" t="n">
        <v>16.55843681625</v>
      </c>
      <c r="D1908" s="6" t="s">
        <v>57</v>
      </c>
      <c r="E1908" s="6" t="s">
        <v>57</v>
      </c>
      <c r="F1908" s="6" t="s">
        <v>24</v>
      </c>
      <c r="G1908" s="6" t="s">
        <v>64</v>
      </c>
      <c r="H1908" s="6" t="s">
        <v>65</v>
      </c>
      <c r="I1908" s="6" t="str">
        <f aca="false">IF(A1908&lt;Outliers!$E$6,"Low",IF(A1908&gt;Outliers!$F$6,"High",""))</f>
        <v/>
      </c>
      <c r="J1908" s="6" t="str">
        <f aca="false">IF(B1908&lt;Outliers!$E$7,"Low",IF(B1908&gt;Outliers!$F$7,"High",""))</f>
        <v/>
      </c>
      <c r="K1908" s="6" t="str">
        <f aca="false">IF(C1908&lt;Outliers!$E$8,"Low",IF(C1908&gt;Outliers!$F$8,"High",""))</f>
        <v/>
      </c>
      <c r="L1908" s="6" t="str">
        <f aca="false">A1908&amp;";"&amp;B1908&amp;";"&amp;C1908</f>
        <v>25.0017188;96.32600992;16.55843681625</v>
      </c>
      <c r="M1908" s="6" t="n">
        <f aca="false">IF(COUNTIF($L$2:$L$2201,L1908)&gt;1,1,0)</f>
        <v>0</v>
      </c>
      <c r="N1908" s="6" t="str">
        <f aca="false">IF(AND(C1908&lt;Assumptions!$B$9,B1908&lt;Assumptions!$B$10),"Irrigate Now",IF(AND(C1908&gt;=Assumptions!$B$11,B1908&gt;=Assumptions!$B$12),"No Irrigation Needed","Monitor"))</f>
        <v>Irrigate Now</v>
      </c>
      <c r="O1908" s="6" t="n">
        <f aca="false">IF(N1908=G1908,1,0)</f>
        <v>1</v>
      </c>
    </row>
    <row r="1909" customFormat="false" ht="15" hidden="false" customHeight="false" outlineLevel="0" collapsed="false">
      <c r="A1909" s="16" t="n">
        <v>22.45942937</v>
      </c>
      <c r="B1909" s="16" t="n">
        <v>64.23026638</v>
      </c>
      <c r="C1909" s="16" t="n">
        <v>17.7316566665513</v>
      </c>
      <c r="D1909" s="6" t="s">
        <v>57</v>
      </c>
      <c r="E1909" s="6" t="s">
        <v>57</v>
      </c>
      <c r="F1909" s="6" t="s">
        <v>24</v>
      </c>
      <c r="G1909" s="6" t="s">
        <v>64</v>
      </c>
      <c r="H1909" s="6" t="s">
        <v>65</v>
      </c>
      <c r="I1909" s="6" t="str">
        <f aca="false">IF(A1909&lt;Outliers!$E$6,"Low",IF(A1909&gt;Outliers!$F$6,"High",""))</f>
        <v/>
      </c>
      <c r="J1909" s="6" t="str">
        <f aca="false">IF(B1909&lt;Outliers!$E$7,"Low",IF(B1909&gt;Outliers!$F$7,"High",""))</f>
        <v/>
      </c>
      <c r="K1909" s="6" t="str">
        <f aca="false">IF(C1909&lt;Outliers!$E$8,"Low",IF(C1909&gt;Outliers!$F$8,"High",""))</f>
        <v/>
      </c>
      <c r="L1909" s="6" t="str">
        <f aca="false">A1909&amp;";"&amp;B1909&amp;";"&amp;C1909</f>
        <v>22.45942937;64.23026638;17.7316566665513</v>
      </c>
      <c r="M1909" s="6" t="n">
        <f aca="false">IF(COUNTIF($L$2:$L$2201,L1909)&gt;1,1,0)</f>
        <v>0</v>
      </c>
      <c r="N1909" s="6" t="str">
        <f aca="false">IF(AND(C1909&lt;Assumptions!$B$9,B1909&lt;Assumptions!$B$10),"Irrigate Now",IF(AND(C1909&gt;=Assumptions!$B$11,B1909&gt;=Assumptions!$B$12),"No Irrigation Needed","Monitor"))</f>
        <v>Irrigate Now</v>
      </c>
      <c r="O1909" s="6" t="n">
        <f aca="false">IF(N1909=G1909,1,0)</f>
        <v>1</v>
      </c>
    </row>
    <row r="1910" customFormat="false" ht="15" hidden="false" customHeight="false" outlineLevel="0" collapsed="false">
      <c r="A1910" s="16" t="n">
        <v>23.60564038</v>
      </c>
      <c r="B1910" s="16" t="n">
        <v>72.49800885</v>
      </c>
      <c r="C1910" s="16" t="n">
        <v>12.0533161184468</v>
      </c>
      <c r="D1910" s="6" t="s">
        <v>57</v>
      </c>
      <c r="E1910" s="6" t="s">
        <v>57</v>
      </c>
      <c r="F1910" s="6" t="s">
        <v>24</v>
      </c>
      <c r="G1910" s="6" t="s">
        <v>64</v>
      </c>
      <c r="H1910" s="6" t="s">
        <v>65</v>
      </c>
      <c r="I1910" s="6" t="str">
        <f aca="false">IF(A1910&lt;Outliers!$E$6,"Low",IF(A1910&gt;Outliers!$F$6,"High",""))</f>
        <v/>
      </c>
      <c r="J1910" s="6" t="str">
        <f aca="false">IF(B1910&lt;Outliers!$E$7,"Low",IF(B1910&gt;Outliers!$F$7,"High",""))</f>
        <v/>
      </c>
      <c r="K1910" s="6" t="str">
        <f aca="false">IF(C1910&lt;Outliers!$E$8,"Low",IF(C1910&gt;Outliers!$F$8,"High",""))</f>
        <v/>
      </c>
      <c r="L1910" s="6" t="str">
        <f aca="false">A1910&amp;";"&amp;B1910&amp;";"&amp;C1910</f>
        <v>23.60564038;72.49800885;12.0533161184468</v>
      </c>
      <c r="M1910" s="6" t="n">
        <f aca="false">IF(COUNTIF($L$2:$L$2201,L1910)&gt;1,1,0)</f>
        <v>0</v>
      </c>
      <c r="N1910" s="6" t="str">
        <f aca="false">IF(AND(C1910&lt;Assumptions!$B$9,B1910&lt;Assumptions!$B$10),"Irrigate Now",IF(AND(C1910&gt;=Assumptions!$B$11,B1910&gt;=Assumptions!$B$12),"No Irrigation Needed","Monitor"))</f>
        <v>Irrigate Now</v>
      </c>
      <c r="O1910" s="6" t="n">
        <f aca="false">IF(N1910=G1910,1,0)</f>
        <v>1</v>
      </c>
    </row>
    <row r="1911" customFormat="false" ht="15" hidden="false" customHeight="false" outlineLevel="0" collapsed="false">
      <c r="A1911" s="16" t="n">
        <v>24.58453146</v>
      </c>
      <c r="B1911" s="16" t="n">
        <v>71.94608134</v>
      </c>
      <c r="C1911" s="16" t="n">
        <v>19.9607841827864</v>
      </c>
      <c r="D1911" s="6" t="s">
        <v>57</v>
      </c>
      <c r="E1911" s="6" t="s">
        <v>57</v>
      </c>
      <c r="F1911" s="6" t="s">
        <v>60</v>
      </c>
      <c r="G1911" s="6" t="s">
        <v>61</v>
      </c>
      <c r="H1911" s="6" t="s">
        <v>63</v>
      </c>
      <c r="I1911" s="6" t="str">
        <f aca="false">IF(A1911&lt;Outliers!$E$6,"Low",IF(A1911&gt;Outliers!$F$6,"High",""))</f>
        <v/>
      </c>
      <c r="J1911" s="6" t="str">
        <f aca="false">IF(B1911&lt;Outliers!$E$7,"Low",IF(B1911&gt;Outliers!$F$7,"High",""))</f>
        <v/>
      </c>
      <c r="K1911" s="6" t="str">
        <f aca="false">IF(C1911&lt;Outliers!$E$8,"Low",IF(C1911&gt;Outliers!$F$8,"High",""))</f>
        <v/>
      </c>
      <c r="L1911" s="6" t="str">
        <f aca="false">A1911&amp;";"&amp;B1911&amp;";"&amp;C1911</f>
        <v>24.58453146;71.94608134;19.9607841827864</v>
      </c>
      <c r="M1911" s="6" t="n">
        <f aca="false">IF(COUNTIF($L$2:$L$2201,L1911)&gt;1,1,0)</f>
        <v>0</v>
      </c>
      <c r="N1911" s="6" t="str">
        <f aca="false">IF(AND(C1911&lt;Assumptions!$B$9,B1911&lt;Assumptions!$B$10),"Irrigate Now",IF(AND(C1911&gt;=Assumptions!$B$11,B1911&gt;=Assumptions!$B$12),"No Irrigation Needed","Monitor"))</f>
        <v>Monitor</v>
      </c>
      <c r="O1911" s="6" t="n">
        <f aca="false">IF(N1911=G1911,1,0)</f>
        <v>1</v>
      </c>
    </row>
    <row r="1912" customFormat="false" ht="15" hidden="false" customHeight="false" outlineLevel="0" collapsed="false">
      <c r="A1912" s="16" t="n">
        <v>23.0865933</v>
      </c>
      <c r="B1912" s="16" t="n">
        <v>71.84080724</v>
      </c>
      <c r="C1912" s="16" t="n">
        <v>19.2675285227139</v>
      </c>
      <c r="D1912" s="6" t="s">
        <v>57</v>
      </c>
      <c r="E1912" s="6" t="s">
        <v>57</v>
      </c>
      <c r="F1912" s="6" t="s">
        <v>60</v>
      </c>
      <c r="G1912" s="6" t="s">
        <v>61</v>
      </c>
      <c r="H1912" s="6" t="s">
        <v>63</v>
      </c>
      <c r="I1912" s="6" t="str">
        <f aca="false">IF(A1912&lt;Outliers!$E$6,"Low",IF(A1912&gt;Outliers!$F$6,"High",""))</f>
        <v/>
      </c>
      <c r="J1912" s="6" t="str">
        <f aca="false">IF(B1912&lt;Outliers!$E$7,"Low",IF(B1912&gt;Outliers!$F$7,"High",""))</f>
        <v/>
      </c>
      <c r="K1912" s="6" t="str">
        <f aca="false">IF(C1912&lt;Outliers!$E$8,"Low",IF(C1912&gt;Outliers!$F$8,"High",""))</f>
        <v/>
      </c>
      <c r="L1912" s="6" t="str">
        <f aca="false">A1912&amp;";"&amp;B1912&amp;";"&amp;C1912</f>
        <v>23.0865933;71.84080724;19.2675285227139</v>
      </c>
      <c r="M1912" s="6" t="n">
        <f aca="false">IF(COUNTIF($L$2:$L$2201,L1912)&gt;1,1,0)</f>
        <v>0</v>
      </c>
      <c r="N1912" s="6" t="str">
        <f aca="false">IF(AND(C1912&lt;Assumptions!$B$9,B1912&lt;Assumptions!$B$10),"Irrigate Now",IF(AND(C1912&gt;=Assumptions!$B$11,B1912&gt;=Assumptions!$B$12),"No Irrigation Needed","Monitor"))</f>
        <v>Monitor</v>
      </c>
      <c r="O1912" s="6" t="n">
        <f aca="false">IF(N1912=G1912,1,0)</f>
        <v>1</v>
      </c>
    </row>
    <row r="1913" customFormat="false" ht="15" hidden="false" customHeight="false" outlineLevel="0" collapsed="false">
      <c r="A1913" s="16" t="n">
        <v>23.5000992</v>
      </c>
      <c r="B1913" s="16" t="n">
        <v>79.81328183</v>
      </c>
      <c r="C1913" s="16" t="n">
        <v>15.4992245979011</v>
      </c>
      <c r="D1913" s="6" t="s">
        <v>57</v>
      </c>
      <c r="E1913" s="6" t="s">
        <v>57</v>
      </c>
      <c r="F1913" s="6" t="s">
        <v>24</v>
      </c>
      <c r="G1913" s="6" t="s">
        <v>64</v>
      </c>
      <c r="H1913" s="6" t="s">
        <v>65</v>
      </c>
      <c r="I1913" s="6" t="str">
        <f aca="false">IF(A1913&lt;Outliers!$E$6,"Low",IF(A1913&gt;Outliers!$F$6,"High",""))</f>
        <v/>
      </c>
      <c r="J1913" s="6" t="str">
        <f aca="false">IF(B1913&lt;Outliers!$E$7,"Low",IF(B1913&gt;Outliers!$F$7,"High",""))</f>
        <v/>
      </c>
      <c r="K1913" s="6" t="str">
        <f aca="false">IF(C1913&lt;Outliers!$E$8,"Low",IF(C1913&gt;Outliers!$F$8,"High",""))</f>
        <v/>
      </c>
      <c r="L1913" s="6" t="str">
        <f aca="false">A1913&amp;";"&amp;B1913&amp;";"&amp;C1913</f>
        <v>23.5000992;79.81328183;15.4992245979011</v>
      </c>
      <c r="M1913" s="6" t="n">
        <f aca="false">IF(COUNTIF($L$2:$L$2201,L1913)&gt;1,1,0)</f>
        <v>0</v>
      </c>
      <c r="N1913" s="6" t="str">
        <f aca="false">IF(AND(C1913&lt;Assumptions!$B$9,B1913&lt;Assumptions!$B$10),"Irrigate Now",IF(AND(C1913&gt;=Assumptions!$B$11,B1913&gt;=Assumptions!$B$12),"No Irrigation Needed","Monitor"))</f>
        <v>Irrigate Now</v>
      </c>
      <c r="O1913" s="6" t="n">
        <f aca="false">IF(N1913=G1913,1,0)</f>
        <v>1</v>
      </c>
    </row>
    <row r="1914" customFormat="false" ht="15" hidden="false" customHeight="false" outlineLevel="0" collapsed="false">
      <c r="A1914" s="16" t="n">
        <v>24.1472953</v>
      </c>
      <c r="B1914" s="16" t="n">
        <v>69.91563467</v>
      </c>
      <c r="C1914" s="16" t="n">
        <v>20.1484476426722</v>
      </c>
      <c r="D1914" s="6" t="s">
        <v>57</v>
      </c>
      <c r="E1914" s="6" t="s">
        <v>57</v>
      </c>
      <c r="F1914" s="6" t="s">
        <v>60</v>
      </c>
      <c r="G1914" s="6" t="s">
        <v>61</v>
      </c>
      <c r="H1914" s="6" t="s">
        <v>63</v>
      </c>
      <c r="I1914" s="6" t="str">
        <f aca="false">IF(A1914&lt;Outliers!$E$6,"Low",IF(A1914&gt;Outliers!$F$6,"High",""))</f>
        <v/>
      </c>
      <c r="J1914" s="6" t="str">
        <f aca="false">IF(B1914&lt;Outliers!$E$7,"Low",IF(B1914&gt;Outliers!$F$7,"High",""))</f>
        <v/>
      </c>
      <c r="K1914" s="6" t="str">
        <f aca="false">IF(C1914&lt;Outliers!$E$8,"Low",IF(C1914&gt;Outliers!$F$8,"High",""))</f>
        <v/>
      </c>
      <c r="L1914" s="6" t="str">
        <f aca="false">A1914&amp;";"&amp;B1914&amp;";"&amp;C1914</f>
        <v>24.1472953;69.91563467;20.1484476426722</v>
      </c>
      <c r="M1914" s="6" t="n">
        <f aca="false">IF(COUNTIF($L$2:$L$2201,L1914)&gt;1,1,0)</f>
        <v>0</v>
      </c>
      <c r="N1914" s="6" t="str">
        <f aca="false">IF(AND(C1914&lt;Assumptions!$B$9,B1914&lt;Assumptions!$B$10),"Irrigate Now",IF(AND(C1914&gt;=Assumptions!$B$11,B1914&gt;=Assumptions!$B$12),"No Irrigation Needed","Monitor"))</f>
        <v>Monitor</v>
      </c>
      <c r="O1914" s="6" t="n">
        <f aca="false">IF(N1914=G1914,1,0)</f>
        <v>1</v>
      </c>
    </row>
    <row r="1915" customFormat="false" ht="15" hidden="false" customHeight="false" outlineLevel="0" collapsed="false">
      <c r="A1915" s="16" t="n">
        <v>24.69315538</v>
      </c>
      <c r="B1915" s="16" t="n">
        <v>89.799462</v>
      </c>
      <c r="C1915" s="16" t="n">
        <v>20.4126409970852</v>
      </c>
      <c r="D1915" s="6" t="s">
        <v>57</v>
      </c>
      <c r="E1915" s="6" t="s">
        <v>57</v>
      </c>
      <c r="F1915" s="6" t="s">
        <v>60</v>
      </c>
      <c r="G1915" s="6" t="s">
        <v>61</v>
      </c>
      <c r="H1915" s="6" t="s">
        <v>63</v>
      </c>
      <c r="I1915" s="6" t="str">
        <f aca="false">IF(A1915&lt;Outliers!$E$6,"Low",IF(A1915&gt;Outliers!$F$6,"High",""))</f>
        <v/>
      </c>
      <c r="J1915" s="6" t="str">
        <f aca="false">IF(B1915&lt;Outliers!$E$7,"Low",IF(B1915&gt;Outliers!$F$7,"High",""))</f>
        <v/>
      </c>
      <c r="K1915" s="6" t="str">
        <f aca="false">IF(C1915&lt;Outliers!$E$8,"Low",IF(C1915&gt;Outliers!$F$8,"High",""))</f>
        <v/>
      </c>
      <c r="L1915" s="6" t="str">
        <f aca="false">A1915&amp;";"&amp;B1915&amp;";"&amp;C1915</f>
        <v>24.69315538;89.799462;20.4126409970852</v>
      </c>
      <c r="M1915" s="6" t="n">
        <f aca="false">IF(COUNTIF($L$2:$L$2201,L1915)&gt;1,1,0)</f>
        <v>0</v>
      </c>
      <c r="N1915" s="6" t="str">
        <f aca="false">IF(AND(C1915&lt;Assumptions!$B$9,B1915&lt;Assumptions!$B$10),"Irrigate Now",IF(AND(C1915&gt;=Assumptions!$B$11,B1915&gt;=Assumptions!$B$12),"No Irrigation Needed","Monitor"))</f>
        <v>Monitor</v>
      </c>
      <c r="O1915" s="6" t="n">
        <f aca="false">IF(N1915=G1915,1,0)</f>
        <v>1</v>
      </c>
    </row>
    <row r="1916" customFormat="false" ht="15" hidden="false" customHeight="false" outlineLevel="0" collapsed="false">
      <c r="A1916" s="16" t="n">
        <v>24.484692</v>
      </c>
      <c r="B1916" s="16" t="n">
        <v>90.94342484</v>
      </c>
      <c r="C1916" s="16" t="n">
        <v>19.6237584177138</v>
      </c>
      <c r="D1916" s="6" t="s">
        <v>57</v>
      </c>
      <c r="E1916" s="6" t="s">
        <v>57</v>
      </c>
      <c r="F1916" s="6" t="s">
        <v>60</v>
      </c>
      <c r="G1916" s="6" t="s">
        <v>61</v>
      </c>
      <c r="H1916" s="6" t="s">
        <v>63</v>
      </c>
      <c r="I1916" s="6" t="str">
        <f aca="false">IF(A1916&lt;Outliers!$E$6,"Low",IF(A1916&gt;Outliers!$F$6,"High",""))</f>
        <v/>
      </c>
      <c r="J1916" s="6" t="str">
        <f aca="false">IF(B1916&lt;Outliers!$E$7,"Low",IF(B1916&gt;Outliers!$F$7,"High",""))</f>
        <v/>
      </c>
      <c r="K1916" s="6" t="str">
        <f aca="false">IF(C1916&lt;Outliers!$E$8,"Low",IF(C1916&gt;Outliers!$F$8,"High",""))</f>
        <v/>
      </c>
      <c r="L1916" s="6" t="str">
        <f aca="false">A1916&amp;";"&amp;B1916&amp;";"&amp;C1916</f>
        <v>24.484692;90.94342484;19.6237584177138</v>
      </c>
      <c r="M1916" s="6" t="n">
        <f aca="false">IF(COUNTIF($L$2:$L$2201,L1916)&gt;1,1,0)</f>
        <v>0</v>
      </c>
      <c r="N1916" s="6" t="str">
        <f aca="false">IF(AND(C1916&lt;Assumptions!$B$9,B1916&lt;Assumptions!$B$10),"Irrigate Now",IF(AND(C1916&gt;=Assumptions!$B$11,B1916&gt;=Assumptions!$B$12),"No Irrigation Needed","Monitor"))</f>
        <v>Monitor</v>
      </c>
      <c r="O1916" s="6" t="n">
        <f aca="false">IF(N1916=G1916,1,0)</f>
        <v>1</v>
      </c>
    </row>
    <row r="1917" customFormat="false" ht="15" hidden="false" customHeight="false" outlineLevel="0" collapsed="false">
      <c r="A1917" s="16" t="n">
        <v>24.49112609</v>
      </c>
      <c r="B1917" s="16" t="n">
        <v>64.02949379</v>
      </c>
      <c r="C1917" s="16" t="n">
        <v>21.6444145221116</v>
      </c>
      <c r="D1917" s="6" t="s">
        <v>57</v>
      </c>
      <c r="E1917" s="6" t="s">
        <v>57</v>
      </c>
      <c r="F1917" s="6" t="s">
        <v>60</v>
      </c>
      <c r="G1917" s="6" t="s">
        <v>61</v>
      </c>
      <c r="H1917" s="6" t="s">
        <v>63</v>
      </c>
      <c r="I1917" s="6" t="str">
        <f aca="false">IF(A1917&lt;Outliers!$E$6,"Low",IF(A1917&gt;Outliers!$F$6,"High",""))</f>
        <v/>
      </c>
      <c r="J1917" s="6" t="str">
        <f aca="false">IF(B1917&lt;Outliers!$E$7,"Low",IF(B1917&gt;Outliers!$F$7,"High",""))</f>
        <v/>
      </c>
      <c r="K1917" s="6" t="str">
        <f aca="false">IF(C1917&lt;Outliers!$E$8,"Low",IF(C1917&gt;Outliers!$F$8,"High",""))</f>
        <v/>
      </c>
      <c r="L1917" s="6" t="str">
        <f aca="false">A1917&amp;";"&amp;B1917&amp;";"&amp;C1917</f>
        <v>24.49112609;64.02949379;21.6444145221116</v>
      </c>
      <c r="M1917" s="6" t="n">
        <f aca="false">IF(COUNTIF($L$2:$L$2201,L1917)&gt;1,1,0)</f>
        <v>0</v>
      </c>
      <c r="N1917" s="6" t="str">
        <f aca="false">IF(AND(C1917&lt;Assumptions!$B$9,B1917&lt;Assumptions!$B$10),"Irrigate Now",IF(AND(C1917&gt;=Assumptions!$B$11,B1917&gt;=Assumptions!$B$12),"No Irrigation Needed","Monitor"))</f>
        <v>Monitor</v>
      </c>
      <c r="O1917" s="6" t="n">
        <f aca="false">IF(N1917=G1917,1,0)</f>
        <v>1</v>
      </c>
    </row>
    <row r="1918" customFormat="false" ht="15" hidden="false" customHeight="false" outlineLevel="0" collapsed="false">
      <c r="A1918" s="16" t="n">
        <v>23.47986888</v>
      </c>
      <c r="B1918" s="16" t="n">
        <v>86.76287924</v>
      </c>
      <c r="C1918" s="16" t="n">
        <v>29.5406187193006</v>
      </c>
      <c r="D1918" s="6" t="s">
        <v>57</v>
      </c>
      <c r="E1918" s="6" t="s">
        <v>57</v>
      </c>
      <c r="F1918" s="6" t="s">
        <v>23</v>
      </c>
      <c r="G1918" s="6" t="s">
        <v>61</v>
      </c>
      <c r="H1918" s="6" t="s">
        <v>63</v>
      </c>
      <c r="I1918" s="6" t="str">
        <f aca="false">IF(A1918&lt;Outliers!$E$6,"Low",IF(A1918&gt;Outliers!$F$6,"High",""))</f>
        <v/>
      </c>
      <c r="J1918" s="6" t="str">
        <f aca="false">IF(B1918&lt;Outliers!$E$7,"Low",IF(B1918&gt;Outliers!$F$7,"High",""))</f>
        <v/>
      </c>
      <c r="K1918" s="6" t="str">
        <f aca="false">IF(C1918&lt;Outliers!$E$8,"Low",IF(C1918&gt;Outliers!$F$8,"High",""))</f>
        <v/>
      </c>
      <c r="L1918" s="6" t="str">
        <f aca="false">A1918&amp;";"&amp;B1918&amp;";"&amp;C1918</f>
        <v>23.47986888;86.76287924;29.5406187193006</v>
      </c>
      <c r="M1918" s="6" t="n">
        <f aca="false">IF(COUNTIF($L$2:$L$2201,L1918)&gt;1,1,0)</f>
        <v>0</v>
      </c>
      <c r="N1918" s="6" t="str">
        <f aca="false">IF(AND(C1918&lt;Assumptions!$B$9,B1918&lt;Assumptions!$B$10),"Irrigate Now",IF(AND(C1918&gt;=Assumptions!$B$11,B1918&gt;=Assumptions!$B$12),"No Irrigation Needed","Monitor"))</f>
        <v>Monitor</v>
      </c>
      <c r="O1918" s="6" t="n">
        <f aca="false">IF(N1918=G1918,1,0)</f>
        <v>1</v>
      </c>
    </row>
    <row r="1919" customFormat="false" ht="15" hidden="false" customHeight="false" outlineLevel="0" collapsed="false">
      <c r="A1919" s="16" t="n">
        <v>24.18586246</v>
      </c>
      <c r="B1919" s="16" t="n">
        <v>69.08056728</v>
      </c>
      <c r="C1919" s="16" t="n">
        <v>13.4601789315633</v>
      </c>
      <c r="D1919" s="6" t="s">
        <v>57</v>
      </c>
      <c r="E1919" s="6" t="s">
        <v>57</v>
      </c>
      <c r="F1919" s="6" t="s">
        <v>24</v>
      </c>
      <c r="G1919" s="6" t="s">
        <v>64</v>
      </c>
      <c r="H1919" s="6" t="s">
        <v>65</v>
      </c>
      <c r="I1919" s="6" t="str">
        <f aca="false">IF(A1919&lt;Outliers!$E$6,"Low",IF(A1919&gt;Outliers!$F$6,"High",""))</f>
        <v/>
      </c>
      <c r="J1919" s="6" t="str">
        <f aca="false">IF(B1919&lt;Outliers!$E$7,"Low",IF(B1919&gt;Outliers!$F$7,"High",""))</f>
        <v/>
      </c>
      <c r="K1919" s="6" t="str">
        <f aca="false">IF(C1919&lt;Outliers!$E$8,"Low",IF(C1919&gt;Outliers!$F$8,"High",""))</f>
        <v/>
      </c>
      <c r="L1919" s="6" t="str">
        <f aca="false">A1919&amp;";"&amp;B1919&amp;";"&amp;C1919</f>
        <v>24.18586246;69.08056728;13.4601789315633</v>
      </c>
      <c r="M1919" s="6" t="n">
        <f aca="false">IF(COUNTIF($L$2:$L$2201,L1919)&gt;1,1,0)</f>
        <v>0</v>
      </c>
      <c r="N1919" s="6" t="str">
        <f aca="false">IF(AND(C1919&lt;Assumptions!$B$9,B1919&lt;Assumptions!$B$10),"Irrigate Now",IF(AND(C1919&gt;=Assumptions!$B$11,B1919&gt;=Assumptions!$B$12),"No Irrigation Needed","Monitor"))</f>
        <v>Irrigate Now</v>
      </c>
      <c r="O1919" s="6" t="n">
        <f aca="false">IF(N1919=G1919,1,0)</f>
        <v>1</v>
      </c>
    </row>
    <row r="1920" customFormat="false" ht="15" hidden="false" customHeight="false" outlineLevel="0" collapsed="false">
      <c r="A1920" s="16" t="n">
        <v>25.00755095</v>
      </c>
      <c r="B1920" s="16" t="n">
        <v>86.06411872</v>
      </c>
      <c r="C1920" s="16" t="n">
        <v>25.45104395902</v>
      </c>
      <c r="D1920" s="6" t="s">
        <v>57</v>
      </c>
      <c r="E1920" s="6" t="s">
        <v>57</v>
      </c>
      <c r="F1920" s="6" t="s">
        <v>23</v>
      </c>
      <c r="G1920" s="6" t="s">
        <v>61</v>
      </c>
      <c r="H1920" s="6" t="s">
        <v>63</v>
      </c>
      <c r="I1920" s="6" t="str">
        <f aca="false">IF(A1920&lt;Outliers!$E$6,"Low",IF(A1920&gt;Outliers!$F$6,"High",""))</f>
        <v/>
      </c>
      <c r="J1920" s="6" t="str">
        <f aca="false">IF(B1920&lt;Outliers!$E$7,"Low",IF(B1920&gt;Outliers!$F$7,"High",""))</f>
        <v/>
      </c>
      <c r="K1920" s="6" t="str">
        <f aca="false">IF(C1920&lt;Outliers!$E$8,"Low",IF(C1920&gt;Outliers!$F$8,"High",""))</f>
        <v/>
      </c>
      <c r="L1920" s="6" t="str">
        <f aca="false">A1920&amp;";"&amp;B1920&amp;";"&amp;C1920</f>
        <v>25.00755095;86.06411872;25.45104395902</v>
      </c>
      <c r="M1920" s="6" t="n">
        <f aca="false">IF(COUNTIF($L$2:$L$2201,L1920)&gt;1,1,0)</f>
        <v>0</v>
      </c>
      <c r="N1920" s="6" t="str">
        <f aca="false">IF(AND(C1920&lt;Assumptions!$B$9,B1920&lt;Assumptions!$B$10),"Irrigate Now",IF(AND(C1920&gt;=Assumptions!$B$11,B1920&gt;=Assumptions!$B$12),"No Irrigation Needed","Monitor"))</f>
        <v>Monitor</v>
      </c>
      <c r="O1920" s="6" t="n">
        <f aca="false">IF(N1920=G1920,1,0)</f>
        <v>1</v>
      </c>
    </row>
    <row r="1921" customFormat="false" ht="15" hidden="false" customHeight="false" outlineLevel="0" collapsed="false">
      <c r="A1921" s="16" t="n">
        <v>25.99237426</v>
      </c>
      <c r="B1921" s="16" t="n">
        <v>89.1188212</v>
      </c>
      <c r="C1921" s="16" t="n">
        <v>10.9048825854099</v>
      </c>
      <c r="D1921" s="6" t="s">
        <v>57</v>
      </c>
      <c r="E1921" s="6" t="s">
        <v>57</v>
      </c>
      <c r="F1921" s="6" t="s">
        <v>24</v>
      </c>
      <c r="G1921" s="6" t="s">
        <v>64</v>
      </c>
      <c r="H1921" s="6" t="s">
        <v>65</v>
      </c>
      <c r="I1921" s="6" t="str">
        <f aca="false">IF(A1921&lt;Outliers!$E$6,"Low",IF(A1921&gt;Outliers!$F$6,"High",""))</f>
        <v/>
      </c>
      <c r="J1921" s="6" t="str">
        <f aca="false">IF(B1921&lt;Outliers!$E$7,"Low",IF(B1921&gt;Outliers!$F$7,"High",""))</f>
        <v/>
      </c>
      <c r="K1921" s="6" t="str">
        <f aca="false">IF(C1921&lt;Outliers!$E$8,"Low",IF(C1921&gt;Outliers!$F$8,"High",""))</f>
        <v/>
      </c>
      <c r="L1921" s="6" t="str">
        <f aca="false">A1921&amp;";"&amp;B1921&amp;";"&amp;C1921</f>
        <v>25.99237426;89.1188212;10.9048825854099</v>
      </c>
      <c r="M1921" s="6" t="n">
        <f aca="false">IF(COUNTIF($L$2:$L$2201,L1921)&gt;1,1,0)</f>
        <v>0</v>
      </c>
      <c r="N1921" s="6" t="str">
        <f aca="false">IF(AND(C1921&lt;Assumptions!$B$9,B1921&lt;Assumptions!$B$10),"Irrigate Now",IF(AND(C1921&gt;=Assumptions!$B$11,B1921&gt;=Assumptions!$B$12),"No Irrigation Needed","Monitor"))</f>
        <v>Irrigate Now</v>
      </c>
      <c r="O1921" s="6" t="n">
        <f aca="false">IF(N1921=G1921,1,0)</f>
        <v>1</v>
      </c>
    </row>
    <row r="1922" customFormat="false" ht="15" hidden="false" customHeight="false" outlineLevel="0" collapsed="false">
      <c r="A1922" s="16" t="n">
        <v>23.66457347</v>
      </c>
      <c r="B1922" s="16" t="n">
        <v>99.36898373</v>
      </c>
      <c r="C1922" s="16" t="n">
        <v>14.0733556840639</v>
      </c>
      <c r="D1922" s="6" t="s">
        <v>57</v>
      </c>
      <c r="E1922" s="6" t="s">
        <v>57</v>
      </c>
      <c r="F1922" s="6" t="s">
        <v>24</v>
      </c>
      <c r="G1922" s="6" t="s">
        <v>64</v>
      </c>
      <c r="H1922" s="6" t="s">
        <v>65</v>
      </c>
      <c r="I1922" s="6" t="str">
        <f aca="false">IF(A1922&lt;Outliers!$E$6,"Low",IF(A1922&gt;Outliers!$F$6,"High",""))</f>
        <v/>
      </c>
      <c r="J1922" s="6" t="str">
        <f aca="false">IF(B1922&lt;Outliers!$E$7,"Low",IF(B1922&gt;Outliers!$F$7,"High",""))</f>
        <v/>
      </c>
      <c r="K1922" s="6" t="str">
        <f aca="false">IF(C1922&lt;Outliers!$E$8,"Low",IF(C1922&gt;Outliers!$F$8,"High",""))</f>
        <v/>
      </c>
      <c r="L1922" s="6" t="str">
        <f aca="false">A1922&amp;";"&amp;B1922&amp;";"&amp;C1922</f>
        <v>23.66457347;99.36898373;14.0733556840639</v>
      </c>
      <c r="M1922" s="6" t="n">
        <f aca="false">IF(COUNTIF($L$2:$L$2201,L1922)&gt;1,1,0)</f>
        <v>0</v>
      </c>
      <c r="N1922" s="6" t="str">
        <f aca="false">IF(AND(C1922&lt;Assumptions!$B$9,B1922&lt;Assumptions!$B$10),"Irrigate Now",IF(AND(C1922&gt;=Assumptions!$B$11,B1922&gt;=Assumptions!$B$12),"No Irrigation Needed","Monitor"))</f>
        <v>Irrigate Now</v>
      </c>
      <c r="O1922" s="6" t="n">
        <f aca="false">IF(N1922=G1922,1,0)</f>
        <v>1</v>
      </c>
    </row>
    <row r="1923" customFormat="false" ht="15" hidden="false" customHeight="false" outlineLevel="0" collapsed="false">
      <c r="A1923" s="16" t="n">
        <v>25.66891439</v>
      </c>
      <c r="B1923" s="16" t="n">
        <v>78.59595817</v>
      </c>
      <c r="C1923" s="16" t="n">
        <v>27.815502606347</v>
      </c>
      <c r="D1923" s="6" t="s">
        <v>57</v>
      </c>
      <c r="E1923" s="6" t="s">
        <v>57</v>
      </c>
      <c r="F1923" s="6" t="s">
        <v>23</v>
      </c>
      <c r="G1923" s="6" t="s">
        <v>61</v>
      </c>
      <c r="H1923" s="6" t="s">
        <v>63</v>
      </c>
      <c r="I1923" s="6" t="str">
        <f aca="false">IF(A1923&lt;Outliers!$E$6,"Low",IF(A1923&gt;Outliers!$F$6,"High",""))</f>
        <v/>
      </c>
      <c r="J1923" s="6" t="str">
        <f aca="false">IF(B1923&lt;Outliers!$E$7,"Low",IF(B1923&gt;Outliers!$F$7,"High",""))</f>
        <v/>
      </c>
      <c r="K1923" s="6" t="str">
        <f aca="false">IF(C1923&lt;Outliers!$E$8,"Low",IF(C1923&gt;Outliers!$F$8,"High",""))</f>
        <v/>
      </c>
      <c r="L1923" s="6" t="str">
        <f aca="false">A1923&amp;";"&amp;B1923&amp;";"&amp;C1923</f>
        <v>25.66891439;78.59595817;27.815502606347</v>
      </c>
      <c r="M1923" s="6" t="n">
        <f aca="false">IF(COUNTIF($L$2:$L$2201,L1923)&gt;1,1,0)</f>
        <v>0</v>
      </c>
      <c r="N1923" s="6" t="str">
        <f aca="false">IF(AND(C1923&lt;Assumptions!$B$9,B1923&lt;Assumptions!$B$10),"Irrigate Now",IF(AND(C1923&gt;=Assumptions!$B$11,B1923&gt;=Assumptions!$B$12),"No Irrigation Needed","Monitor"))</f>
        <v>Monitor</v>
      </c>
      <c r="O1923" s="6" t="n">
        <f aca="false">IF(N1923=G1923,1,0)</f>
        <v>1</v>
      </c>
    </row>
    <row r="1924" customFormat="false" ht="15" hidden="false" customHeight="false" outlineLevel="0" collapsed="false">
      <c r="A1924" s="16" t="n">
        <v>22.04612876</v>
      </c>
      <c r="B1924" s="16" t="n">
        <v>86.00758678</v>
      </c>
      <c r="C1924" s="16" t="n">
        <v>16.7669842831487</v>
      </c>
      <c r="D1924" s="6" t="s">
        <v>57</v>
      </c>
      <c r="E1924" s="6" t="s">
        <v>57</v>
      </c>
      <c r="F1924" s="6" t="s">
        <v>24</v>
      </c>
      <c r="G1924" s="6" t="s">
        <v>64</v>
      </c>
      <c r="H1924" s="6" t="s">
        <v>65</v>
      </c>
      <c r="I1924" s="6" t="str">
        <f aca="false">IF(A1924&lt;Outliers!$E$6,"Low",IF(A1924&gt;Outliers!$F$6,"High",""))</f>
        <v/>
      </c>
      <c r="J1924" s="6" t="str">
        <f aca="false">IF(B1924&lt;Outliers!$E$7,"Low",IF(B1924&gt;Outliers!$F$7,"High",""))</f>
        <v/>
      </c>
      <c r="K1924" s="6" t="str">
        <f aca="false">IF(C1924&lt;Outliers!$E$8,"Low",IF(C1924&gt;Outliers!$F$8,"High",""))</f>
        <v/>
      </c>
      <c r="L1924" s="6" t="str">
        <f aca="false">A1924&amp;";"&amp;B1924&amp;";"&amp;C1924</f>
        <v>22.04612876;86.00758678;16.7669842831487</v>
      </c>
      <c r="M1924" s="6" t="n">
        <f aca="false">IF(COUNTIF($L$2:$L$2201,L1924)&gt;1,1,0)</f>
        <v>0</v>
      </c>
      <c r="N1924" s="6" t="str">
        <f aca="false">IF(AND(C1924&lt;Assumptions!$B$9,B1924&lt;Assumptions!$B$10),"Irrigate Now",IF(AND(C1924&gt;=Assumptions!$B$11,B1924&gt;=Assumptions!$B$12),"No Irrigation Needed","Monitor"))</f>
        <v>Irrigate Now</v>
      </c>
      <c r="O1924" s="6" t="n">
        <f aca="false">IF(N1924=G1924,1,0)</f>
        <v>1</v>
      </c>
    </row>
    <row r="1925" customFormat="false" ht="15" hidden="false" customHeight="false" outlineLevel="0" collapsed="false">
      <c r="A1925" s="16" t="n">
        <v>22.4204752</v>
      </c>
      <c r="B1925" s="16" t="n">
        <v>93.46595573</v>
      </c>
      <c r="C1925" s="16" t="n">
        <v>28.3718566391542</v>
      </c>
      <c r="D1925" s="6" t="s">
        <v>57</v>
      </c>
      <c r="E1925" s="6" t="s">
        <v>57</v>
      </c>
      <c r="F1925" s="6" t="s">
        <v>23</v>
      </c>
      <c r="G1925" s="6" t="s">
        <v>61</v>
      </c>
      <c r="H1925" s="6" t="s">
        <v>63</v>
      </c>
      <c r="I1925" s="6" t="str">
        <f aca="false">IF(A1925&lt;Outliers!$E$6,"Low",IF(A1925&gt;Outliers!$F$6,"High",""))</f>
        <v/>
      </c>
      <c r="J1925" s="6" t="str">
        <f aca="false">IF(B1925&lt;Outliers!$E$7,"Low",IF(B1925&gt;Outliers!$F$7,"High",""))</f>
        <v/>
      </c>
      <c r="K1925" s="6" t="str">
        <f aca="false">IF(C1925&lt;Outliers!$E$8,"Low",IF(C1925&gt;Outliers!$F$8,"High",""))</f>
        <v/>
      </c>
      <c r="L1925" s="6" t="str">
        <f aca="false">A1925&amp;";"&amp;B1925&amp;";"&amp;C1925</f>
        <v>22.4204752;93.46595573;28.3718566391542</v>
      </c>
      <c r="M1925" s="6" t="n">
        <f aca="false">IF(COUNTIF($L$2:$L$2201,L1925)&gt;1,1,0)</f>
        <v>0</v>
      </c>
      <c r="N1925" s="6" t="str">
        <f aca="false">IF(AND(C1925&lt;Assumptions!$B$9,B1925&lt;Assumptions!$B$10),"Irrigate Now",IF(AND(C1925&gt;=Assumptions!$B$11,B1925&gt;=Assumptions!$B$12),"No Irrigation Needed","Monitor"))</f>
        <v>Monitor</v>
      </c>
      <c r="O1925" s="6" t="n">
        <f aca="false">IF(N1925=G1925,1,0)</f>
        <v>1</v>
      </c>
    </row>
    <row r="1926" customFormat="false" ht="15" hidden="false" customHeight="false" outlineLevel="0" collapsed="false">
      <c r="A1926" s="16" t="n">
        <v>25.03149561</v>
      </c>
      <c r="B1926" s="16" t="n">
        <v>95.0191318</v>
      </c>
      <c r="C1926" s="16" t="n">
        <v>25.3895064429993</v>
      </c>
      <c r="D1926" s="6" t="s">
        <v>57</v>
      </c>
      <c r="E1926" s="6" t="s">
        <v>57</v>
      </c>
      <c r="F1926" s="6" t="s">
        <v>23</v>
      </c>
      <c r="G1926" s="6" t="s">
        <v>61</v>
      </c>
      <c r="H1926" s="6" t="s">
        <v>63</v>
      </c>
      <c r="I1926" s="6" t="str">
        <f aca="false">IF(A1926&lt;Outliers!$E$6,"Low",IF(A1926&gt;Outliers!$F$6,"High",""))</f>
        <v/>
      </c>
      <c r="J1926" s="6" t="str">
        <f aca="false">IF(B1926&lt;Outliers!$E$7,"Low",IF(B1926&gt;Outliers!$F$7,"High",""))</f>
        <v/>
      </c>
      <c r="K1926" s="6" t="str">
        <f aca="false">IF(C1926&lt;Outliers!$E$8,"Low",IF(C1926&gt;Outliers!$F$8,"High",""))</f>
        <v/>
      </c>
      <c r="L1926" s="6" t="str">
        <f aca="false">A1926&amp;";"&amp;B1926&amp;";"&amp;C1926</f>
        <v>25.03149561;95.0191318;25.3895064429993</v>
      </c>
      <c r="M1926" s="6" t="n">
        <f aca="false">IF(COUNTIF($L$2:$L$2201,L1926)&gt;1,1,0)</f>
        <v>0</v>
      </c>
      <c r="N1926" s="6" t="str">
        <f aca="false">IF(AND(C1926&lt;Assumptions!$B$9,B1926&lt;Assumptions!$B$10),"Irrigate Now",IF(AND(C1926&gt;=Assumptions!$B$11,B1926&gt;=Assumptions!$B$12),"No Irrigation Needed","Monitor"))</f>
        <v>Monitor</v>
      </c>
      <c r="O1926" s="6" t="n">
        <f aca="false">IF(N1926=G1926,1,0)</f>
        <v>1</v>
      </c>
    </row>
    <row r="1927" customFormat="false" ht="15" hidden="false" customHeight="false" outlineLevel="0" collapsed="false">
      <c r="A1927" s="16" t="n">
        <v>23.53371386</v>
      </c>
      <c r="B1927" s="16" t="n">
        <v>87.54004943</v>
      </c>
      <c r="C1927" s="16" t="n">
        <v>16.0341493902126</v>
      </c>
      <c r="D1927" s="6" t="s">
        <v>57</v>
      </c>
      <c r="E1927" s="6" t="s">
        <v>57</v>
      </c>
      <c r="F1927" s="6" t="s">
        <v>24</v>
      </c>
      <c r="G1927" s="6" t="s">
        <v>64</v>
      </c>
      <c r="H1927" s="6" t="s">
        <v>65</v>
      </c>
      <c r="I1927" s="6" t="str">
        <f aca="false">IF(A1927&lt;Outliers!$E$6,"Low",IF(A1927&gt;Outliers!$F$6,"High",""))</f>
        <v/>
      </c>
      <c r="J1927" s="6" t="str">
        <f aca="false">IF(B1927&lt;Outliers!$E$7,"Low",IF(B1927&gt;Outliers!$F$7,"High",""))</f>
        <v/>
      </c>
      <c r="K1927" s="6" t="str">
        <f aca="false">IF(C1927&lt;Outliers!$E$8,"Low",IF(C1927&gt;Outliers!$F$8,"High",""))</f>
        <v/>
      </c>
      <c r="L1927" s="6" t="str">
        <f aca="false">A1927&amp;";"&amp;B1927&amp;";"&amp;C1927</f>
        <v>23.53371386;87.54004943;16.0341493902126</v>
      </c>
      <c r="M1927" s="6" t="n">
        <f aca="false">IF(COUNTIF($L$2:$L$2201,L1927)&gt;1,1,0)</f>
        <v>0</v>
      </c>
      <c r="N1927" s="6" t="str">
        <f aca="false">IF(AND(C1927&lt;Assumptions!$B$9,B1927&lt;Assumptions!$B$10),"Irrigate Now",IF(AND(C1927&gt;=Assumptions!$B$11,B1927&gt;=Assumptions!$B$12),"No Irrigation Needed","Monitor"))</f>
        <v>Irrigate Now</v>
      </c>
      <c r="O1927" s="6" t="n">
        <f aca="false">IF(N1927=G1927,1,0)</f>
        <v>1</v>
      </c>
    </row>
    <row r="1928" customFormat="false" ht="15" hidden="false" customHeight="false" outlineLevel="0" collapsed="false">
      <c r="A1928" s="16" t="n">
        <v>22.77076388</v>
      </c>
      <c r="B1928" s="16" t="n">
        <v>81.49543437</v>
      </c>
      <c r="C1928" s="16" t="n">
        <v>18.7883527450996</v>
      </c>
      <c r="D1928" s="6" t="s">
        <v>57</v>
      </c>
      <c r="E1928" s="6" t="s">
        <v>57</v>
      </c>
      <c r="F1928" s="6" t="s">
        <v>60</v>
      </c>
      <c r="G1928" s="6" t="s">
        <v>61</v>
      </c>
      <c r="H1928" s="6" t="s">
        <v>63</v>
      </c>
      <c r="I1928" s="6" t="str">
        <f aca="false">IF(A1928&lt;Outliers!$E$6,"Low",IF(A1928&gt;Outliers!$F$6,"High",""))</f>
        <v/>
      </c>
      <c r="J1928" s="6" t="str">
        <f aca="false">IF(B1928&lt;Outliers!$E$7,"Low",IF(B1928&gt;Outliers!$F$7,"High",""))</f>
        <v/>
      </c>
      <c r="K1928" s="6" t="str">
        <f aca="false">IF(C1928&lt;Outliers!$E$8,"Low",IF(C1928&gt;Outliers!$F$8,"High",""))</f>
        <v/>
      </c>
      <c r="L1928" s="6" t="str">
        <f aca="false">A1928&amp;";"&amp;B1928&amp;";"&amp;C1928</f>
        <v>22.77076388;81.49543437;18.7883527450996</v>
      </c>
      <c r="M1928" s="6" t="n">
        <f aca="false">IF(COUNTIF($L$2:$L$2201,L1928)&gt;1,1,0)</f>
        <v>0</v>
      </c>
      <c r="N1928" s="6" t="str">
        <f aca="false">IF(AND(C1928&lt;Assumptions!$B$9,B1928&lt;Assumptions!$B$10),"Irrigate Now",IF(AND(C1928&gt;=Assumptions!$B$11,B1928&gt;=Assumptions!$B$12),"No Irrigation Needed","Monitor"))</f>
        <v>Monitor</v>
      </c>
      <c r="O1928" s="6" t="n">
        <f aca="false">IF(N1928=G1928,1,0)</f>
        <v>1</v>
      </c>
    </row>
    <row r="1929" customFormat="false" ht="15" hidden="false" customHeight="false" outlineLevel="0" collapsed="false">
      <c r="A1929" s="16" t="n">
        <v>25.49848236</v>
      </c>
      <c r="B1929" s="16" t="n">
        <v>67.05961949</v>
      </c>
      <c r="C1929" s="16" t="n">
        <v>18.3051056192878</v>
      </c>
      <c r="D1929" s="6" t="s">
        <v>57</v>
      </c>
      <c r="E1929" s="6" t="s">
        <v>57</v>
      </c>
      <c r="F1929" s="6" t="s">
        <v>24</v>
      </c>
      <c r="G1929" s="6" t="s">
        <v>61</v>
      </c>
      <c r="H1929" s="6" t="s">
        <v>63</v>
      </c>
      <c r="I1929" s="6" t="str">
        <f aca="false">IF(A1929&lt;Outliers!$E$6,"Low",IF(A1929&gt;Outliers!$F$6,"High",""))</f>
        <v/>
      </c>
      <c r="J1929" s="6" t="str">
        <f aca="false">IF(B1929&lt;Outliers!$E$7,"Low",IF(B1929&gt;Outliers!$F$7,"High",""))</f>
        <v/>
      </c>
      <c r="K1929" s="6" t="str">
        <f aca="false">IF(C1929&lt;Outliers!$E$8,"Low",IF(C1929&gt;Outliers!$F$8,"High",""))</f>
        <v/>
      </c>
      <c r="L1929" s="6" t="str">
        <f aca="false">A1929&amp;";"&amp;B1929&amp;";"&amp;C1929</f>
        <v>25.49848236;67.05961949;18.3051056192878</v>
      </c>
      <c r="M1929" s="6" t="n">
        <f aca="false">IF(COUNTIF($L$2:$L$2201,L1929)&gt;1,1,0)</f>
        <v>0</v>
      </c>
      <c r="N1929" s="6" t="str">
        <f aca="false">IF(AND(C1929&lt;Assumptions!$B$9,B1929&lt;Assumptions!$B$10),"Irrigate Now",IF(AND(C1929&gt;=Assumptions!$B$11,B1929&gt;=Assumptions!$B$12),"No Irrigation Needed","Monitor"))</f>
        <v>Monitor</v>
      </c>
      <c r="O1929" s="6" t="n">
        <f aca="false">IF(N1929=G1929,1,0)</f>
        <v>1</v>
      </c>
    </row>
    <row r="1930" customFormat="false" ht="15" hidden="false" customHeight="false" outlineLevel="0" collapsed="false">
      <c r="A1930" s="16" t="n">
        <v>25.248679</v>
      </c>
      <c r="B1930" s="16" t="n">
        <v>86.55517751</v>
      </c>
      <c r="C1930" s="16" t="n">
        <v>14.8971216147125</v>
      </c>
      <c r="D1930" s="6" t="s">
        <v>57</v>
      </c>
      <c r="E1930" s="6" t="s">
        <v>57</v>
      </c>
      <c r="F1930" s="6" t="s">
        <v>24</v>
      </c>
      <c r="G1930" s="6" t="s">
        <v>64</v>
      </c>
      <c r="H1930" s="6" t="s">
        <v>65</v>
      </c>
      <c r="I1930" s="6" t="str">
        <f aca="false">IF(A1930&lt;Outliers!$E$6,"Low",IF(A1930&gt;Outliers!$F$6,"High",""))</f>
        <v/>
      </c>
      <c r="J1930" s="6" t="str">
        <f aca="false">IF(B1930&lt;Outliers!$E$7,"Low",IF(B1930&gt;Outliers!$F$7,"High",""))</f>
        <v/>
      </c>
      <c r="K1930" s="6" t="str">
        <f aca="false">IF(C1930&lt;Outliers!$E$8,"Low",IF(C1930&gt;Outliers!$F$8,"High",""))</f>
        <v/>
      </c>
      <c r="L1930" s="6" t="str">
        <f aca="false">A1930&amp;";"&amp;B1930&amp;";"&amp;C1930</f>
        <v>25.248679;86.55517751;14.8971216147125</v>
      </c>
      <c r="M1930" s="6" t="n">
        <f aca="false">IF(COUNTIF($L$2:$L$2201,L1930)&gt;1,1,0)</f>
        <v>0</v>
      </c>
      <c r="N1930" s="6" t="str">
        <f aca="false">IF(AND(C1930&lt;Assumptions!$B$9,B1930&lt;Assumptions!$B$10),"Irrigate Now",IF(AND(C1930&gt;=Assumptions!$B$11,B1930&gt;=Assumptions!$B$12),"No Irrigation Needed","Monitor"))</f>
        <v>Irrigate Now</v>
      </c>
      <c r="O1930" s="6" t="n">
        <f aca="false">IF(N1930=G1930,1,0)</f>
        <v>1</v>
      </c>
    </row>
    <row r="1931" customFormat="false" ht="15" hidden="false" customHeight="false" outlineLevel="0" collapsed="false">
      <c r="A1931" s="16" t="n">
        <v>22.78249615</v>
      </c>
      <c r="B1931" s="16" t="n">
        <v>64.61444234</v>
      </c>
      <c r="C1931" s="16" t="n">
        <v>25.8403502158578</v>
      </c>
      <c r="D1931" s="6" t="s">
        <v>57</v>
      </c>
      <c r="E1931" s="6" t="s">
        <v>57</v>
      </c>
      <c r="F1931" s="6" t="s">
        <v>23</v>
      </c>
      <c r="G1931" s="6" t="s">
        <v>61</v>
      </c>
      <c r="H1931" s="6" t="s">
        <v>63</v>
      </c>
      <c r="I1931" s="6" t="str">
        <f aca="false">IF(A1931&lt;Outliers!$E$6,"Low",IF(A1931&gt;Outliers!$F$6,"High",""))</f>
        <v/>
      </c>
      <c r="J1931" s="6" t="str">
        <f aca="false">IF(B1931&lt;Outliers!$E$7,"Low",IF(B1931&gt;Outliers!$F$7,"High",""))</f>
        <v/>
      </c>
      <c r="K1931" s="6" t="str">
        <f aca="false">IF(C1931&lt;Outliers!$E$8,"Low",IF(C1931&gt;Outliers!$F$8,"High",""))</f>
        <v/>
      </c>
      <c r="L1931" s="6" t="str">
        <f aca="false">A1931&amp;";"&amp;B1931&amp;";"&amp;C1931</f>
        <v>22.78249615;64.61444234;25.8403502158578</v>
      </c>
      <c r="M1931" s="6" t="n">
        <f aca="false">IF(COUNTIF($L$2:$L$2201,L1931)&gt;1,1,0)</f>
        <v>0</v>
      </c>
      <c r="N1931" s="6" t="str">
        <f aca="false">IF(AND(C1931&lt;Assumptions!$B$9,B1931&lt;Assumptions!$B$10),"Irrigate Now",IF(AND(C1931&gt;=Assumptions!$B$11,B1931&gt;=Assumptions!$B$12),"No Irrigation Needed","Monitor"))</f>
        <v>Monitor</v>
      </c>
      <c r="O1931" s="6" t="n">
        <f aca="false">IF(N1931=G1931,1,0)</f>
        <v>1</v>
      </c>
    </row>
    <row r="1932" customFormat="false" ht="15" hidden="false" customHeight="false" outlineLevel="0" collapsed="false">
      <c r="A1932" s="16" t="n">
        <v>23.37044424</v>
      </c>
      <c r="B1932" s="16" t="n">
        <v>71.67870701</v>
      </c>
      <c r="C1932" s="16" t="n">
        <v>27.1467123599365</v>
      </c>
      <c r="D1932" s="6" t="s">
        <v>57</v>
      </c>
      <c r="E1932" s="6" t="s">
        <v>57</v>
      </c>
      <c r="F1932" s="6" t="s">
        <v>23</v>
      </c>
      <c r="G1932" s="6" t="s">
        <v>61</v>
      </c>
      <c r="H1932" s="6" t="s">
        <v>63</v>
      </c>
      <c r="I1932" s="6" t="str">
        <f aca="false">IF(A1932&lt;Outliers!$E$6,"Low",IF(A1932&gt;Outliers!$F$6,"High",""))</f>
        <v/>
      </c>
      <c r="J1932" s="6" t="str">
        <f aca="false">IF(B1932&lt;Outliers!$E$7,"Low",IF(B1932&gt;Outliers!$F$7,"High",""))</f>
        <v/>
      </c>
      <c r="K1932" s="6" t="str">
        <f aca="false">IF(C1932&lt;Outliers!$E$8,"Low",IF(C1932&gt;Outliers!$F$8,"High",""))</f>
        <v/>
      </c>
      <c r="L1932" s="6" t="str">
        <f aca="false">A1932&amp;";"&amp;B1932&amp;";"&amp;C1932</f>
        <v>23.37044424;71.67870701;27.1467123599365</v>
      </c>
      <c r="M1932" s="6" t="n">
        <f aca="false">IF(COUNTIF($L$2:$L$2201,L1932)&gt;1,1,0)</f>
        <v>0</v>
      </c>
      <c r="N1932" s="6" t="str">
        <f aca="false">IF(AND(C1932&lt;Assumptions!$B$9,B1932&lt;Assumptions!$B$10),"Irrigate Now",IF(AND(C1932&gt;=Assumptions!$B$11,B1932&gt;=Assumptions!$B$12),"No Irrigation Needed","Monitor"))</f>
        <v>Monitor</v>
      </c>
      <c r="O1932" s="6" t="n">
        <f aca="false">IF(N1932=G1932,1,0)</f>
        <v>1</v>
      </c>
    </row>
    <row r="1933" customFormat="false" ht="15" hidden="false" customHeight="false" outlineLevel="0" collapsed="false">
      <c r="A1933" s="16" t="n">
        <v>24.86560781</v>
      </c>
      <c r="B1933" s="16" t="n">
        <v>79.56866268</v>
      </c>
      <c r="C1933" s="16" t="n">
        <v>20.2945630901976</v>
      </c>
      <c r="D1933" s="6" t="s">
        <v>57</v>
      </c>
      <c r="E1933" s="6" t="s">
        <v>57</v>
      </c>
      <c r="F1933" s="6" t="s">
        <v>60</v>
      </c>
      <c r="G1933" s="6" t="s">
        <v>61</v>
      </c>
      <c r="H1933" s="6" t="s">
        <v>63</v>
      </c>
      <c r="I1933" s="6" t="str">
        <f aca="false">IF(A1933&lt;Outliers!$E$6,"Low",IF(A1933&gt;Outliers!$F$6,"High",""))</f>
        <v/>
      </c>
      <c r="J1933" s="6" t="str">
        <f aca="false">IF(B1933&lt;Outliers!$E$7,"Low",IF(B1933&gt;Outliers!$F$7,"High",""))</f>
        <v/>
      </c>
      <c r="K1933" s="6" t="str">
        <f aca="false">IF(C1933&lt;Outliers!$E$8,"Low",IF(C1933&gt;Outliers!$F$8,"High",""))</f>
        <v/>
      </c>
      <c r="L1933" s="6" t="str">
        <f aca="false">A1933&amp;";"&amp;B1933&amp;";"&amp;C1933</f>
        <v>24.86560781;79.56866268;20.2945630901976</v>
      </c>
      <c r="M1933" s="6" t="n">
        <f aca="false">IF(COUNTIF($L$2:$L$2201,L1933)&gt;1,1,0)</f>
        <v>0</v>
      </c>
      <c r="N1933" s="6" t="str">
        <f aca="false">IF(AND(C1933&lt;Assumptions!$B$9,B1933&lt;Assumptions!$B$10),"Irrigate Now",IF(AND(C1933&gt;=Assumptions!$B$11,B1933&gt;=Assumptions!$B$12),"No Irrigation Needed","Monitor"))</f>
        <v>Monitor</v>
      </c>
      <c r="O1933" s="6" t="n">
        <f aca="false">IF(N1933=G1933,1,0)</f>
        <v>1</v>
      </c>
    </row>
    <row r="1934" customFormat="false" ht="15" hidden="false" customHeight="false" outlineLevel="0" collapsed="false">
      <c r="A1934" s="16" t="n">
        <v>24.14386157</v>
      </c>
      <c r="B1934" s="16" t="n">
        <v>80.36146974</v>
      </c>
      <c r="C1934" s="16" t="n">
        <v>13.104822277411</v>
      </c>
      <c r="D1934" s="6" t="s">
        <v>57</v>
      </c>
      <c r="E1934" s="6" t="s">
        <v>57</v>
      </c>
      <c r="F1934" s="6" t="s">
        <v>24</v>
      </c>
      <c r="G1934" s="6" t="s">
        <v>64</v>
      </c>
      <c r="H1934" s="6" t="s">
        <v>65</v>
      </c>
      <c r="I1934" s="6" t="str">
        <f aca="false">IF(A1934&lt;Outliers!$E$6,"Low",IF(A1934&gt;Outliers!$F$6,"High",""))</f>
        <v/>
      </c>
      <c r="J1934" s="6" t="str">
        <f aca="false">IF(B1934&lt;Outliers!$E$7,"Low",IF(B1934&gt;Outliers!$F$7,"High",""))</f>
        <v/>
      </c>
      <c r="K1934" s="6" t="str">
        <f aca="false">IF(C1934&lt;Outliers!$E$8,"Low",IF(C1934&gt;Outliers!$F$8,"High",""))</f>
        <v/>
      </c>
      <c r="L1934" s="6" t="str">
        <f aca="false">A1934&amp;";"&amp;B1934&amp;";"&amp;C1934</f>
        <v>24.14386157;80.36146974;13.104822277411</v>
      </c>
      <c r="M1934" s="6" t="n">
        <f aca="false">IF(COUNTIF($L$2:$L$2201,L1934)&gt;1,1,0)</f>
        <v>0</v>
      </c>
      <c r="N1934" s="6" t="str">
        <f aca="false">IF(AND(C1934&lt;Assumptions!$B$9,B1934&lt;Assumptions!$B$10),"Irrigate Now",IF(AND(C1934&gt;=Assumptions!$B$11,B1934&gt;=Assumptions!$B$12),"No Irrigation Needed","Monitor"))</f>
        <v>Irrigate Now</v>
      </c>
      <c r="O1934" s="6" t="n">
        <f aca="false">IF(N1934=G1934,1,0)</f>
        <v>1</v>
      </c>
    </row>
    <row r="1935" customFormat="false" ht="15" hidden="false" customHeight="false" outlineLevel="0" collapsed="false">
      <c r="A1935" s="16" t="n">
        <v>25.03300222</v>
      </c>
      <c r="B1935" s="16" t="n">
        <v>97.10087029</v>
      </c>
      <c r="C1935" s="16" t="n">
        <v>20.7249392144636</v>
      </c>
      <c r="D1935" s="6" t="s">
        <v>57</v>
      </c>
      <c r="E1935" s="6" t="s">
        <v>57</v>
      </c>
      <c r="F1935" s="6" t="s">
        <v>60</v>
      </c>
      <c r="G1935" s="6" t="s">
        <v>61</v>
      </c>
      <c r="H1935" s="6" t="s">
        <v>63</v>
      </c>
      <c r="I1935" s="6" t="str">
        <f aca="false">IF(A1935&lt;Outliers!$E$6,"Low",IF(A1935&gt;Outliers!$F$6,"High",""))</f>
        <v/>
      </c>
      <c r="J1935" s="6" t="str">
        <f aca="false">IF(B1935&lt;Outliers!$E$7,"Low",IF(B1935&gt;Outliers!$F$7,"High",""))</f>
        <v/>
      </c>
      <c r="K1935" s="6" t="str">
        <f aca="false">IF(C1935&lt;Outliers!$E$8,"Low",IF(C1935&gt;Outliers!$F$8,"High",""))</f>
        <v/>
      </c>
      <c r="L1935" s="6" t="str">
        <f aca="false">A1935&amp;";"&amp;B1935&amp;";"&amp;C1935</f>
        <v>25.03300222;97.10087029;20.7249392144636</v>
      </c>
      <c r="M1935" s="6" t="n">
        <f aca="false">IF(COUNTIF($L$2:$L$2201,L1935)&gt;1,1,0)</f>
        <v>0</v>
      </c>
      <c r="N1935" s="6" t="str">
        <f aca="false">IF(AND(C1935&lt;Assumptions!$B$9,B1935&lt;Assumptions!$B$10),"Irrigate Now",IF(AND(C1935&gt;=Assumptions!$B$11,B1935&gt;=Assumptions!$B$12),"No Irrigation Needed","Monitor"))</f>
        <v>Monitor</v>
      </c>
      <c r="O1935" s="6" t="n">
        <f aca="false">IF(N1935=G1935,1,0)</f>
        <v>1</v>
      </c>
    </row>
    <row r="1936" customFormat="false" ht="15" hidden="false" customHeight="false" outlineLevel="0" collapsed="false">
      <c r="A1936" s="16" t="n">
        <v>23.65724079</v>
      </c>
      <c r="B1936" s="16" t="n">
        <v>88.54479121</v>
      </c>
      <c r="C1936" s="16" t="n">
        <v>29.0526291967369</v>
      </c>
      <c r="D1936" s="6" t="s">
        <v>57</v>
      </c>
      <c r="E1936" s="6" t="s">
        <v>57</v>
      </c>
      <c r="F1936" s="6" t="s">
        <v>23</v>
      </c>
      <c r="G1936" s="6" t="s">
        <v>61</v>
      </c>
      <c r="H1936" s="6" t="s">
        <v>63</v>
      </c>
      <c r="I1936" s="6" t="str">
        <f aca="false">IF(A1936&lt;Outliers!$E$6,"Low",IF(A1936&gt;Outliers!$F$6,"High",""))</f>
        <v/>
      </c>
      <c r="J1936" s="6" t="str">
        <f aca="false">IF(B1936&lt;Outliers!$E$7,"Low",IF(B1936&gt;Outliers!$F$7,"High",""))</f>
        <v/>
      </c>
      <c r="K1936" s="6" t="str">
        <f aca="false">IF(C1936&lt;Outliers!$E$8,"Low",IF(C1936&gt;Outliers!$F$8,"High",""))</f>
        <v/>
      </c>
      <c r="L1936" s="6" t="str">
        <f aca="false">A1936&amp;";"&amp;B1936&amp;";"&amp;C1936</f>
        <v>23.65724079;88.54479121;29.0526291967369</v>
      </c>
      <c r="M1936" s="6" t="n">
        <f aca="false">IF(COUNTIF($L$2:$L$2201,L1936)&gt;1,1,0)</f>
        <v>0</v>
      </c>
      <c r="N1936" s="6" t="str">
        <f aca="false">IF(AND(C1936&lt;Assumptions!$B$9,B1936&lt;Assumptions!$B$10),"Irrigate Now",IF(AND(C1936&gt;=Assumptions!$B$11,B1936&gt;=Assumptions!$B$12),"No Irrigation Needed","Monitor"))</f>
        <v>Monitor</v>
      </c>
      <c r="O1936" s="6" t="n">
        <f aca="false">IF(N1936=G1936,1,0)</f>
        <v>1</v>
      </c>
    </row>
    <row r="1937" customFormat="false" ht="15" hidden="false" customHeight="false" outlineLevel="0" collapsed="false">
      <c r="A1937" s="16" t="n">
        <v>25.54359718</v>
      </c>
      <c r="B1937" s="16" t="n">
        <v>88.94245493</v>
      </c>
      <c r="C1937" s="16" t="n">
        <v>13.5346674854783</v>
      </c>
      <c r="D1937" s="6" t="s">
        <v>57</v>
      </c>
      <c r="E1937" s="6" t="s">
        <v>57</v>
      </c>
      <c r="F1937" s="6" t="s">
        <v>24</v>
      </c>
      <c r="G1937" s="6" t="s">
        <v>64</v>
      </c>
      <c r="H1937" s="6" t="s">
        <v>65</v>
      </c>
      <c r="I1937" s="6" t="str">
        <f aca="false">IF(A1937&lt;Outliers!$E$6,"Low",IF(A1937&gt;Outliers!$F$6,"High",""))</f>
        <v/>
      </c>
      <c r="J1937" s="6" t="str">
        <f aca="false">IF(B1937&lt;Outliers!$E$7,"Low",IF(B1937&gt;Outliers!$F$7,"High",""))</f>
        <v/>
      </c>
      <c r="K1937" s="6" t="str">
        <f aca="false">IF(C1937&lt;Outliers!$E$8,"Low",IF(C1937&gt;Outliers!$F$8,"High",""))</f>
        <v/>
      </c>
      <c r="L1937" s="6" t="str">
        <f aca="false">A1937&amp;";"&amp;B1937&amp;";"&amp;C1937</f>
        <v>25.54359718;88.94245493;13.5346674854783</v>
      </c>
      <c r="M1937" s="6" t="n">
        <f aca="false">IF(COUNTIF($L$2:$L$2201,L1937)&gt;1,1,0)</f>
        <v>0</v>
      </c>
      <c r="N1937" s="6" t="str">
        <f aca="false">IF(AND(C1937&lt;Assumptions!$B$9,B1937&lt;Assumptions!$B$10),"Irrigate Now",IF(AND(C1937&gt;=Assumptions!$B$11,B1937&gt;=Assumptions!$B$12),"No Irrigation Needed","Monitor"))</f>
        <v>Irrigate Now</v>
      </c>
      <c r="O1937" s="6" t="n">
        <f aca="false">IF(N1937=G1937,1,0)</f>
        <v>1</v>
      </c>
    </row>
    <row r="1938" customFormat="false" ht="15" hidden="false" customHeight="false" outlineLevel="0" collapsed="false">
      <c r="A1938" s="16" t="n">
        <v>22.00085141</v>
      </c>
      <c r="B1938" s="16" t="n">
        <v>90.42224164</v>
      </c>
      <c r="C1938" s="16" t="n">
        <v>23.3881977217633</v>
      </c>
      <c r="D1938" s="6" t="s">
        <v>57</v>
      </c>
      <c r="E1938" s="6" t="s">
        <v>57</v>
      </c>
      <c r="F1938" s="6" t="s">
        <v>60</v>
      </c>
      <c r="G1938" s="6" t="s">
        <v>61</v>
      </c>
      <c r="H1938" s="6" t="s">
        <v>63</v>
      </c>
      <c r="I1938" s="6" t="str">
        <f aca="false">IF(A1938&lt;Outliers!$E$6,"Low",IF(A1938&gt;Outliers!$F$6,"High",""))</f>
        <v/>
      </c>
      <c r="J1938" s="6" t="str">
        <f aca="false">IF(B1938&lt;Outliers!$E$7,"Low",IF(B1938&gt;Outliers!$F$7,"High",""))</f>
        <v/>
      </c>
      <c r="K1938" s="6" t="str">
        <f aca="false">IF(C1938&lt;Outliers!$E$8,"Low",IF(C1938&gt;Outliers!$F$8,"High",""))</f>
        <v/>
      </c>
      <c r="L1938" s="6" t="str">
        <f aca="false">A1938&amp;";"&amp;B1938&amp;";"&amp;C1938</f>
        <v>22.00085141;90.42224164;23.3881977217633</v>
      </c>
      <c r="M1938" s="6" t="n">
        <f aca="false">IF(COUNTIF($L$2:$L$2201,L1938)&gt;1,1,0)</f>
        <v>0</v>
      </c>
      <c r="N1938" s="6" t="str">
        <f aca="false">IF(AND(C1938&lt;Assumptions!$B$9,B1938&lt;Assumptions!$B$10),"Irrigate Now",IF(AND(C1938&gt;=Assumptions!$B$11,B1938&gt;=Assumptions!$B$12),"No Irrigation Needed","Monitor"))</f>
        <v>Monitor</v>
      </c>
      <c r="O1938" s="6" t="n">
        <f aca="false">IF(N1938=G1938,1,0)</f>
        <v>1</v>
      </c>
    </row>
    <row r="1939" customFormat="false" ht="15" hidden="false" customHeight="false" outlineLevel="0" collapsed="false">
      <c r="A1939" s="16" t="n">
        <v>23.64328417</v>
      </c>
      <c r="B1939" s="16" t="n">
        <v>80.96157332</v>
      </c>
      <c r="C1939" s="16" t="n">
        <v>25.7038434213358</v>
      </c>
      <c r="D1939" s="6" t="s">
        <v>57</v>
      </c>
      <c r="E1939" s="6" t="s">
        <v>57</v>
      </c>
      <c r="F1939" s="6" t="s">
        <v>23</v>
      </c>
      <c r="G1939" s="6" t="s">
        <v>61</v>
      </c>
      <c r="H1939" s="6" t="s">
        <v>63</v>
      </c>
      <c r="I1939" s="6" t="str">
        <f aca="false">IF(A1939&lt;Outliers!$E$6,"Low",IF(A1939&gt;Outliers!$F$6,"High",""))</f>
        <v/>
      </c>
      <c r="J1939" s="6" t="str">
        <f aca="false">IF(B1939&lt;Outliers!$E$7,"Low",IF(B1939&gt;Outliers!$F$7,"High",""))</f>
        <v/>
      </c>
      <c r="K1939" s="6" t="str">
        <f aca="false">IF(C1939&lt;Outliers!$E$8,"Low",IF(C1939&gt;Outliers!$F$8,"High",""))</f>
        <v/>
      </c>
      <c r="L1939" s="6" t="str">
        <f aca="false">A1939&amp;";"&amp;B1939&amp;";"&amp;C1939</f>
        <v>23.64328417;80.96157332;25.7038434213358</v>
      </c>
      <c r="M1939" s="6" t="n">
        <f aca="false">IF(COUNTIF($L$2:$L$2201,L1939)&gt;1,1,0)</f>
        <v>0</v>
      </c>
      <c r="N1939" s="6" t="str">
        <f aca="false">IF(AND(C1939&lt;Assumptions!$B$9,B1939&lt;Assumptions!$B$10),"Irrigate Now",IF(AND(C1939&gt;=Assumptions!$B$11,B1939&gt;=Assumptions!$B$12),"No Irrigation Needed","Monitor"))</f>
        <v>Monitor</v>
      </c>
      <c r="O1939" s="6" t="n">
        <f aca="false">IF(N1939=G1939,1,0)</f>
        <v>1</v>
      </c>
    </row>
    <row r="1940" customFormat="false" ht="15" hidden="false" customHeight="false" outlineLevel="0" collapsed="false">
      <c r="A1940" s="16" t="n">
        <v>23.96436009</v>
      </c>
      <c r="B1940" s="16" t="n">
        <v>84.63148859</v>
      </c>
      <c r="C1940" s="16" t="n">
        <v>24.6123503707498</v>
      </c>
      <c r="D1940" s="6" t="s">
        <v>57</v>
      </c>
      <c r="E1940" s="6" t="s">
        <v>57</v>
      </c>
      <c r="F1940" s="6" t="s">
        <v>23</v>
      </c>
      <c r="G1940" s="6" t="s">
        <v>61</v>
      </c>
      <c r="H1940" s="6" t="s">
        <v>63</v>
      </c>
      <c r="I1940" s="6" t="str">
        <f aca="false">IF(A1940&lt;Outliers!$E$6,"Low",IF(A1940&gt;Outliers!$F$6,"High",""))</f>
        <v/>
      </c>
      <c r="J1940" s="6" t="str">
        <f aca="false">IF(B1940&lt;Outliers!$E$7,"Low",IF(B1940&gt;Outliers!$F$7,"High",""))</f>
        <v/>
      </c>
      <c r="K1940" s="6" t="str">
        <f aca="false">IF(C1940&lt;Outliers!$E$8,"Low",IF(C1940&gt;Outliers!$F$8,"High",""))</f>
        <v/>
      </c>
      <c r="L1940" s="6" t="str">
        <f aca="false">A1940&amp;";"&amp;B1940&amp;";"&amp;C1940</f>
        <v>23.96436009;84.63148859;24.6123503707498</v>
      </c>
      <c r="M1940" s="6" t="n">
        <f aca="false">IF(COUNTIF($L$2:$L$2201,L1940)&gt;1,1,0)</f>
        <v>0</v>
      </c>
      <c r="N1940" s="6" t="str">
        <f aca="false">IF(AND(C1940&lt;Assumptions!$B$9,B1940&lt;Assumptions!$B$10),"Irrigate Now",IF(AND(C1940&gt;=Assumptions!$B$11,B1940&gt;=Assumptions!$B$12),"No Irrigation Needed","Monitor"))</f>
        <v>Monitor</v>
      </c>
      <c r="O1940" s="6" t="n">
        <f aca="false">IF(N1940=G1940,1,0)</f>
        <v>1</v>
      </c>
    </row>
    <row r="1941" customFormat="false" ht="15" hidden="false" customHeight="false" outlineLevel="0" collapsed="false">
      <c r="A1941" s="16" t="n">
        <v>24.65425757</v>
      </c>
      <c r="B1941" s="16" t="n">
        <v>61.82980133</v>
      </c>
      <c r="C1941" s="16" t="n">
        <v>23.945131298494</v>
      </c>
      <c r="D1941" s="6" t="s">
        <v>57</v>
      </c>
      <c r="E1941" s="6" t="s">
        <v>57</v>
      </c>
      <c r="F1941" s="6" t="s">
        <v>60</v>
      </c>
      <c r="G1941" s="6" t="s">
        <v>61</v>
      </c>
      <c r="H1941" s="6" t="s">
        <v>63</v>
      </c>
      <c r="I1941" s="6" t="str">
        <f aca="false">IF(A1941&lt;Outliers!$E$6,"Low",IF(A1941&gt;Outliers!$F$6,"High",""))</f>
        <v/>
      </c>
      <c r="J1941" s="6" t="str">
        <f aca="false">IF(B1941&lt;Outliers!$E$7,"Low",IF(B1941&gt;Outliers!$F$7,"High",""))</f>
        <v/>
      </c>
      <c r="K1941" s="6" t="str">
        <f aca="false">IF(C1941&lt;Outliers!$E$8,"Low",IF(C1941&gt;Outliers!$F$8,"High",""))</f>
        <v/>
      </c>
      <c r="L1941" s="6" t="str">
        <f aca="false">A1941&amp;";"&amp;B1941&amp;";"&amp;C1941</f>
        <v>24.65425757;61.82980133;23.945131298494</v>
      </c>
      <c r="M1941" s="6" t="n">
        <f aca="false">IF(COUNTIF($L$2:$L$2201,L1941)&gt;1,1,0)</f>
        <v>0</v>
      </c>
      <c r="N1941" s="6" t="str">
        <f aca="false">IF(AND(C1941&lt;Assumptions!$B$9,B1941&lt;Assumptions!$B$10),"Irrigate Now",IF(AND(C1941&gt;=Assumptions!$B$11,B1941&gt;=Assumptions!$B$12),"No Irrigation Needed","Monitor"))</f>
        <v>Monitor</v>
      </c>
      <c r="O1941" s="6" t="n">
        <f aca="false">IF(N1941=G1941,1,0)</f>
        <v>1</v>
      </c>
    </row>
    <row r="1942" customFormat="false" ht="15" hidden="false" customHeight="false" outlineLevel="0" collapsed="false">
      <c r="A1942" s="16" t="n">
        <v>24.3017998</v>
      </c>
      <c r="B1942" s="16" t="n">
        <v>65.0247867</v>
      </c>
      <c r="C1942" s="16" t="n">
        <v>10.893473198636</v>
      </c>
      <c r="D1942" s="6" t="s">
        <v>57</v>
      </c>
      <c r="E1942" s="6" t="s">
        <v>57</v>
      </c>
      <c r="F1942" s="6" t="s">
        <v>24</v>
      </c>
      <c r="G1942" s="6" t="s">
        <v>64</v>
      </c>
      <c r="H1942" s="6" t="s">
        <v>65</v>
      </c>
      <c r="I1942" s="6" t="str">
        <f aca="false">IF(A1942&lt;Outliers!$E$6,"Low",IF(A1942&gt;Outliers!$F$6,"High",""))</f>
        <v/>
      </c>
      <c r="J1942" s="6" t="str">
        <f aca="false">IF(B1942&lt;Outliers!$E$7,"Low",IF(B1942&gt;Outliers!$F$7,"High",""))</f>
        <v/>
      </c>
      <c r="K1942" s="6" t="str">
        <f aca="false">IF(C1942&lt;Outliers!$E$8,"Low",IF(C1942&gt;Outliers!$F$8,"High",""))</f>
        <v/>
      </c>
      <c r="L1942" s="6" t="str">
        <f aca="false">A1942&amp;";"&amp;B1942&amp;";"&amp;C1942</f>
        <v>24.3017998;65.0247867;10.893473198636</v>
      </c>
      <c r="M1942" s="6" t="n">
        <f aca="false">IF(COUNTIF($L$2:$L$2201,L1942)&gt;1,1,0)</f>
        <v>0</v>
      </c>
      <c r="N1942" s="6" t="str">
        <f aca="false">IF(AND(C1942&lt;Assumptions!$B$9,B1942&lt;Assumptions!$B$10),"Irrigate Now",IF(AND(C1942&gt;=Assumptions!$B$11,B1942&gt;=Assumptions!$B$12),"No Irrigation Needed","Monitor"))</f>
        <v>Irrigate Now</v>
      </c>
      <c r="O1942" s="6" t="n">
        <f aca="false">IF(N1942=G1942,1,0)</f>
        <v>1</v>
      </c>
    </row>
    <row r="1943" customFormat="false" ht="15" hidden="false" customHeight="false" outlineLevel="0" collapsed="false">
      <c r="A1943" s="16" t="n">
        <v>24.29144926</v>
      </c>
      <c r="B1943" s="16" t="n">
        <v>90.41694635</v>
      </c>
      <c r="C1943" s="16" t="n">
        <v>18.1656731374978</v>
      </c>
      <c r="D1943" s="6" t="s">
        <v>57</v>
      </c>
      <c r="E1943" s="6" t="s">
        <v>57</v>
      </c>
      <c r="F1943" s="6" t="s">
        <v>60</v>
      </c>
      <c r="G1943" s="6" t="s">
        <v>61</v>
      </c>
      <c r="H1943" s="6" t="s">
        <v>63</v>
      </c>
      <c r="I1943" s="6" t="str">
        <f aca="false">IF(A1943&lt;Outliers!$E$6,"Low",IF(A1943&gt;Outliers!$F$6,"High",""))</f>
        <v/>
      </c>
      <c r="J1943" s="6" t="str">
        <f aca="false">IF(B1943&lt;Outliers!$E$7,"Low",IF(B1943&gt;Outliers!$F$7,"High",""))</f>
        <v/>
      </c>
      <c r="K1943" s="6" t="str">
        <f aca="false">IF(C1943&lt;Outliers!$E$8,"Low",IF(C1943&gt;Outliers!$F$8,"High",""))</f>
        <v/>
      </c>
      <c r="L1943" s="6" t="str">
        <f aca="false">A1943&amp;";"&amp;B1943&amp;";"&amp;C1943</f>
        <v>24.29144926;90.41694635;18.1656731374978</v>
      </c>
      <c r="M1943" s="6" t="n">
        <f aca="false">IF(COUNTIF($L$2:$L$2201,L1943)&gt;1,1,0)</f>
        <v>0</v>
      </c>
      <c r="N1943" s="6" t="str">
        <f aca="false">IF(AND(C1943&lt;Assumptions!$B$9,B1943&lt;Assumptions!$B$10),"Irrigate Now",IF(AND(C1943&gt;=Assumptions!$B$11,B1943&gt;=Assumptions!$B$12),"No Irrigation Needed","Monitor"))</f>
        <v>Monitor</v>
      </c>
      <c r="O1943" s="6" t="n">
        <f aca="false">IF(N1943=G1943,1,0)</f>
        <v>1</v>
      </c>
    </row>
    <row r="1944" customFormat="false" ht="15" hidden="false" customHeight="false" outlineLevel="0" collapsed="false">
      <c r="A1944" s="16" t="n">
        <v>24.29470232</v>
      </c>
      <c r="B1944" s="16" t="n">
        <v>81.05902285</v>
      </c>
      <c r="C1944" s="16" t="n">
        <v>10.950341192921</v>
      </c>
      <c r="D1944" s="6" t="s">
        <v>57</v>
      </c>
      <c r="E1944" s="6" t="s">
        <v>57</v>
      </c>
      <c r="F1944" s="6" t="s">
        <v>24</v>
      </c>
      <c r="G1944" s="6" t="s">
        <v>64</v>
      </c>
      <c r="H1944" s="6" t="s">
        <v>65</v>
      </c>
      <c r="I1944" s="6" t="str">
        <f aca="false">IF(A1944&lt;Outliers!$E$6,"Low",IF(A1944&gt;Outliers!$F$6,"High",""))</f>
        <v/>
      </c>
      <c r="J1944" s="6" t="str">
        <f aca="false">IF(B1944&lt;Outliers!$E$7,"Low",IF(B1944&gt;Outliers!$F$7,"High",""))</f>
        <v/>
      </c>
      <c r="K1944" s="6" t="str">
        <f aca="false">IF(C1944&lt;Outliers!$E$8,"Low",IF(C1944&gt;Outliers!$F$8,"High",""))</f>
        <v/>
      </c>
      <c r="L1944" s="6" t="str">
        <f aca="false">A1944&amp;";"&amp;B1944&amp;";"&amp;C1944</f>
        <v>24.29470232;81.05902285;10.950341192921</v>
      </c>
      <c r="M1944" s="6" t="n">
        <f aca="false">IF(COUNTIF($L$2:$L$2201,L1944)&gt;1,1,0)</f>
        <v>0</v>
      </c>
      <c r="N1944" s="6" t="str">
        <f aca="false">IF(AND(C1944&lt;Assumptions!$B$9,B1944&lt;Assumptions!$B$10),"Irrigate Now",IF(AND(C1944&gt;=Assumptions!$B$11,B1944&gt;=Assumptions!$B$12),"No Irrigation Needed","Monitor"))</f>
        <v>Irrigate Now</v>
      </c>
      <c r="O1944" s="6" t="n">
        <f aca="false">IF(N1944=G1944,1,0)</f>
        <v>1</v>
      </c>
    </row>
    <row r="1945" customFormat="false" ht="15" hidden="false" customHeight="false" outlineLevel="0" collapsed="false">
      <c r="A1945" s="16" t="n">
        <v>25.72180042</v>
      </c>
      <c r="B1945" s="16" t="n">
        <v>99.93100821</v>
      </c>
      <c r="C1945" s="16" t="n">
        <v>12.3568224070386</v>
      </c>
      <c r="D1945" s="6" t="s">
        <v>57</v>
      </c>
      <c r="E1945" s="6" t="s">
        <v>57</v>
      </c>
      <c r="F1945" s="6" t="s">
        <v>24</v>
      </c>
      <c r="G1945" s="6" t="s">
        <v>64</v>
      </c>
      <c r="H1945" s="6" t="s">
        <v>65</v>
      </c>
      <c r="I1945" s="6" t="str">
        <f aca="false">IF(A1945&lt;Outliers!$E$6,"Low",IF(A1945&gt;Outliers!$F$6,"High",""))</f>
        <v/>
      </c>
      <c r="J1945" s="6" t="str">
        <f aca="false">IF(B1945&lt;Outliers!$E$7,"Low",IF(B1945&gt;Outliers!$F$7,"High",""))</f>
        <v/>
      </c>
      <c r="K1945" s="6" t="str">
        <f aca="false">IF(C1945&lt;Outliers!$E$8,"Low",IF(C1945&gt;Outliers!$F$8,"High",""))</f>
        <v/>
      </c>
      <c r="L1945" s="6" t="str">
        <f aca="false">A1945&amp;";"&amp;B1945&amp;";"&amp;C1945</f>
        <v>25.72180042;99.93100821;12.3568224070386</v>
      </c>
      <c r="M1945" s="6" t="n">
        <f aca="false">IF(COUNTIF($L$2:$L$2201,L1945)&gt;1,1,0)</f>
        <v>0</v>
      </c>
      <c r="N1945" s="6" t="str">
        <f aca="false">IF(AND(C1945&lt;Assumptions!$B$9,B1945&lt;Assumptions!$B$10),"Irrigate Now",IF(AND(C1945&gt;=Assumptions!$B$11,B1945&gt;=Assumptions!$B$12),"No Irrigation Needed","Monitor"))</f>
        <v>Irrigate Now</v>
      </c>
      <c r="O1945" s="6" t="n">
        <f aca="false">IF(N1945=G1945,1,0)</f>
        <v>1</v>
      </c>
    </row>
    <row r="1946" customFormat="false" ht="15" hidden="false" customHeight="false" outlineLevel="0" collapsed="false">
      <c r="A1946" s="16" t="n">
        <v>24.87663664</v>
      </c>
      <c r="B1946" s="16" t="n">
        <v>91.9223468</v>
      </c>
      <c r="C1946" s="16" t="n">
        <v>21.4281137167607</v>
      </c>
      <c r="D1946" s="6" t="s">
        <v>57</v>
      </c>
      <c r="E1946" s="6" t="s">
        <v>57</v>
      </c>
      <c r="F1946" s="6" t="s">
        <v>60</v>
      </c>
      <c r="G1946" s="6" t="s">
        <v>61</v>
      </c>
      <c r="H1946" s="6" t="s">
        <v>63</v>
      </c>
      <c r="I1946" s="6" t="str">
        <f aca="false">IF(A1946&lt;Outliers!$E$6,"Low",IF(A1946&gt;Outliers!$F$6,"High",""))</f>
        <v/>
      </c>
      <c r="J1946" s="6" t="str">
        <f aca="false">IF(B1946&lt;Outliers!$E$7,"Low",IF(B1946&gt;Outliers!$F$7,"High",""))</f>
        <v/>
      </c>
      <c r="K1946" s="6" t="str">
        <f aca="false">IF(C1946&lt;Outliers!$E$8,"Low",IF(C1946&gt;Outliers!$F$8,"High",""))</f>
        <v/>
      </c>
      <c r="L1946" s="6" t="str">
        <f aca="false">A1946&amp;";"&amp;B1946&amp;";"&amp;C1946</f>
        <v>24.87663664;91.9223468;21.4281137167607</v>
      </c>
      <c r="M1946" s="6" t="n">
        <f aca="false">IF(COUNTIF($L$2:$L$2201,L1946)&gt;1,1,0)</f>
        <v>0</v>
      </c>
      <c r="N1946" s="6" t="str">
        <f aca="false">IF(AND(C1946&lt;Assumptions!$B$9,B1946&lt;Assumptions!$B$10),"Irrigate Now",IF(AND(C1946&gt;=Assumptions!$B$11,B1946&gt;=Assumptions!$B$12),"No Irrigation Needed","Monitor"))</f>
        <v>Monitor</v>
      </c>
      <c r="O1946" s="6" t="n">
        <f aca="false">IF(N1946=G1946,1,0)</f>
        <v>1</v>
      </c>
    </row>
    <row r="1947" customFormat="false" ht="15" hidden="false" customHeight="false" outlineLevel="0" collapsed="false">
      <c r="A1947" s="16" t="n">
        <v>22.60612115</v>
      </c>
      <c r="B1947" s="16" t="n">
        <v>75.13617229</v>
      </c>
      <c r="C1947" s="16" t="n">
        <v>19.2059469383603</v>
      </c>
      <c r="D1947" s="6" t="s">
        <v>57</v>
      </c>
      <c r="E1947" s="6" t="s">
        <v>57</v>
      </c>
      <c r="F1947" s="6" t="s">
        <v>60</v>
      </c>
      <c r="G1947" s="6" t="s">
        <v>61</v>
      </c>
      <c r="H1947" s="6" t="s">
        <v>63</v>
      </c>
      <c r="I1947" s="6" t="str">
        <f aca="false">IF(A1947&lt;Outliers!$E$6,"Low",IF(A1947&gt;Outliers!$F$6,"High",""))</f>
        <v/>
      </c>
      <c r="J1947" s="6" t="str">
        <f aca="false">IF(B1947&lt;Outliers!$E$7,"Low",IF(B1947&gt;Outliers!$F$7,"High",""))</f>
        <v/>
      </c>
      <c r="K1947" s="6" t="str">
        <f aca="false">IF(C1947&lt;Outliers!$E$8,"Low",IF(C1947&gt;Outliers!$F$8,"High",""))</f>
        <v/>
      </c>
      <c r="L1947" s="6" t="str">
        <f aca="false">A1947&amp;";"&amp;B1947&amp;";"&amp;C1947</f>
        <v>22.60612115;75.13617229;19.2059469383603</v>
      </c>
      <c r="M1947" s="6" t="n">
        <f aca="false">IF(COUNTIF($L$2:$L$2201,L1947)&gt;1,1,0)</f>
        <v>0</v>
      </c>
      <c r="N1947" s="6" t="str">
        <f aca="false">IF(AND(C1947&lt;Assumptions!$B$9,B1947&lt;Assumptions!$B$10),"Irrigate Now",IF(AND(C1947&gt;=Assumptions!$B$11,B1947&gt;=Assumptions!$B$12),"No Irrigation Needed","Monitor"))</f>
        <v>Monitor</v>
      </c>
      <c r="O1947" s="6" t="n">
        <f aca="false">IF(N1947=G1947,1,0)</f>
        <v>1</v>
      </c>
    </row>
    <row r="1948" customFormat="false" ht="15" hidden="false" customHeight="false" outlineLevel="0" collapsed="false">
      <c r="A1948" s="16" t="n">
        <v>23.86814008</v>
      </c>
      <c r="B1948" s="16" t="n">
        <v>90.4547185</v>
      </c>
      <c r="C1948" s="16" t="n">
        <v>14.0774933844953</v>
      </c>
      <c r="D1948" s="6" t="s">
        <v>57</v>
      </c>
      <c r="E1948" s="6" t="s">
        <v>57</v>
      </c>
      <c r="F1948" s="6" t="s">
        <v>24</v>
      </c>
      <c r="G1948" s="6" t="s">
        <v>64</v>
      </c>
      <c r="H1948" s="6" t="s">
        <v>65</v>
      </c>
      <c r="I1948" s="6" t="str">
        <f aca="false">IF(A1948&lt;Outliers!$E$6,"Low",IF(A1948&gt;Outliers!$F$6,"High",""))</f>
        <v/>
      </c>
      <c r="J1948" s="6" t="str">
        <f aca="false">IF(B1948&lt;Outliers!$E$7,"Low",IF(B1948&gt;Outliers!$F$7,"High",""))</f>
        <v/>
      </c>
      <c r="K1948" s="6" t="str">
        <f aca="false">IF(C1948&lt;Outliers!$E$8,"Low",IF(C1948&gt;Outliers!$F$8,"High",""))</f>
        <v/>
      </c>
      <c r="L1948" s="6" t="str">
        <f aca="false">A1948&amp;";"&amp;B1948&amp;";"&amp;C1948</f>
        <v>23.86814008;90.4547185;14.0774933844953</v>
      </c>
      <c r="M1948" s="6" t="n">
        <f aca="false">IF(COUNTIF($L$2:$L$2201,L1948)&gt;1,1,0)</f>
        <v>0</v>
      </c>
      <c r="N1948" s="6" t="str">
        <f aca="false">IF(AND(C1948&lt;Assumptions!$B$9,B1948&lt;Assumptions!$B$10),"Irrigate Now",IF(AND(C1948&gt;=Assumptions!$B$11,B1948&gt;=Assumptions!$B$12),"No Irrigation Needed","Monitor"))</f>
        <v>Irrigate Now</v>
      </c>
      <c r="O1948" s="6" t="n">
        <f aca="false">IF(N1948=G1948,1,0)</f>
        <v>1</v>
      </c>
    </row>
    <row r="1949" customFormat="false" ht="15" hidden="false" customHeight="false" outlineLevel="0" collapsed="false">
      <c r="A1949" s="16" t="n">
        <v>23.41022496</v>
      </c>
      <c r="B1949" s="16" t="n">
        <v>78.82199603</v>
      </c>
      <c r="C1949" s="16" t="n">
        <v>22.9127038775555</v>
      </c>
      <c r="D1949" s="6" t="s">
        <v>57</v>
      </c>
      <c r="E1949" s="6" t="s">
        <v>57</v>
      </c>
      <c r="F1949" s="6" t="s">
        <v>60</v>
      </c>
      <c r="G1949" s="6" t="s">
        <v>61</v>
      </c>
      <c r="H1949" s="6" t="s">
        <v>63</v>
      </c>
      <c r="I1949" s="6" t="str">
        <f aca="false">IF(A1949&lt;Outliers!$E$6,"Low",IF(A1949&gt;Outliers!$F$6,"High",""))</f>
        <v/>
      </c>
      <c r="J1949" s="6" t="str">
        <f aca="false">IF(B1949&lt;Outliers!$E$7,"Low",IF(B1949&gt;Outliers!$F$7,"High",""))</f>
        <v/>
      </c>
      <c r="K1949" s="6" t="str">
        <f aca="false">IF(C1949&lt;Outliers!$E$8,"Low",IF(C1949&gt;Outliers!$F$8,"High",""))</f>
        <v/>
      </c>
      <c r="L1949" s="6" t="str">
        <f aca="false">A1949&amp;";"&amp;B1949&amp;";"&amp;C1949</f>
        <v>23.41022496;78.82199603;22.9127038775555</v>
      </c>
      <c r="M1949" s="6" t="n">
        <f aca="false">IF(COUNTIF($L$2:$L$2201,L1949)&gt;1,1,0)</f>
        <v>0</v>
      </c>
      <c r="N1949" s="6" t="str">
        <f aca="false">IF(AND(C1949&lt;Assumptions!$B$9,B1949&lt;Assumptions!$B$10),"Irrigate Now",IF(AND(C1949&gt;=Assumptions!$B$11,B1949&gt;=Assumptions!$B$12),"No Irrigation Needed","Monitor"))</f>
        <v>Monitor</v>
      </c>
      <c r="O1949" s="6" t="n">
        <f aca="false">IF(N1949=G1949,1,0)</f>
        <v>1</v>
      </c>
    </row>
    <row r="1950" customFormat="false" ht="15" hidden="false" customHeight="false" outlineLevel="0" collapsed="false">
      <c r="A1950" s="16" t="n">
        <v>24.96440768</v>
      </c>
      <c r="B1950" s="16" t="n">
        <v>80.03995829</v>
      </c>
      <c r="C1950" s="16" t="n">
        <v>21.0801000356804</v>
      </c>
      <c r="D1950" s="6" t="s">
        <v>57</v>
      </c>
      <c r="E1950" s="6" t="s">
        <v>57</v>
      </c>
      <c r="F1950" s="6" t="s">
        <v>60</v>
      </c>
      <c r="G1950" s="6" t="s">
        <v>61</v>
      </c>
      <c r="H1950" s="6" t="s">
        <v>63</v>
      </c>
      <c r="I1950" s="6" t="str">
        <f aca="false">IF(A1950&lt;Outliers!$E$6,"Low",IF(A1950&gt;Outliers!$F$6,"High",""))</f>
        <v/>
      </c>
      <c r="J1950" s="6" t="str">
        <f aca="false">IF(B1950&lt;Outliers!$E$7,"Low",IF(B1950&gt;Outliers!$F$7,"High",""))</f>
        <v/>
      </c>
      <c r="K1950" s="6" t="str">
        <f aca="false">IF(C1950&lt;Outliers!$E$8,"Low",IF(C1950&gt;Outliers!$F$8,"High",""))</f>
        <v/>
      </c>
      <c r="L1950" s="6" t="str">
        <f aca="false">A1950&amp;";"&amp;B1950&amp;";"&amp;C1950</f>
        <v>24.96440768;80.03995829;21.0801000356804</v>
      </c>
      <c r="M1950" s="6" t="n">
        <f aca="false">IF(COUNTIF($L$2:$L$2201,L1950)&gt;1,1,0)</f>
        <v>0</v>
      </c>
      <c r="N1950" s="6" t="str">
        <f aca="false">IF(AND(C1950&lt;Assumptions!$B$9,B1950&lt;Assumptions!$B$10),"Irrigate Now",IF(AND(C1950&gt;=Assumptions!$B$11,B1950&gt;=Assumptions!$B$12),"No Irrigation Needed","Monitor"))</f>
        <v>Monitor</v>
      </c>
      <c r="O1950" s="6" t="n">
        <f aca="false">IF(N1950=G1950,1,0)</f>
        <v>1</v>
      </c>
    </row>
    <row r="1951" customFormat="false" ht="15" hidden="false" customHeight="false" outlineLevel="0" collapsed="false">
      <c r="A1951" s="16" t="n">
        <v>25.16820129</v>
      </c>
      <c r="B1951" s="16" t="n">
        <v>84.62419032</v>
      </c>
      <c r="C1951" s="16" t="n">
        <v>16.4462647155403</v>
      </c>
      <c r="D1951" s="6" t="s">
        <v>57</v>
      </c>
      <c r="E1951" s="6" t="s">
        <v>57</v>
      </c>
      <c r="F1951" s="6" t="s">
        <v>24</v>
      </c>
      <c r="G1951" s="6" t="s">
        <v>64</v>
      </c>
      <c r="H1951" s="6" t="s">
        <v>65</v>
      </c>
      <c r="I1951" s="6" t="str">
        <f aca="false">IF(A1951&lt;Outliers!$E$6,"Low",IF(A1951&gt;Outliers!$F$6,"High",""))</f>
        <v/>
      </c>
      <c r="J1951" s="6" t="str">
        <f aca="false">IF(B1951&lt;Outliers!$E$7,"Low",IF(B1951&gt;Outliers!$F$7,"High",""))</f>
        <v/>
      </c>
      <c r="K1951" s="6" t="str">
        <f aca="false">IF(C1951&lt;Outliers!$E$8,"Low",IF(C1951&gt;Outliers!$F$8,"High",""))</f>
        <v/>
      </c>
      <c r="L1951" s="6" t="str">
        <f aca="false">A1951&amp;";"&amp;B1951&amp;";"&amp;C1951</f>
        <v>25.16820129;84.62419032;16.4462647155403</v>
      </c>
      <c r="M1951" s="6" t="n">
        <f aca="false">IF(COUNTIF($L$2:$L$2201,L1951)&gt;1,1,0)</f>
        <v>0</v>
      </c>
      <c r="N1951" s="6" t="str">
        <f aca="false">IF(AND(C1951&lt;Assumptions!$B$9,B1951&lt;Assumptions!$B$10),"Irrigate Now",IF(AND(C1951&gt;=Assumptions!$B$11,B1951&gt;=Assumptions!$B$12),"No Irrigation Needed","Monitor"))</f>
        <v>Irrigate Now</v>
      </c>
      <c r="O1951" s="6" t="n">
        <f aca="false">IF(N1951=G1951,1,0)</f>
        <v>1</v>
      </c>
    </row>
    <row r="1952" customFormat="false" ht="15" hidden="false" customHeight="false" outlineLevel="0" collapsed="false">
      <c r="A1952" s="16" t="n">
        <v>22.72767171</v>
      </c>
      <c r="B1952" s="16" t="n">
        <v>77.55176318</v>
      </c>
      <c r="C1952" s="16" t="n">
        <v>28.6514711141028</v>
      </c>
      <c r="D1952" s="6" t="s">
        <v>57</v>
      </c>
      <c r="E1952" s="6" t="s">
        <v>57</v>
      </c>
      <c r="F1952" s="6" t="s">
        <v>23</v>
      </c>
      <c r="G1952" s="6" t="s">
        <v>61</v>
      </c>
      <c r="H1952" s="6" t="s">
        <v>63</v>
      </c>
      <c r="I1952" s="6" t="str">
        <f aca="false">IF(A1952&lt;Outliers!$E$6,"Low",IF(A1952&gt;Outliers!$F$6,"High",""))</f>
        <v/>
      </c>
      <c r="J1952" s="6" t="str">
        <f aca="false">IF(B1952&lt;Outliers!$E$7,"Low",IF(B1952&gt;Outliers!$F$7,"High",""))</f>
        <v/>
      </c>
      <c r="K1952" s="6" t="str">
        <f aca="false">IF(C1952&lt;Outliers!$E$8,"Low",IF(C1952&gt;Outliers!$F$8,"High",""))</f>
        <v/>
      </c>
      <c r="L1952" s="6" t="str">
        <f aca="false">A1952&amp;";"&amp;B1952&amp;";"&amp;C1952</f>
        <v>22.72767171;77.55176318;28.6514711141028</v>
      </c>
      <c r="M1952" s="6" t="n">
        <f aca="false">IF(COUNTIF($L$2:$L$2201,L1952)&gt;1,1,0)</f>
        <v>0</v>
      </c>
      <c r="N1952" s="6" t="str">
        <f aca="false">IF(AND(C1952&lt;Assumptions!$B$9,B1952&lt;Assumptions!$B$10),"Irrigate Now",IF(AND(C1952&gt;=Assumptions!$B$11,B1952&gt;=Assumptions!$B$12),"No Irrigation Needed","Monitor"))</f>
        <v>Monitor</v>
      </c>
      <c r="O1952" s="6" t="n">
        <f aca="false">IF(N1952=G1952,1,0)</f>
        <v>1</v>
      </c>
    </row>
    <row r="1953" customFormat="false" ht="15" hidden="false" customHeight="false" outlineLevel="0" collapsed="false">
      <c r="A1953" s="16" t="n">
        <v>22.45145981</v>
      </c>
      <c r="B1953" s="16" t="n">
        <v>86.84998693</v>
      </c>
      <c r="C1953" s="16" t="n">
        <v>12.80884992818</v>
      </c>
      <c r="D1953" s="6" t="s">
        <v>57</v>
      </c>
      <c r="E1953" s="6" t="s">
        <v>57</v>
      </c>
      <c r="F1953" s="6" t="s">
        <v>24</v>
      </c>
      <c r="G1953" s="6" t="s">
        <v>64</v>
      </c>
      <c r="H1953" s="6" t="s">
        <v>65</v>
      </c>
      <c r="I1953" s="6" t="str">
        <f aca="false">IF(A1953&lt;Outliers!$E$6,"Low",IF(A1953&gt;Outliers!$F$6,"High",""))</f>
        <v/>
      </c>
      <c r="J1953" s="6" t="str">
        <f aca="false">IF(B1953&lt;Outliers!$E$7,"Low",IF(B1953&gt;Outliers!$F$7,"High",""))</f>
        <v/>
      </c>
      <c r="K1953" s="6" t="str">
        <f aca="false">IF(C1953&lt;Outliers!$E$8,"Low",IF(C1953&gt;Outliers!$F$8,"High",""))</f>
        <v/>
      </c>
      <c r="L1953" s="6" t="str">
        <f aca="false">A1953&amp;";"&amp;B1953&amp;";"&amp;C1953</f>
        <v>22.45145981;86.84998693;12.80884992818</v>
      </c>
      <c r="M1953" s="6" t="n">
        <f aca="false">IF(COUNTIF($L$2:$L$2201,L1953)&gt;1,1,0)</f>
        <v>0</v>
      </c>
      <c r="N1953" s="6" t="str">
        <f aca="false">IF(AND(C1953&lt;Assumptions!$B$9,B1953&lt;Assumptions!$B$10),"Irrigate Now",IF(AND(C1953&gt;=Assumptions!$B$11,B1953&gt;=Assumptions!$B$12),"No Irrigation Needed","Monitor"))</f>
        <v>Irrigate Now</v>
      </c>
      <c r="O1953" s="6" t="n">
        <f aca="false">IF(N1953=G1953,1,0)</f>
        <v>1</v>
      </c>
    </row>
    <row r="1954" customFormat="false" ht="15" hidden="false" customHeight="false" outlineLevel="0" collapsed="false">
      <c r="A1954" s="16" t="n">
        <v>23.04920461</v>
      </c>
      <c r="B1954" s="16" t="n">
        <v>70.65644296</v>
      </c>
      <c r="C1954" s="16" t="n">
        <v>13.8585471559767</v>
      </c>
      <c r="D1954" s="6" t="s">
        <v>57</v>
      </c>
      <c r="E1954" s="6" t="s">
        <v>57</v>
      </c>
      <c r="F1954" s="6" t="s">
        <v>24</v>
      </c>
      <c r="G1954" s="6" t="s">
        <v>64</v>
      </c>
      <c r="H1954" s="6" t="s">
        <v>65</v>
      </c>
      <c r="I1954" s="6" t="str">
        <f aca="false">IF(A1954&lt;Outliers!$E$6,"Low",IF(A1954&gt;Outliers!$F$6,"High",""))</f>
        <v/>
      </c>
      <c r="J1954" s="6" t="str">
        <f aca="false">IF(B1954&lt;Outliers!$E$7,"Low",IF(B1954&gt;Outliers!$F$7,"High",""))</f>
        <v/>
      </c>
      <c r="K1954" s="6" t="str">
        <f aca="false">IF(C1954&lt;Outliers!$E$8,"Low",IF(C1954&gt;Outliers!$F$8,"High",""))</f>
        <v/>
      </c>
      <c r="L1954" s="6" t="str">
        <f aca="false">A1954&amp;";"&amp;B1954&amp;";"&amp;C1954</f>
        <v>23.04920461;70.65644296;13.8585471559767</v>
      </c>
      <c r="M1954" s="6" t="n">
        <f aca="false">IF(COUNTIF($L$2:$L$2201,L1954)&gt;1,1,0)</f>
        <v>0</v>
      </c>
      <c r="N1954" s="6" t="str">
        <f aca="false">IF(AND(C1954&lt;Assumptions!$B$9,B1954&lt;Assumptions!$B$10),"Irrigate Now",IF(AND(C1954&gt;=Assumptions!$B$11,B1954&gt;=Assumptions!$B$12),"No Irrigation Needed","Monitor"))</f>
        <v>Irrigate Now</v>
      </c>
      <c r="O1954" s="6" t="n">
        <f aca="false">IF(N1954=G1954,1,0)</f>
        <v>1</v>
      </c>
    </row>
    <row r="1955" customFormat="false" ht="15" hidden="false" customHeight="false" outlineLevel="0" collapsed="false">
      <c r="A1955" s="16" t="n">
        <v>25.29250148</v>
      </c>
      <c r="B1955" s="16" t="n">
        <v>62.64174227</v>
      </c>
      <c r="C1955" s="16" t="n">
        <v>13.7504811848755</v>
      </c>
      <c r="D1955" s="6" t="s">
        <v>57</v>
      </c>
      <c r="E1955" s="6" t="s">
        <v>57</v>
      </c>
      <c r="F1955" s="6" t="s">
        <v>24</v>
      </c>
      <c r="G1955" s="6" t="s">
        <v>64</v>
      </c>
      <c r="H1955" s="6" t="s">
        <v>65</v>
      </c>
      <c r="I1955" s="6" t="str">
        <f aca="false">IF(A1955&lt;Outliers!$E$6,"Low",IF(A1955&gt;Outliers!$F$6,"High",""))</f>
        <v/>
      </c>
      <c r="J1955" s="6" t="str">
        <f aca="false">IF(B1955&lt;Outliers!$E$7,"Low",IF(B1955&gt;Outliers!$F$7,"High",""))</f>
        <v/>
      </c>
      <c r="K1955" s="6" t="str">
        <f aca="false">IF(C1955&lt;Outliers!$E$8,"Low",IF(C1955&gt;Outliers!$F$8,"High",""))</f>
        <v/>
      </c>
      <c r="L1955" s="6" t="str">
        <f aca="false">A1955&amp;";"&amp;B1955&amp;";"&amp;C1955</f>
        <v>25.29250148;62.64174227;13.7504811848755</v>
      </c>
      <c r="M1955" s="6" t="n">
        <f aca="false">IF(COUNTIF($L$2:$L$2201,L1955)&gt;1,1,0)</f>
        <v>0</v>
      </c>
      <c r="N1955" s="6" t="str">
        <f aca="false">IF(AND(C1955&lt;Assumptions!$B$9,B1955&lt;Assumptions!$B$10),"Irrigate Now",IF(AND(C1955&gt;=Assumptions!$B$11,B1955&gt;=Assumptions!$B$12),"No Irrigation Needed","Monitor"))</f>
        <v>Irrigate Now</v>
      </c>
      <c r="O1955" s="6" t="n">
        <f aca="false">IF(N1955=G1955,1,0)</f>
        <v>1</v>
      </c>
    </row>
    <row r="1956" customFormat="false" ht="15" hidden="false" customHeight="false" outlineLevel="0" collapsed="false">
      <c r="A1956" s="16" t="n">
        <v>22.95604064</v>
      </c>
      <c r="B1956" s="16" t="n">
        <v>66.48339303</v>
      </c>
      <c r="C1956" s="16" t="n">
        <v>28.1334058086097</v>
      </c>
      <c r="D1956" s="6" t="s">
        <v>57</v>
      </c>
      <c r="E1956" s="6" t="s">
        <v>57</v>
      </c>
      <c r="F1956" s="6" t="s">
        <v>23</v>
      </c>
      <c r="G1956" s="6" t="s">
        <v>61</v>
      </c>
      <c r="H1956" s="6" t="s">
        <v>63</v>
      </c>
      <c r="I1956" s="6" t="str">
        <f aca="false">IF(A1956&lt;Outliers!$E$6,"Low",IF(A1956&gt;Outliers!$F$6,"High",""))</f>
        <v/>
      </c>
      <c r="J1956" s="6" t="str">
        <f aca="false">IF(B1956&lt;Outliers!$E$7,"Low",IF(B1956&gt;Outliers!$F$7,"High",""))</f>
        <v/>
      </c>
      <c r="K1956" s="6" t="str">
        <f aca="false">IF(C1956&lt;Outliers!$E$8,"Low",IF(C1956&gt;Outliers!$F$8,"High",""))</f>
        <v/>
      </c>
      <c r="L1956" s="6" t="str">
        <f aca="false">A1956&amp;";"&amp;B1956&amp;";"&amp;C1956</f>
        <v>22.95604064;66.48339303;28.1334058086097</v>
      </c>
      <c r="M1956" s="6" t="n">
        <f aca="false">IF(COUNTIF($L$2:$L$2201,L1956)&gt;1,1,0)</f>
        <v>0</v>
      </c>
      <c r="N1956" s="6" t="str">
        <f aca="false">IF(AND(C1956&lt;Assumptions!$B$9,B1956&lt;Assumptions!$B$10),"Irrigate Now",IF(AND(C1956&gt;=Assumptions!$B$11,B1956&gt;=Assumptions!$B$12),"No Irrigation Needed","Monitor"))</f>
        <v>Monitor</v>
      </c>
      <c r="O1956" s="6" t="n">
        <f aca="false">IF(N1956=G1956,1,0)</f>
        <v>1</v>
      </c>
    </row>
    <row r="1957" customFormat="false" ht="15" hidden="false" customHeight="false" outlineLevel="0" collapsed="false">
      <c r="A1957" s="16" t="n">
        <v>22.80213132</v>
      </c>
      <c r="B1957" s="16" t="n">
        <v>91.6389565</v>
      </c>
      <c r="C1957" s="16" t="n">
        <v>23.5978659759414</v>
      </c>
      <c r="D1957" s="6" t="s">
        <v>57</v>
      </c>
      <c r="E1957" s="6" t="s">
        <v>57</v>
      </c>
      <c r="F1957" s="6" t="s">
        <v>60</v>
      </c>
      <c r="G1957" s="6" t="s">
        <v>61</v>
      </c>
      <c r="H1957" s="6" t="s">
        <v>63</v>
      </c>
      <c r="I1957" s="6" t="str">
        <f aca="false">IF(A1957&lt;Outliers!$E$6,"Low",IF(A1957&gt;Outliers!$F$6,"High",""))</f>
        <v/>
      </c>
      <c r="J1957" s="6" t="str">
        <f aca="false">IF(B1957&lt;Outliers!$E$7,"Low",IF(B1957&gt;Outliers!$F$7,"High",""))</f>
        <v/>
      </c>
      <c r="K1957" s="6" t="str">
        <f aca="false">IF(C1957&lt;Outliers!$E$8,"Low",IF(C1957&gt;Outliers!$F$8,"High",""))</f>
        <v/>
      </c>
      <c r="L1957" s="6" t="str">
        <f aca="false">A1957&amp;";"&amp;B1957&amp;";"&amp;C1957</f>
        <v>22.80213132;91.6389565;23.5978659759414</v>
      </c>
      <c r="M1957" s="6" t="n">
        <f aca="false">IF(COUNTIF($L$2:$L$2201,L1957)&gt;1,1,0)</f>
        <v>0</v>
      </c>
      <c r="N1957" s="6" t="str">
        <f aca="false">IF(AND(C1957&lt;Assumptions!$B$9,B1957&lt;Assumptions!$B$10),"Irrigate Now",IF(AND(C1957&gt;=Assumptions!$B$11,B1957&gt;=Assumptions!$B$12),"No Irrigation Needed","Monitor"))</f>
        <v>Monitor</v>
      </c>
      <c r="O1957" s="6" t="n">
        <f aca="false">IF(N1957=G1957,1,0)</f>
        <v>1</v>
      </c>
    </row>
    <row r="1958" customFormat="false" ht="15" hidden="false" customHeight="false" outlineLevel="0" collapsed="false">
      <c r="A1958" s="16" t="n">
        <v>23.54234715</v>
      </c>
      <c r="B1958" s="16" t="n">
        <v>84.12536744</v>
      </c>
      <c r="C1958" s="16" t="n">
        <v>18.496974931381</v>
      </c>
      <c r="D1958" s="6" t="s">
        <v>57</v>
      </c>
      <c r="E1958" s="6" t="s">
        <v>57</v>
      </c>
      <c r="F1958" s="6" t="s">
        <v>60</v>
      </c>
      <c r="G1958" s="6" t="s">
        <v>61</v>
      </c>
      <c r="H1958" s="6" t="s">
        <v>63</v>
      </c>
      <c r="I1958" s="6" t="str">
        <f aca="false">IF(A1958&lt;Outliers!$E$6,"Low",IF(A1958&gt;Outliers!$F$6,"High",""))</f>
        <v/>
      </c>
      <c r="J1958" s="6" t="str">
        <f aca="false">IF(B1958&lt;Outliers!$E$7,"Low",IF(B1958&gt;Outliers!$F$7,"High",""))</f>
        <v/>
      </c>
      <c r="K1958" s="6" t="str">
        <f aca="false">IF(C1958&lt;Outliers!$E$8,"Low",IF(C1958&gt;Outliers!$F$8,"High",""))</f>
        <v/>
      </c>
      <c r="L1958" s="6" t="str">
        <f aca="false">A1958&amp;";"&amp;B1958&amp;";"&amp;C1958</f>
        <v>23.54234715;84.12536744;18.496974931381</v>
      </c>
      <c r="M1958" s="6" t="n">
        <f aca="false">IF(COUNTIF($L$2:$L$2201,L1958)&gt;1,1,0)</f>
        <v>0</v>
      </c>
      <c r="N1958" s="6" t="str">
        <f aca="false">IF(AND(C1958&lt;Assumptions!$B$9,B1958&lt;Assumptions!$B$10),"Irrigate Now",IF(AND(C1958&gt;=Assumptions!$B$11,B1958&gt;=Assumptions!$B$12),"No Irrigation Needed","Monitor"))</f>
        <v>Monitor</v>
      </c>
      <c r="O1958" s="6" t="n">
        <f aca="false">IF(N1958=G1958,1,0)</f>
        <v>1</v>
      </c>
    </row>
    <row r="1959" customFormat="false" ht="15" hidden="false" customHeight="false" outlineLevel="0" collapsed="false">
      <c r="A1959" s="16" t="n">
        <v>24.41212325</v>
      </c>
      <c r="B1959" s="16" t="n">
        <v>98.60457373</v>
      </c>
      <c r="C1959" s="16" t="n">
        <v>25.6580795130643</v>
      </c>
      <c r="D1959" s="6" t="s">
        <v>57</v>
      </c>
      <c r="E1959" s="6" t="s">
        <v>57</v>
      </c>
      <c r="F1959" s="6" t="s">
        <v>23</v>
      </c>
      <c r="G1959" s="6" t="s">
        <v>61</v>
      </c>
      <c r="H1959" s="6" t="s">
        <v>63</v>
      </c>
      <c r="I1959" s="6" t="str">
        <f aca="false">IF(A1959&lt;Outliers!$E$6,"Low",IF(A1959&gt;Outliers!$F$6,"High",""))</f>
        <v/>
      </c>
      <c r="J1959" s="6" t="str">
        <f aca="false">IF(B1959&lt;Outliers!$E$7,"Low",IF(B1959&gt;Outliers!$F$7,"High",""))</f>
        <v/>
      </c>
      <c r="K1959" s="6" t="str">
        <f aca="false">IF(C1959&lt;Outliers!$E$8,"Low",IF(C1959&gt;Outliers!$F$8,"High",""))</f>
        <v/>
      </c>
      <c r="L1959" s="6" t="str">
        <f aca="false">A1959&amp;";"&amp;B1959&amp;";"&amp;C1959</f>
        <v>24.41212325;98.60457373;25.6580795130643</v>
      </c>
      <c r="M1959" s="6" t="n">
        <f aca="false">IF(COUNTIF($L$2:$L$2201,L1959)&gt;1,1,0)</f>
        <v>0</v>
      </c>
      <c r="N1959" s="6" t="str">
        <f aca="false">IF(AND(C1959&lt;Assumptions!$B$9,B1959&lt;Assumptions!$B$10),"Irrigate Now",IF(AND(C1959&gt;=Assumptions!$B$11,B1959&gt;=Assumptions!$B$12),"No Irrigation Needed","Monitor"))</f>
        <v>Monitor</v>
      </c>
      <c r="O1959" s="6" t="n">
        <f aca="false">IF(N1959=G1959,1,0)</f>
        <v>1</v>
      </c>
    </row>
    <row r="1960" customFormat="false" ht="15" hidden="false" customHeight="false" outlineLevel="0" collapsed="false">
      <c r="A1960" s="16" t="n">
        <v>22.94276687</v>
      </c>
      <c r="B1960" s="16" t="n">
        <v>67.08022574</v>
      </c>
      <c r="C1960" s="16" t="n">
        <v>11.2994445456468</v>
      </c>
      <c r="D1960" s="6" t="s">
        <v>57</v>
      </c>
      <c r="E1960" s="6" t="s">
        <v>57</v>
      </c>
      <c r="F1960" s="6" t="s">
        <v>24</v>
      </c>
      <c r="G1960" s="6" t="s">
        <v>64</v>
      </c>
      <c r="H1960" s="6" t="s">
        <v>65</v>
      </c>
      <c r="I1960" s="6" t="str">
        <f aca="false">IF(A1960&lt;Outliers!$E$6,"Low",IF(A1960&gt;Outliers!$F$6,"High",""))</f>
        <v/>
      </c>
      <c r="J1960" s="6" t="str">
        <f aca="false">IF(B1960&lt;Outliers!$E$7,"Low",IF(B1960&gt;Outliers!$F$7,"High",""))</f>
        <v/>
      </c>
      <c r="K1960" s="6" t="str">
        <f aca="false">IF(C1960&lt;Outliers!$E$8,"Low",IF(C1960&gt;Outliers!$F$8,"High",""))</f>
        <v/>
      </c>
      <c r="L1960" s="6" t="str">
        <f aca="false">A1960&amp;";"&amp;B1960&amp;";"&amp;C1960</f>
        <v>22.94276687;67.08022574;11.2994445456468</v>
      </c>
      <c r="M1960" s="6" t="n">
        <f aca="false">IF(COUNTIF($L$2:$L$2201,L1960)&gt;1,1,0)</f>
        <v>0</v>
      </c>
      <c r="N1960" s="6" t="str">
        <f aca="false">IF(AND(C1960&lt;Assumptions!$B$9,B1960&lt;Assumptions!$B$10),"Irrigate Now",IF(AND(C1960&gt;=Assumptions!$B$11,B1960&gt;=Assumptions!$B$12),"No Irrigation Needed","Monitor"))</f>
        <v>Irrigate Now</v>
      </c>
      <c r="O1960" s="6" t="n">
        <f aca="false">IF(N1960=G1960,1,0)</f>
        <v>1</v>
      </c>
    </row>
    <row r="1961" customFormat="false" ht="15" hidden="false" customHeight="false" outlineLevel="0" collapsed="false">
      <c r="A1961" s="16" t="n">
        <v>25.53676123</v>
      </c>
      <c r="B1961" s="16" t="n">
        <v>95.4262599</v>
      </c>
      <c r="C1961" s="16" t="n">
        <v>19.5373414901384</v>
      </c>
      <c r="D1961" s="6" t="s">
        <v>57</v>
      </c>
      <c r="E1961" s="6" t="s">
        <v>57</v>
      </c>
      <c r="F1961" s="6" t="s">
        <v>60</v>
      </c>
      <c r="G1961" s="6" t="s">
        <v>61</v>
      </c>
      <c r="H1961" s="6" t="s">
        <v>63</v>
      </c>
      <c r="I1961" s="6" t="str">
        <f aca="false">IF(A1961&lt;Outliers!$E$6,"Low",IF(A1961&gt;Outliers!$F$6,"High",""))</f>
        <v/>
      </c>
      <c r="J1961" s="6" t="str">
        <f aca="false">IF(B1961&lt;Outliers!$E$7,"Low",IF(B1961&gt;Outliers!$F$7,"High",""))</f>
        <v/>
      </c>
      <c r="K1961" s="6" t="str">
        <f aca="false">IF(C1961&lt;Outliers!$E$8,"Low",IF(C1961&gt;Outliers!$F$8,"High",""))</f>
        <v/>
      </c>
      <c r="L1961" s="6" t="str">
        <f aca="false">A1961&amp;";"&amp;B1961&amp;";"&amp;C1961</f>
        <v>25.53676123;95.4262599;19.5373414901384</v>
      </c>
      <c r="M1961" s="6" t="n">
        <f aca="false">IF(COUNTIF($L$2:$L$2201,L1961)&gt;1,1,0)</f>
        <v>0</v>
      </c>
      <c r="N1961" s="6" t="str">
        <f aca="false">IF(AND(C1961&lt;Assumptions!$B$9,B1961&lt;Assumptions!$B$10),"Irrigate Now",IF(AND(C1961&gt;=Assumptions!$B$11,B1961&gt;=Assumptions!$B$12),"No Irrigation Needed","Monitor"))</f>
        <v>Monitor</v>
      </c>
      <c r="O1961" s="6" t="n">
        <f aca="false">IF(N1961=G1961,1,0)</f>
        <v>1</v>
      </c>
    </row>
    <row r="1962" customFormat="false" ht="15" hidden="false" customHeight="false" outlineLevel="0" collapsed="false">
      <c r="A1962" s="16" t="n">
        <v>25.32023717</v>
      </c>
      <c r="B1962" s="16" t="n">
        <v>83.46532547</v>
      </c>
      <c r="C1962" s="16" t="n">
        <v>11.3688374561202</v>
      </c>
      <c r="D1962" s="6" t="s">
        <v>57</v>
      </c>
      <c r="E1962" s="6" t="s">
        <v>57</v>
      </c>
      <c r="F1962" s="6" t="s">
        <v>24</v>
      </c>
      <c r="G1962" s="6" t="s">
        <v>64</v>
      </c>
      <c r="H1962" s="6" t="s">
        <v>65</v>
      </c>
      <c r="I1962" s="6" t="str">
        <f aca="false">IF(A1962&lt;Outliers!$E$6,"Low",IF(A1962&gt;Outliers!$F$6,"High",""))</f>
        <v/>
      </c>
      <c r="J1962" s="6" t="str">
        <f aca="false">IF(B1962&lt;Outliers!$E$7,"Low",IF(B1962&gt;Outliers!$F$7,"High",""))</f>
        <v/>
      </c>
      <c r="K1962" s="6" t="str">
        <f aca="false">IF(C1962&lt;Outliers!$E$8,"Low",IF(C1962&gt;Outliers!$F$8,"High",""))</f>
        <v/>
      </c>
      <c r="L1962" s="6" t="str">
        <f aca="false">A1962&amp;";"&amp;B1962&amp;";"&amp;C1962</f>
        <v>25.32023717;83.46532547;11.3688374561202</v>
      </c>
      <c r="M1962" s="6" t="n">
        <f aca="false">IF(COUNTIF($L$2:$L$2201,L1962)&gt;1,1,0)</f>
        <v>0</v>
      </c>
      <c r="N1962" s="6" t="str">
        <f aca="false">IF(AND(C1962&lt;Assumptions!$B$9,B1962&lt;Assumptions!$B$10),"Irrigate Now",IF(AND(C1962&gt;=Assumptions!$B$11,B1962&gt;=Assumptions!$B$12),"No Irrigation Needed","Monitor"))</f>
        <v>Irrigate Now</v>
      </c>
      <c r="O1962" s="6" t="n">
        <f aca="false">IF(N1962=G1962,1,0)</f>
        <v>1</v>
      </c>
    </row>
    <row r="1963" customFormat="false" ht="15" hidden="false" customHeight="false" outlineLevel="0" collapsed="false">
      <c r="A1963" s="16" t="n">
        <v>22.426733</v>
      </c>
      <c r="B1963" s="16" t="n">
        <v>65.54475812</v>
      </c>
      <c r="C1963" s="16" t="n">
        <v>23.3958745495514</v>
      </c>
      <c r="D1963" s="6" t="s">
        <v>57</v>
      </c>
      <c r="E1963" s="6" t="s">
        <v>57</v>
      </c>
      <c r="F1963" s="6" t="s">
        <v>60</v>
      </c>
      <c r="G1963" s="6" t="s">
        <v>61</v>
      </c>
      <c r="H1963" s="6" t="s">
        <v>63</v>
      </c>
      <c r="I1963" s="6" t="str">
        <f aca="false">IF(A1963&lt;Outliers!$E$6,"Low",IF(A1963&gt;Outliers!$F$6,"High",""))</f>
        <v/>
      </c>
      <c r="J1963" s="6" t="str">
        <f aca="false">IF(B1963&lt;Outliers!$E$7,"Low",IF(B1963&gt;Outliers!$F$7,"High",""))</f>
        <v/>
      </c>
      <c r="K1963" s="6" t="str">
        <f aca="false">IF(C1963&lt;Outliers!$E$8,"Low",IF(C1963&gt;Outliers!$F$8,"High",""))</f>
        <v/>
      </c>
      <c r="L1963" s="6" t="str">
        <f aca="false">A1963&amp;";"&amp;B1963&amp;";"&amp;C1963</f>
        <v>22.426733;65.54475812;23.3958745495514</v>
      </c>
      <c r="M1963" s="6" t="n">
        <f aca="false">IF(COUNTIF($L$2:$L$2201,L1963)&gt;1,1,0)</f>
        <v>0</v>
      </c>
      <c r="N1963" s="6" t="str">
        <f aca="false">IF(AND(C1963&lt;Assumptions!$B$9,B1963&lt;Assumptions!$B$10),"Irrigate Now",IF(AND(C1963&gt;=Assumptions!$B$11,B1963&gt;=Assumptions!$B$12),"No Irrigation Needed","Monitor"))</f>
        <v>Monitor</v>
      </c>
      <c r="O1963" s="6" t="n">
        <f aca="false">IF(N1963=G1963,1,0)</f>
        <v>1</v>
      </c>
    </row>
    <row r="1964" customFormat="false" ht="15" hidden="false" customHeight="false" outlineLevel="0" collapsed="false">
      <c r="A1964" s="16" t="n">
        <v>25.78544484</v>
      </c>
      <c r="B1964" s="16" t="n">
        <v>91.39578861</v>
      </c>
      <c r="C1964" s="16" t="n">
        <v>16.9891441580848</v>
      </c>
      <c r="D1964" s="6" t="s">
        <v>57</v>
      </c>
      <c r="E1964" s="6" t="s">
        <v>57</v>
      </c>
      <c r="F1964" s="6" t="s">
        <v>24</v>
      </c>
      <c r="G1964" s="6" t="s">
        <v>64</v>
      </c>
      <c r="H1964" s="6" t="s">
        <v>65</v>
      </c>
      <c r="I1964" s="6" t="str">
        <f aca="false">IF(A1964&lt;Outliers!$E$6,"Low",IF(A1964&gt;Outliers!$F$6,"High",""))</f>
        <v/>
      </c>
      <c r="J1964" s="6" t="str">
        <f aca="false">IF(B1964&lt;Outliers!$E$7,"Low",IF(B1964&gt;Outliers!$F$7,"High",""))</f>
        <v/>
      </c>
      <c r="K1964" s="6" t="str">
        <f aca="false">IF(C1964&lt;Outliers!$E$8,"Low",IF(C1964&gt;Outliers!$F$8,"High",""))</f>
        <v/>
      </c>
      <c r="L1964" s="6" t="str">
        <f aca="false">A1964&amp;";"&amp;B1964&amp;";"&amp;C1964</f>
        <v>25.78544484;91.39578861;16.9891441580848</v>
      </c>
      <c r="M1964" s="6" t="n">
        <f aca="false">IF(COUNTIF($L$2:$L$2201,L1964)&gt;1,1,0)</f>
        <v>0</v>
      </c>
      <c r="N1964" s="6" t="str">
        <f aca="false">IF(AND(C1964&lt;Assumptions!$B$9,B1964&lt;Assumptions!$B$10),"Irrigate Now",IF(AND(C1964&gt;=Assumptions!$B$11,B1964&gt;=Assumptions!$B$12),"No Irrigation Needed","Monitor"))</f>
        <v>Irrigate Now</v>
      </c>
      <c r="O1964" s="6" t="n">
        <f aca="false">IF(N1964=G1964,1,0)</f>
        <v>1</v>
      </c>
    </row>
    <row r="1965" customFormat="false" ht="15" hidden="false" customHeight="false" outlineLevel="0" collapsed="false">
      <c r="A1965" s="16" t="n">
        <v>25.68959532</v>
      </c>
      <c r="B1965" s="16" t="n">
        <v>66.19426787</v>
      </c>
      <c r="C1965" s="16" t="n">
        <v>16.548476182736</v>
      </c>
      <c r="D1965" s="6" t="s">
        <v>57</v>
      </c>
      <c r="E1965" s="6" t="s">
        <v>57</v>
      </c>
      <c r="F1965" s="6" t="s">
        <v>24</v>
      </c>
      <c r="G1965" s="6" t="s">
        <v>64</v>
      </c>
      <c r="H1965" s="6" t="s">
        <v>65</v>
      </c>
      <c r="I1965" s="6" t="str">
        <f aca="false">IF(A1965&lt;Outliers!$E$6,"Low",IF(A1965&gt;Outliers!$F$6,"High",""))</f>
        <v/>
      </c>
      <c r="J1965" s="6" t="str">
        <f aca="false">IF(B1965&lt;Outliers!$E$7,"Low",IF(B1965&gt;Outliers!$F$7,"High",""))</f>
        <v/>
      </c>
      <c r="K1965" s="6" t="str">
        <f aca="false">IF(C1965&lt;Outliers!$E$8,"Low",IF(C1965&gt;Outliers!$F$8,"High",""))</f>
        <v/>
      </c>
      <c r="L1965" s="6" t="str">
        <f aca="false">A1965&amp;";"&amp;B1965&amp;";"&amp;C1965</f>
        <v>25.68959532;66.19426787;16.548476182736</v>
      </c>
      <c r="M1965" s="6" t="n">
        <f aca="false">IF(COUNTIF($L$2:$L$2201,L1965)&gt;1,1,0)</f>
        <v>0</v>
      </c>
      <c r="N1965" s="6" t="str">
        <f aca="false">IF(AND(C1965&lt;Assumptions!$B$9,B1965&lt;Assumptions!$B$10),"Irrigate Now",IF(AND(C1965&gt;=Assumptions!$B$11,B1965&gt;=Assumptions!$B$12),"No Irrigation Needed","Monitor"))</f>
        <v>Irrigate Now</v>
      </c>
      <c r="O1965" s="6" t="n">
        <f aca="false">IF(N1965=G1965,1,0)</f>
        <v>1</v>
      </c>
    </row>
    <row r="1966" customFormat="false" ht="15" hidden="false" customHeight="false" outlineLevel="0" collapsed="false">
      <c r="A1966" s="16" t="n">
        <v>22.14593688</v>
      </c>
      <c r="B1966" s="16" t="n">
        <v>60.65381719</v>
      </c>
      <c r="C1966" s="16" t="n">
        <v>17.9275257645186</v>
      </c>
      <c r="D1966" s="6" t="s">
        <v>57</v>
      </c>
      <c r="E1966" s="6" t="s">
        <v>57</v>
      </c>
      <c r="F1966" s="6" t="s">
        <v>24</v>
      </c>
      <c r="G1966" s="6" t="s">
        <v>64</v>
      </c>
      <c r="H1966" s="6" t="s">
        <v>65</v>
      </c>
      <c r="I1966" s="6" t="str">
        <f aca="false">IF(A1966&lt;Outliers!$E$6,"Low",IF(A1966&gt;Outliers!$F$6,"High",""))</f>
        <v/>
      </c>
      <c r="J1966" s="6" t="str">
        <f aca="false">IF(B1966&lt;Outliers!$E$7,"Low",IF(B1966&gt;Outliers!$F$7,"High",""))</f>
        <v/>
      </c>
      <c r="K1966" s="6" t="str">
        <f aca="false">IF(C1966&lt;Outliers!$E$8,"Low",IF(C1966&gt;Outliers!$F$8,"High",""))</f>
        <v/>
      </c>
      <c r="L1966" s="6" t="str">
        <f aca="false">A1966&amp;";"&amp;B1966&amp;";"&amp;C1966</f>
        <v>22.14593688;60.65381719;17.9275257645186</v>
      </c>
      <c r="M1966" s="6" t="n">
        <f aca="false">IF(COUNTIF($L$2:$L$2201,L1966)&gt;1,1,0)</f>
        <v>0</v>
      </c>
      <c r="N1966" s="6" t="str">
        <f aca="false">IF(AND(C1966&lt;Assumptions!$B$9,B1966&lt;Assumptions!$B$10),"Irrigate Now",IF(AND(C1966&gt;=Assumptions!$B$11,B1966&gt;=Assumptions!$B$12),"No Irrigation Needed","Monitor"))</f>
        <v>Irrigate Now</v>
      </c>
      <c r="O1966" s="6" t="n">
        <f aca="false">IF(N1966=G1966,1,0)</f>
        <v>1</v>
      </c>
    </row>
    <row r="1967" customFormat="false" ht="15" hidden="false" customHeight="false" outlineLevel="0" collapsed="false">
      <c r="A1967" s="16" t="n">
        <v>25.07278712</v>
      </c>
      <c r="B1967" s="16" t="n">
        <v>93.51042684</v>
      </c>
      <c r="C1967" s="16" t="n">
        <v>18.3928446869358</v>
      </c>
      <c r="D1967" s="6" t="s">
        <v>57</v>
      </c>
      <c r="E1967" s="6" t="s">
        <v>57</v>
      </c>
      <c r="F1967" s="6" t="s">
        <v>60</v>
      </c>
      <c r="G1967" s="6" t="s">
        <v>61</v>
      </c>
      <c r="H1967" s="6" t="s">
        <v>63</v>
      </c>
      <c r="I1967" s="6" t="str">
        <f aca="false">IF(A1967&lt;Outliers!$E$6,"Low",IF(A1967&gt;Outliers!$F$6,"High",""))</f>
        <v/>
      </c>
      <c r="J1967" s="6" t="str">
        <f aca="false">IF(B1967&lt;Outliers!$E$7,"Low",IF(B1967&gt;Outliers!$F$7,"High",""))</f>
        <v/>
      </c>
      <c r="K1967" s="6" t="str">
        <f aca="false">IF(C1967&lt;Outliers!$E$8,"Low",IF(C1967&gt;Outliers!$F$8,"High",""))</f>
        <v/>
      </c>
      <c r="L1967" s="6" t="str">
        <f aca="false">A1967&amp;";"&amp;B1967&amp;";"&amp;C1967</f>
        <v>25.07278712;93.51042684;18.3928446869358</v>
      </c>
      <c r="M1967" s="6" t="n">
        <f aca="false">IF(COUNTIF($L$2:$L$2201,L1967)&gt;1,1,0)</f>
        <v>0</v>
      </c>
      <c r="N1967" s="6" t="str">
        <f aca="false">IF(AND(C1967&lt;Assumptions!$B$9,B1967&lt;Assumptions!$B$10),"Irrigate Now",IF(AND(C1967&gt;=Assumptions!$B$11,B1967&gt;=Assumptions!$B$12),"No Irrigation Needed","Monitor"))</f>
        <v>Monitor</v>
      </c>
      <c r="O1967" s="6" t="n">
        <f aca="false">IF(N1967=G1967,1,0)</f>
        <v>1</v>
      </c>
    </row>
    <row r="1968" customFormat="false" ht="15" hidden="false" customHeight="false" outlineLevel="0" collapsed="false">
      <c r="A1968" s="16" t="n">
        <v>22.21506982</v>
      </c>
      <c r="B1968" s="16" t="n">
        <v>70.40557612</v>
      </c>
      <c r="C1968" s="16" t="n">
        <v>28.2878550159303</v>
      </c>
      <c r="D1968" s="6" t="s">
        <v>57</v>
      </c>
      <c r="E1968" s="6" t="s">
        <v>57</v>
      </c>
      <c r="F1968" s="6" t="s">
        <v>23</v>
      </c>
      <c r="G1968" s="6" t="s">
        <v>61</v>
      </c>
      <c r="H1968" s="6" t="s">
        <v>63</v>
      </c>
      <c r="I1968" s="6" t="str">
        <f aca="false">IF(A1968&lt;Outliers!$E$6,"Low",IF(A1968&gt;Outliers!$F$6,"High",""))</f>
        <v/>
      </c>
      <c r="J1968" s="6" t="str">
        <f aca="false">IF(B1968&lt;Outliers!$E$7,"Low",IF(B1968&gt;Outliers!$F$7,"High",""))</f>
        <v/>
      </c>
      <c r="K1968" s="6" t="str">
        <f aca="false">IF(C1968&lt;Outliers!$E$8,"Low",IF(C1968&gt;Outliers!$F$8,"High",""))</f>
        <v/>
      </c>
      <c r="L1968" s="6" t="str">
        <f aca="false">A1968&amp;";"&amp;B1968&amp;";"&amp;C1968</f>
        <v>22.21506982;70.40557612;28.2878550159303</v>
      </c>
      <c r="M1968" s="6" t="n">
        <f aca="false">IF(COUNTIF($L$2:$L$2201,L1968)&gt;1,1,0)</f>
        <v>0</v>
      </c>
      <c r="N1968" s="6" t="str">
        <f aca="false">IF(AND(C1968&lt;Assumptions!$B$9,B1968&lt;Assumptions!$B$10),"Irrigate Now",IF(AND(C1968&gt;=Assumptions!$B$11,B1968&gt;=Assumptions!$B$12),"No Irrigation Needed","Monitor"))</f>
        <v>Monitor</v>
      </c>
      <c r="O1968" s="6" t="n">
        <f aca="false">IF(N1968=G1968,1,0)</f>
        <v>1</v>
      </c>
    </row>
    <row r="1969" customFormat="false" ht="15" hidden="false" customHeight="false" outlineLevel="0" collapsed="false">
      <c r="A1969" s="16" t="n">
        <v>23.9643129</v>
      </c>
      <c r="B1969" s="16" t="n">
        <v>76.13090645</v>
      </c>
      <c r="C1969" s="16" t="n">
        <v>20.189868918154</v>
      </c>
      <c r="D1969" s="6" t="s">
        <v>57</v>
      </c>
      <c r="E1969" s="6" t="s">
        <v>57</v>
      </c>
      <c r="F1969" s="6" t="s">
        <v>60</v>
      </c>
      <c r="G1969" s="6" t="s">
        <v>61</v>
      </c>
      <c r="H1969" s="6" t="s">
        <v>63</v>
      </c>
      <c r="I1969" s="6" t="str">
        <f aca="false">IF(A1969&lt;Outliers!$E$6,"Low",IF(A1969&gt;Outliers!$F$6,"High",""))</f>
        <v/>
      </c>
      <c r="J1969" s="6" t="str">
        <f aca="false">IF(B1969&lt;Outliers!$E$7,"Low",IF(B1969&gt;Outliers!$F$7,"High",""))</f>
        <v/>
      </c>
      <c r="K1969" s="6" t="str">
        <f aca="false">IF(C1969&lt;Outliers!$E$8,"Low",IF(C1969&gt;Outliers!$F$8,"High",""))</f>
        <v/>
      </c>
      <c r="L1969" s="6" t="str">
        <f aca="false">A1969&amp;";"&amp;B1969&amp;";"&amp;C1969</f>
        <v>23.9643129;76.13090645;20.189868918154</v>
      </c>
      <c r="M1969" s="6" t="n">
        <f aca="false">IF(COUNTIF($L$2:$L$2201,L1969)&gt;1,1,0)</f>
        <v>0</v>
      </c>
      <c r="N1969" s="6" t="str">
        <f aca="false">IF(AND(C1969&lt;Assumptions!$B$9,B1969&lt;Assumptions!$B$10),"Irrigate Now",IF(AND(C1969&gt;=Assumptions!$B$11,B1969&gt;=Assumptions!$B$12),"No Irrigation Needed","Monitor"))</f>
        <v>Monitor</v>
      </c>
      <c r="O1969" s="6" t="n">
        <f aca="false">IF(N1969=G1969,1,0)</f>
        <v>1</v>
      </c>
    </row>
    <row r="1970" customFormat="false" ht="15" hidden="false" customHeight="false" outlineLevel="0" collapsed="false">
      <c r="A1970" s="16" t="n">
        <v>25.40059227</v>
      </c>
      <c r="B1970" s="16" t="n">
        <v>62.5138867</v>
      </c>
      <c r="C1970" s="16" t="n">
        <v>24.2283119730292</v>
      </c>
      <c r="D1970" s="6" t="s">
        <v>57</v>
      </c>
      <c r="E1970" s="6" t="s">
        <v>57</v>
      </c>
      <c r="F1970" s="6" t="s">
        <v>60</v>
      </c>
      <c r="G1970" s="6" t="s">
        <v>61</v>
      </c>
      <c r="H1970" s="6" t="s">
        <v>63</v>
      </c>
      <c r="I1970" s="6" t="str">
        <f aca="false">IF(A1970&lt;Outliers!$E$6,"Low",IF(A1970&gt;Outliers!$F$6,"High",""))</f>
        <v/>
      </c>
      <c r="J1970" s="6" t="str">
        <f aca="false">IF(B1970&lt;Outliers!$E$7,"Low",IF(B1970&gt;Outliers!$F$7,"High",""))</f>
        <v/>
      </c>
      <c r="K1970" s="6" t="str">
        <f aca="false">IF(C1970&lt;Outliers!$E$8,"Low",IF(C1970&gt;Outliers!$F$8,"High",""))</f>
        <v/>
      </c>
      <c r="L1970" s="6" t="str">
        <f aca="false">A1970&amp;";"&amp;B1970&amp;";"&amp;C1970</f>
        <v>25.40059227;62.5138867;24.2283119730292</v>
      </c>
      <c r="M1970" s="6" t="n">
        <f aca="false">IF(COUNTIF($L$2:$L$2201,L1970)&gt;1,1,0)</f>
        <v>0</v>
      </c>
      <c r="N1970" s="6" t="str">
        <f aca="false">IF(AND(C1970&lt;Assumptions!$B$9,B1970&lt;Assumptions!$B$10),"Irrigate Now",IF(AND(C1970&gt;=Assumptions!$B$11,B1970&gt;=Assumptions!$B$12),"No Irrigation Needed","Monitor"))</f>
        <v>Monitor</v>
      </c>
      <c r="O1970" s="6" t="n">
        <f aca="false">IF(N1970=G1970,1,0)</f>
        <v>1</v>
      </c>
    </row>
    <row r="1971" customFormat="false" ht="15" hidden="false" customHeight="false" outlineLevel="0" collapsed="false">
      <c r="A1971" s="16" t="n">
        <v>23.7805123</v>
      </c>
      <c r="B1971" s="16" t="n">
        <v>66.26555904</v>
      </c>
      <c r="C1971" s="16" t="n">
        <v>28.1770922800001</v>
      </c>
      <c r="D1971" s="6" t="s">
        <v>57</v>
      </c>
      <c r="E1971" s="6" t="s">
        <v>57</v>
      </c>
      <c r="F1971" s="6" t="s">
        <v>23</v>
      </c>
      <c r="G1971" s="6" t="s">
        <v>61</v>
      </c>
      <c r="H1971" s="6" t="s">
        <v>63</v>
      </c>
      <c r="I1971" s="6" t="str">
        <f aca="false">IF(A1971&lt;Outliers!$E$6,"Low",IF(A1971&gt;Outliers!$F$6,"High",""))</f>
        <v/>
      </c>
      <c r="J1971" s="6" t="str">
        <f aca="false">IF(B1971&lt;Outliers!$E$7,"Low",IF(B1971&gt;Outliers!$F$7,"High",""))</f>
        <v/>
      </c>
      <c r="K1971" s="6" t="str">
        <f aca="false">IF(C1971&lt;Outliers!$E$8,"Low",IF(C1971&gt;Outliers!$F$8,"High",""))</f>
        <v/>
      </c>
      <c r="L1971" s="6" t="str">
        <f aca="false">A1971&amp;";"&amp;B1971&amp;";"&amp;C1971</f>
        <v>23.7805123;66.26555904;28.1770922800001</v>
      </c>
      <c r="M1971" s="6" t="n">
        <f aca="false">IF(COUNTIF($L$2:$L$2201,L1971)&gt;1,1,0)</f>
        <v>0</v>
      </c>
      <c r="N1971" s="6" t="str">
        <f aca="false">IF(AND(C1971&lt;Assumptions!$B$9,B1971&lt;Assumptions!$B$10),"Irrigate Now",IF(AND(C1971&gt;=Assumptions!$B$11,B1971&gt;=Assumptions!$B$12),"No Irrigation Needed","Monitor"))</f>
        <v>Monitor</v>
      </c>
      <c r="O1971" s="6" t="n">
        <f aca="false">IF(N1971=G1971,1,0)</f>
        <v>1</v>
      </c>
    </row>
    <row r="1972" customFormat="false" ht="15" hidden="false" customHeight="false" outlineLevel="0" collapsed="false">
      <c r="A1972" s="16" t="n">
        <v>24.16402322</v>
      </c>
      <c r="B1972" s="16" t="n">
        <v>61.94626051</v>
      </c>
      <c r="C1972" s="16" t="n">
        <v>19.8964683005642</v>
      </c>
      <c r="D1972" s="6" t="s">
        <v>57</v>
      </c>
      <c r="E1972" s="6" t="s">
        <v>57</v>
      </c>
      <c r="F1972" s="6" t="s">
        <v>60</v>
      </c>
      <c r="G1972" s="6" t="s">
        <v>61</v>
      </c>
      <c r="H1972" s="6" t="s">
        <v>63</v>
      </c>
      <c r="I1972" s="6" t="str">
        <f aca="false">IF(A1972&lt;Outliers!$E$6,"Low",IF(A1972&gt;Outliers!$F$6,"High",""))</f>
        <v/>
      </c>
      <c r="J1972" s="6" t="str">
        <f aca="false">IF(B1972&lt;Outliers!$E$7,"Low",IF(B1972&gt;Outliers!$F$7,"High",""))</f>
        <v/>
      </c>
      <c r="K1972" s="6" t="str">
        <f aca="false">IF(C1972&lt;Outliers!$E$8,"Low",IF(C1972&gt;Outliers!$F$8,"High",""))</f>
        <v/>
      </c>
      <c r="L1972" s="6" t="str">
        <f aca="false">A1972&amp;";"&amp;B1972&amp;";"&amp;C1972</f>
        <v>24.16402322;61.94626051;19.8964683005642</v>
      </c>
      <c r="M1972" s="6" t="n">
        <f aca="false">IF(COUNTIF($L$2:$L$2201,L1972)&gt;1,1,0)</f>
        <v>0</v>
      </c>
      <c r="N1972" s="6" t="str">
        <f aca="false">IF(AND(C1972&lt;Assumptions!$B$9,B1972&lt;Assumptions!$B$10),"Irrigate Now",IF(AND(C1972&gt;=Assumptions!$B$11,B1972&gt;=Assumptions!$B$12),"No Irrigation Needed","Monitor"))</f>
        <v>Monitor</v>
      </c>
      <c r="O1972" s="6" t="n">
        <f aca="false">IF(N1972=G1972,1,0)</f>
        <v>1</v>
      </c>
    </row>
    <row r="1973" customFormat="false" ht="15" hidden="false" customHeight="false" outlineLevel="0" collapsed="false">
      <c r="A1973" s="16" t="n">
        <v>25.31468463</v>
      </c>
      <c r="B1973" s="16" t="n">
        <v>72.82902109</v>
      </c>
      <c r="C1973" s="16" t="n">
        <v>18.1786187139122</v>
      </c>
      <c r="D1973" s="6" t="s">
        <v>57</v>
      </c>
      <c r="E1973" s="6" t="s">
        <v>57</v>
      </c>
      <c r="F1973" s="6" t="s">
        <v>24</v>
      </c>
      <c r="G1973" s="6" t="s">
        <v>61</v>
      </c>
      <c r="H1973" s="6" t="s">
        <v>63</v>
      </c>
      <c r="I1973" s="6" t="str">
        <f aca="false">IF(A1973&lt;Outliers!$E$6,"Low",IF(A1973&gt;Outliers!$F$6,"High",""))</f>
        <v/>
      </c>
      <c r="J1973" s="6" t="str">
        <f aca="false">IF(B1973&lt;Outliers!$E$7,"Low",IF(B1973&gt;Outliers!$F$7,"High",""))</f>
        <v/>
      </c>
      <c r="K1973" s="6" t="str">
        <f aca="false">IF(C1973&lt;Outliers!$E$8,"Low",IF(C1973&gt;Outliers!$F$8,"High",""))</f>
        <v/>
      </c>
      <c r="L1973" s="6" t="str">
        <f aca="false">A1973&amp;";"&amp;B1973&amp;";"&amp;C1973</f>
        <v>25.31468463;72.82902109;18.1786187139122</v>
      </c>
      <c r="M1973" s="6" t="n">
        <f aca="false">IF(COUNTIF($L$2:$L$2201,L1973)&gt;1,1,0)</f>
        <v>0</v>
      </c>
      <c r="N1973" s="6" t="str">
        <f aca="false">IF(AND(C1973&lt;Assumptions!$B$9,B1973&lt;Assumptions!$B$10),"Irrigate Now",IF(AND(C1973&gt;=Assumptions!$B$11,B1973&gt;=Assumptions!$B$12),"No Irrigation Needed","Monitor"))</f>
        <v>Monitor</v>
      </c>
      <c r="O1973" s="6" t="n">
        <f aca="false">IF(N1973=G1973,1,0)</f>
        <v>1</v>
      </c>
    </row>
    <row r="1974" customFormat="false" ht="15" hidden="false" customHeight="false" outlineLevel="0" collapsed="false">
      <c r="A1974" s="16" t="n">
        <v>22.60361557</v>
      </c>
      <c r="B1974" s="16" t="n">
        <v>88.57395505</v>
      </c>
      <c r="C1974" s="16" t="n">
        <v>25.0651824624288</v>
      </c>
      <c r="D1974" s="6" t="s">
        <v>57</v>
      </c>
      <c r="E1974" s="6" t="s">
        <v>57</v>
      </c>
      <c r="F1974" s="6" t="s">
        <v>23</v>
      </c>
      <c r="G1974" s="6" t="s">
        <v>61</v>
      </c>
      <c r="H1974" s="6" t="s">
        <v>63</v>
      </c>
      <c r="I1974" s="6" t="str">
        <f aca="false">IF(A1974&lt;Outliers!$E$6,"Low",IF(A1974&gt;Outliers!$F$6,"High",""))</f>
        <v/>
      </c>
      <c r="J1974" s="6" t="str">
        <f aca="false">IF(B1974&lt;Outliers!$E$7,"Low",IF(B1974&gt;Outliers!$F$7,"High",""))</f>
        <v/>
      </c>
      <c r="K1974" s="6" t="str">
        <f aca="false">IF(C1974&lt;Outliers!$E$8,"Low",IF(C1974&gt;Outliers!$F$8,"High",""))</f>
        <v/>
      </c>
      <c r="L1974" s="6" t="str">
        <f aca="false">A1974&amp;";"&amp;B1974&amp;";"&amp;C1974</f>
        <v>22.60361557;88.57395505;25.0651824624288</v>
      </c>
      <c r="M1974" s="6" t="n">
        <f aca="false">IF(COUNTIF($L$2:$L$2201,L1974)&gt;1,1,0)</f>
        <v>0</v>
      </c>
      <c r="N1974" s="6" t="str">
        <f aca="false">IF(AND(C1974&lt;Assumptions!$B$9,B1974&lt;Assumptions!$B$10),"Irrigate Now",IF(AND(C1974&gt;=Assumptions!$B$11,B1974&gt;=Assumptions!$B$12),"No Irrigation Needed","Monitor"))</f>
        <v>Monitor</v>
      </c>
      <c r="O1974" s="6" t="n">
        <f aca="false">IF(N1974=G1974,1,0)</f>
        <v>1</v>
      </c>
    </row>
    <row r="1975" customFormat="false" ht="15" hidden="false" customHeight="false" outlineLevel="0" collapsed="false">
      <c r="A1975" s="16" t="n">
        <v>22.9535715</v>
      </c>
      <c r="B1975" s="16" t="n">
        <v>99.75336197</v>
      </c>
      <c r="C1975" s="16" t="n">
        <v>25.7662882753802</v>
      </c>
      <c r="D1975" s="6" t="s">
        <v>57</v>
      </c>
      <c r="E1975" s="6" t="s">
        <v>57</v>
      </c>
      <c r="F1975" s="6" t="s">
        <v>23</v>
      </c>
      <c r="G1975" s="6" t="s">
        <v>61</v>
      </c>
      <c r="H1975" s="6" t="s">
        <v>63</v>
      </c>
      <c r="I1975" s="6" t="str">
        <f aca="false">IF(A1975&lt;Outliers!$E$6,"Low",IF(A1975&gt;Outliers!$F$6,"High",""))</f>
        <v/>
      </c>
      <c r="J1975" s="6" t="str">
        <f aca="false">IF(B1975&lt;Outliers!$E$7,"Low",IF(B1975&gt;Outliers!$F$7,"High",""))</f>
        <v/>
      </c>
      <c r="K1975" s="6" t="str">
        <f aca="false">IF(C1975&lt;Outliers!$E$8,"Low",IF(C1975&gt;Outliers!$F$8,"High",""))</f>
        <v/>
      </c>
      <c r="L1975" s="6" t="str">
        <f aca="false">A1975&amp;";"&amp;B1975&amp;";"&amp;C1975</f>
        <v>22.9535715;99.75336197;25.7662882753802</v>
      </c>
      <c r="M1975" s="6" t="n">
        <f aca="false">IF(COUNTIF($L$2:$L$2201,L1975)&gt;1,1,0)</f>
        <v>0</v>
      </c>
      <c r="N1975" s="6" t="str">
        <f aca="false">IF(AND(C1975&lt;Assumptions!$B$9,B1975&lt;Assumptions!$B$10),"Irrigate Now",IF(AND(C1975&gt;=Assumptions!$B$11,B1975&gt;=Assumptions!$B$12),"No Irrigation Needed","Monitor"))</f>
        <v>Monitor</v>
      </c>
      <c r="O1975" s="6" t="n">
        <f aca="false">IF(N1975=G1975,1,0)</f>
        <v>1</v>
      </c>
    </row>
    <row r="1976" customFormat="false" ht="15" hidden="false" customHeight="false" outlineLevel="0" collapsed="false">
      <c r="A1976" s="16" t="n">
        <v>22.74446976</v>
      </c>
      <c r="B1976" s="16" t="n">
        <v>90.07326633</v>
      </c>
      <c r="C1976" s="16" t="n">
        <v>13.4672570513103</v>
      </c>
      <c r="D1976" s="6" t="s">
        <v>57</v>
      </c>
      <c r="E1976" s="6" t="s">
        <v>57</v>
      </c>
      <c r="F1976" s="6" t="s">
        <v>24</v>
      </c>
      <c r="G1976" s="6" t="s">
        <v>64</v>
      </c>
      <c r="H1976" s="6" t="s">
        <v>65</v>
      </c>
      <c r="I1976" s="6" t="str">
        <f aca="false">IF(A1976&lt;Outliers!$E$6,"Low",IF(A1976&gt;Outliers!$F$6,"High",""))</f>
        <v/>
      </c>
      <c r="J1976" s="6" t="str">
        <f aca="false">IF(B1976&lt;Outliers!$E$7,"Low",IF(B1976&gt;Outliers!$F$7,"High",""))</f>
        <v/>
      </c>
      <c r="K1976" s="6" t="str">
        <f aca="false">IF(C1976&lt;Outliers!$E$8,"Low",IF(C1976&gt;Outliers!$F$8,"High",""))</f>
        <v/>
      </c>
      <c r="L1976" s="6" t="str">
        <f aca="false">A1976&amp;";"&amp;B1976&amp;";"&amp;C1976</f>
        <v>22.74446976;90.07326633;13.4672570513103</v>
      </c>
      <c r="M1976" s="6" t="n">
        <f aca="false">IF(COUNTIF($L$2:$L$2201,L1976)&gt;1,1,0)</f>
        <v>0</v>
      </c>
      <c r="N1976" s="6" t="str">
        <f aca="false">IF(AND(C1976&lt;Assumptions!$B$9,B1976&lt;Assumptions!$B$10),"Irrigate Now",IF(AND(C1976&gt;=Assumptions!$B$11,B1976&gt;=Assumptions!$B$12),"No Irrigation Needed","Monitor"))</f>
        <v>Irrigate Now</v>
      </c>
      <c r="O1976" s="6" t="n">
        <f aca="false">IF(N1976=G1976,1,0)</f>
        <v>1</v>
      </c>
    </row>
    <row r="1977" customFormat="false" ht="15" hidden="false" customHeight="false" outlineLevel="0" collapsed="false">
      <c r="A1977" s="16" t="n">
        <v>23.80834611</v>
      </c>
      <c r="B1977" s="16" t="n">
        <v>70.97358303</v>
      </c>
      <c r="C1977" s="16" t="n">
        <v>22.8734264982407</v>
      </c>
      <c r="D1977" s="6" t="s">
        <v>57</v>
      </c>
      <c r="E1977" s="6" t="s">
        <v>57</v>
      </c>
      <c r="F1977" s="6" t="s">
        <v>60</v>
      </c>
      <c r="G1977" s="6" t="s">
        <v>61</v>
      </c>
      <c r="H1977" s="6" t="s">
        <v>63</v>
      </c>
      <c r="I1977" s="6" t="str">
        <f aca="false">IF(A1977&lt;Outliers!$E$6,"Low",IF(A1977&gt;Outliers!$F$6,"High",""))</f>
        <v/>
      </c>
      <c r="J1977" s="6" t="str">
        <f aca="false">IF(B1977&lt;Outliers!$E$7,"Low",IF(B1977&gt;Outliers!$F$7,"High",""))</f>
        <v/>
      </c>
      <c r="K1977" s="6" t="str">
        <f aca="false">IF(C1977&lt;Outliers!$E$8,"Low",IF(C1977&gt;Outliers!$F$8,"High",""))</f>
        <v/>
      </c>
      <c r="L1977" s="6" t="str">
        <f aca="false">A1977&amp;";"&amp;B1977&amp;";"&amp;C1977</f>
        <v>23.80834611;70.97358303;22.8734264982407</v>
      </c>
      <c r="M1977" s="6" t="n">
        <f aca="false">IF(COUNTIF($L$2:$L$2201,L1977)&gt;1,1,0)</f>
        <v>0</v>
      </c>
      <c r="N1977" s="6" t="str">
        <f aca="false">IF(AND(C1977&lt;Assumptions!$B$9,B1977&lt;Assumptions!$B$10),"Irrigate Now",IF(AND(C1977&gt;=Assumptions!$B$11,B1977&gt;=Assumptions!$B$12),"No Irrigation Needed","Monitor"))</f>
        <v>Monitor</v>
      </c>
      <c r="O1977" s="6" t="n">
        <f aca="false">IF(N1977=G1977,1,0)</f>
        <v>1</v>
      </c>
    </row>
    <row r="1978" customFormat="false" ht="15" hidden="false" customHeight="false" outlineLevel="0" collapsed="false">
      <c r="A1978" s="16" t="n">
        <v>25.46228792</v>
      </c>
      <c r="B1978" s="16" t="n">
        <v>76.88582484</v>
      </c>
      <c r="C1978" s="16" t="n">
        <v>22.7609118129015</v>
      </c>
      <c r="D1978" s="6" t="s">
        <v>57</v>
      </c>
      <c r="E1978" s="6" t="s">
        <v>57</v>
      </c>
      <c r="F1978" s="6" t="s">
        <v>60</v>
      </c>
      <c r="G1978" s="6" t="s">
        <v>61</v>
      </c>
      <c r="H1978" s="6" t="s">
        <v>63</v>
      </c>
      <c r="I1978" s="6" t="str">
        <f aca="false">IF(A1978&lt;Outliers!$E$6,"Low",IF(A1978&gt;Outliers!$F$6,"High",""))</f>
        <v/>
      </c>
      <c r="J1978" s="6" t="str">
        <f aca="false">IF(B1978&lt;Outliers!$E$7,"Low",IF(B1978&gt;Outliers!$F$7,"High",""))</f>
        <v/>
      </c>
      <c r="K1978" s="6" t="str">
        <f aca="false">IF(C1978&lt;Outliers!$E$8,"Low",IF(C1978&gt;Outliers!$F$8,"High",""))</f>
        <v/>
      </c>
      <c r="L1978" s="6" t="str">
        <f aca="false">A1978&amp;";"&amp;B1978&amp;";"&amp;C1978</f>
        <v>25.46228792;76.88582484;22.7609118129015</v>
      </c>
      <c r="M1978" s="6" t="n">
        <f aca="false">IF(COUNTIF($L$2:$L$2201,L1978)&gt;1,1,0)</f>
        <v>0</v>
      </c>
      <c r="N1978" s="6" t="str">
        <f aca="false">IF(AND(C1978&lt;Assumptions!$B$9,B1978&lt;Assumptions!$B$10),"Irrigate Now",IF(AND(C1978&gt;=Assumptions!$B$11,B1978&gt;=Assumptions!$B$12),"No Irrigation Needed","Monitor"))</f>
        <v>Monitor</v>
      </c>
      <c r="O1978" s="6" t="n">
        <f aca="false">IF(N1978=G1978,1,0)</f>
        <v>1</v>
      </c>
    </row>
    <row r="1979" customFormat="false" ht="15" hidden="false" customHeight="false" outlineLevel="0" collapsed="false">
      <c r="A1979" s="16" t="n">
        <v>25.96779712</v>
      </c>
      <c r="B1979" s="16" t="n">
        <v>74.14169043</v>
      </c>
      <c r="C1979" s="16" t="n">
        <v>13.0225987020623</v>
      </c>
      <c r="D1979" s="6" t="s">
        <v>57</v>
      </c>
      <c r="E1979" s="6" t="s">
        <v>57</v>
      </c>
      <c r="F1979" s="6" t="s">
        <v>24</v>
      </c>
      <c r="G1979" s="6" t="s">
        <v>64</v>
      </c>
      <c r="H1979" s="6" t="s">
        <v>65</v>
      </c>
      <c r="I1979" s="6" t="str">
        <f aca="false">IF(A1979&lt;Outliers!$E$6,"Low",IF(A1979&gt;Outliers!$F$6,"High",""))</f>
        <v/>
      </c>
      <c r="J1979" s="6" t="str">
        <f aca="false">IF(B1979&lt;Outliers!$E$7,"Low",IF(B1979&gt;Outliers!$F$7,"High",""))</f>
        <v/>
      </c>
      <c r="K1979" s="6" t="str">
        <f aca="false">IF(C1979&lt;Outliers!$E$8,"Low",IF(C1979&gt;Outliers!$F$8,"High",""))</f>
        <v/>
      </c>
      <c r="L1979" s="6" t="str">
        <f aca="false">A1979&amp;";"&amp;B1979&amp;";"&amp;C1979</f>
        <v>25.96779712;74.14169043;13.0225987020623</v>
      </c>
      <c r="M1979" s="6" t="n">
        <f aca="false">IF(COUNTIF($L$2:$L$2201,L1979)&gt;1,1,0)</f>
        <v>0</v>
      </c>
      <c r="N1979" s="6" t="str">
        <f aca="false">IF(AND(C1979&lt;Assumptions!$B$9,B1979&lt;Assumptions!$B$10),"Irrigate Now",IF(AND(C1979&gt;=Assumptions!$B$11,B1979&gt;=Assumptions!$B$12),"No Irrigation Needed","Monitor"))</f>
        <v>Irrigate Now</v>
      </c>
      <c r="O1979" s="6" t="n">
        <f aca="false">IF(N1979=G1979,1,0)</f>
        <v>1</v>
      </c>
    </row>
    <row r="1980" customFormat="false" ht="15" hidden="false" customHeight="false" outlineLevel="0" collapsed="false">
      <c r="A1980" s="16" t="n">
        <v>25.5308271</v>
      </c>
      <c r="B1980" s="16" t="n">
        <v>99.39557151</v>
      </c>
      <c r="C1980" s="16" t="n">
        <v>24.064683454107</v>
      </c>
      <c r="D1980" s="6" t="s">
        <v>57</v>
      </c>
      <c r="E1980" s="6" t="s">
        <v>57</v>
      </c>
      <c r="F1980" s="6" t="s">
        <v>23</v>
      </c>
      <c r="G1980" s="6" t="s">
        <v>61</v>
      </c>
      <c r="H1980" s="6" t="s">
        <v>63</v>
      </c>
      <c r="I1980" s="6" t="str">
        <f aca="false">IF(A1980&lt;Outliers!$E$6,"Low",IF(A1980&gt;Outliers!$F$6,"High",""))</f>
        <v/>
      </c>
      <c r="J1980" s="6" t="str">
        <f aca="false">IF(B1980&lt;Outliers!$E$7,"Low",IF(B1980&gt;Outliers!$F$7,"High",""))</f>
        <v/>
      </c>
      <c r="K1980" s="6" t="str">
        <f aca="false">IF(C1980&lt;Outliers!$E$8,"Low",IF(C1980&gt;Outliers!$F$8,"High",""))</f>
        <v/>
      </c>
      <c r="L1980" s="6" t="str">
        <f aca="false">A1980&amp;";"&amp;B1980&amp;";"&amp;C1980</f>
        <v>25.5308271;99.39557151;24.064683454107</v>
      </c>
      <c r="M1980" s="6" t="n">
        <f aca="false">IF(COUNTIF($L$2:$L$2201,L1980)&gt;1,1,0)</f>
        <v>0</v>
      </c>
      <c r="N1980" s="6" t="str">
        <f aca="false">IF(AND(C1980&lt;Assumptions!$B$9,B1980&lt;Assumptions!$B$10),"Irrigate Now",IF(AND(C1980&gt;=Assumptions!$B$11,B1980&gt;=Assumptions!$B$12),"No Irrigation Needed","Monitor"))</f>
        <v>Monitor</v>
      </c>
      <c r="O1980" s="6" t="n">
        <f aca="false">IF(N1980=G1980,1,0)</f>
        <v>1</v>
      </c>
    </row>
    <row r="1981" customFormat="false" ht="15" hidden="false" customHeight="false" outlineLevel="0" collapsed="false">
      <c r="A1981" s="16" t="n">
        <v>24.43847399</v>
      </c>
      <c r="B1981" s="16" t="n">
        <v>60.79645852</v>
      </c>
      <c r="C1981" s="16" t="n">
        <v>27.9046263691694</v>
      </c>
      <c r="D1981" s="6" t="s">
        <v>57</v>
      </c>
      <c r="E1981" s="6" t="s">
        <v>57</v>
      </c>
      <c r="F1981" s="6" t="s">
        <v>23</v>
      </c>
      <c r="G1981" s="6" t="s">
        <v>61</v>
      </c>
      <c r="H1981" s="6" t="s">
        <v>63</v>
      </c>
      <c r="I1981" s="6" t="str">
        <f aca="false">IF(A1981&lt;Outliers!$E$6,"Low",IF(A1981&gt;Outliers!$F$6,"High",""))</f>
        <v/>
      </c>
      <c r="J1981" s="6" t="str">
        <f aca="false">IF(B1981&lt;Outliers!$E$7,"Low",IF(B1981&gt;Outliers!$F$7,"High",""))</f>
        <v/>
      </c>
      <c r="K1981" s="6" t="str">
        <f aca="false">IF(C1981&lt;Outliers!$E$8,"Low",IF(C1981&gt;Outliers!$F$8,"High",""))</f>
        <v/>
      </c>
      <c r="L1981" s="6" t="str">
        <f aca="false">A1981&amp;";"&amp;B1981&amp;";"&amp;C1981</f>
        <v>24.43847399;60.79645852;27.9046263691694</v>
      </c>
      <c r="M1981" s="6" t="n">
        <f aca="false">IF(COUNTIF($L$2:$L$2201,L1981)&gt;1,1,0)</f>
        <v>0</v>
      </c>
      <c r="N1981" s="6" t="str">
        <f aca="false">IF(AND(C1981&lt;Assumptions!$B$9,B1981&lt;Assumptions!$B$10),"Irrigate Now",IF(AND(C1981&gt;=Assumptions!$B$11,B1981&gt;=Assumptions!$B$12),"No Irrigation Needed","Monitor"))</f>
        <v>Monitor</v>
      </c>
      <c r="O1981" s="6" t="n">
        <f aca="false">IF(N1981=G1981,1,0)</f>
        <v>1</v>
      </c>
    </row>
    <row r="1982" customFormat="false" ht="15" hidden="false" customHeight="false" outlineLevel="0" collapsed="false">
      <c r="A1982" s="16" t="n">
        <v>23.03887865</v>
      </c>
      <c r="B1982" s="16" t="n">
        <v>90.64770699</v>
      </c>
      <c r="C1982" s="16" t="n">
        <v>11.074538017793</v>
      </c>
      <c r="D1982" s="6" t="s">
        <v>57</v>
      </c>
      <c r="E1982" s="6" t="s">
        <v>57</v>
      </c>
      <c r="F1982" s="6" t="s">
        <v>24</v>
      </c>
      <c r="G1982" s="6" t="s">
        <v>64</v>
      </c>
      <c r="H1982" s="6" t="s">
        <v>65</v>
      </c>
      <c r="I1982" s="6" t="str">
        <f aca="false">IF(A1982&lt;Outliers!$E$6,"Low",IF(A1982&gt;Outliers!$F$6,"High",""))</f>
        <v/>
      </c>
      <c r="J1982" s="6" t="str">
        <f aca="false">IF(B1982&lt;Outliers!$E$7,"Low",IF(B1982&gt;Outliers!$F$7,"High",""))</f>
        <v/>
      </c>
      <c r="K1982" s="6" t="str">
        <f aca="false">IF(C1982&lt;Outliers!$E$8,"Low",IF(C1982&gt;Outliers!$F$8,"High",""))</f>
        <v/>
      </c>
      <c r="L1982" s="6" t="str">
        <f aca="false">A1982&amp;";"&amp;B1982&amp;";"&amp;C1982</f>
        <v>23.03887865;90.64770699;11.074538017793</v>
      </c>
      <c r="M1982" s="6" t="n">
        <f aca="false">IF(COUNTIF($L$2:$L$2201,L1982)&gt;1,1,0)</f>
        <v>0</v>
      </c>
      <c r="N1982" s="6" t="str">
        <f aca="false">IF(AND(C1982&lt;Assumptions!$B$9,B1982&lt;Assumptions!$B$10),"Irrigate Now",IF(AND(C1982&gt;=Assumptions!$B$11,B1982&gt;=Assumptions!$B$12),"No Irrigation Needed","Monitor"))</f>
        <v>Irrigate Now</v>
      </c>
      <c r="O1982" s="6" t="n">
        <f aca="false">IF(N1982=G1982,1,0)</f>
        <v>1</v>
      </c>
    </row>
    <row r="1983" customFormat="false" ht="15" hidden="false" customHeight="false" outlineLevel="0" collapsed="false">
      <c r="A1983" s="16" t="n">
        <v>23.51308653</v>
      </c>
      <c r="B1983" s="16" t="n">
        <v>80.11272117</v>
      </c>
      <c r="C1983" s="16" t="n">
        <v>28.9142726239185</v>
      </c>
      <c r="D1983" s="6" t="s">
        <v>57</v>
      </c>
      <c r="E1983" s="6" t="s">
        <v>57</v>
      </c>
      <c r="F1983" s="6" t="s">
        <v>23</v>
      </c>
      <c r="G1983" s="6" t="s">
        <v>61</v>
      </c>
      <c r="H1983" s="6" t="s">
        <v>63</v>
      </c>
      <c r="I1983" s="6" t="str">
        <f aca="false">IF(A1983&lt;Outliers!$E$6,"Low",IF(A1983&gt;Outliers!$F$6,"High",""))</f>
        <v/>
      </c>
      <c r="J1983" s="6" t="str">
        <f aca="false">IF(B1983&lt;Outliers!$E$7,"Low",IF(B1983&gt;Outliers!$F$7,"High",""))</f>
        <v/>
      </c>
      <c r="K1983" s="6" t="str">
        <f aca="false">IF(C1983&lt;Outliers!$E$8,"Low",IF(C1983&gt;Outliers!$F$8,"High",""))</f>
        <v/>
      </c>
      <c r="L1983" s="6" t="str">
        <f aca="false">A1983&amp;";"&amp;B1983&amp;";"&amp;C1983</f>
        <v>23.51308653;80.11272117;28.9142726239185</v>
      </c>
      <c r="M1983" s="6" t="n">
        <f aca="false">IF(COUNTIF($L$2:$L$2201,L1983)&gt;1,1,0)</f>
        <v>0</v>
      </c>
      <c r="N1983" s="6" t="str">
        <f aca="false">IF(AND(C1983&lt;Assumptions!$B$9,B1983&lt;Assumptions!$B$10),"Irrigate Now",IF(AND(C1983&gt;=Assumptions!$B$11,B1983&gt;=Assumptions!$B$12),"No Irrigation Needed","Monitor"))</f>
        <v>Monitor</v>
      </c>
      <c r="O1983" s="6" t="n">
        <f aca="false">IF(N1983=G1983,1,0)</f>
        <v>1</v>
      </c>
    </row>
    <row r="1984" customFormat="false" ht="15" hidden="false" customHeight="false" outlineLevel="0" collapsed="false">
      <c r="A1984" s="16" t="n">
        <v>22.75805656</v>
      </c>
      <c r="B1984" s="16" t="n">
        <v>97.76600619</v>
      </c>
      <c r="C1984" s="16" t="n">
        <v>27.1981443610777</v>
      </c>
      <c r="D1984" s="6" t="s">
        <v>57</v>
      </c>
      <c r="E1984" s="6" t="s">
        <v>57</v>
      </c>
      <c r="F1984" s="6" t="s">
        <v>23</v>
      </c>
      <c r="G1984" s="6" t="s">
        <v>61</v>
      </c>
      <c r="H1984" s="6" t="s">
        <v>63</v>
      </c>
      <c r="I1984" s="6" t="str">
        <f aca="false">IF(A1984&lt;Outliers!$E$6,"Low",IF(A1984&gt;Outliers!$F$6,"High",""))</f>
        <v/>
      </c>
      <c r="J1984" s="6" t="str">
        <f aca="false">IF(B1984&lt;Outliers!$E$7,"Low",IF(B1984&gt;Outliers!$F$7,"High",""))</f>
        <v/>
      </c>
      <c r="K1984" s="6" t="str">
        <f aca="false">IF(C1984&lt;Outliers!$E$8,"Low",IF(C1984&gt;Outliers!$F$8,"High",""))</f>
        <v/>
      </c>
      <c r="L1984" s="6" t="str">
        <f aca="false">A1984&amp;";"&amp;B1984&amp;";"&amp;C1984</f>
        <v>22.75805656;97.76600619;27.1981443610777</v>
      </c>
      <c r="M1984" s="6" t="n">
        <f aca="false">IF(COUNTIF($L$2:$L$2201,L1984)&gt;1,1,0)</f>
        <v>0</v>
      </c>
      <c r="N1984" s="6" t="str">
        <f aca="false">IF(AND(C1984&lt;Assumptions!$B$9,B1984&lt;Assumptions!$B$10),"Irrigate Now",IF(AND(C1984&gt;=Assumptions!$B$11,B1984&gt;=Assumptions!$B$12),"No Irrigation Needed","Monitor"))</f>
        <v>Monitor</v>
      </c>
      <c r="O1984" s="6" t="n">
        <f aca="false">IF(N1984=G1984,1,0)</f>
        <v>1</v>
      </c>
    </row>
    <row r="1985" customFormat="false" ht="15" hidden="false" customHeight="false" outlineLevel="0" collapsed="false">
      <c r="A1985" s="16" t="n">
        <v>24.71252544</v>
      </c>
      <c r="B1985" s="16" t="n">
        <v>85.24963302</v>
      </c>
      <c r="C1985" s="16" t="n">
        <v>27.2551770279386</v>
      </c>
      <c r="D1985" s="6" t="s">
        <v>57</v>
      </c>
      <c r="E1985" s="6" t="s">
        <v>57</v>
      </c>
      <c r="F1985" s="6" t="s">
        <v>23</v>
      </c>
      <c r="G1985" s="6" t="s">
        <v>61</v>
      </c>
      <c r="H1985" s="6" t="s">
        <v>63</v>
      </c>
      <c r="I1985" s="6" t="str">
        <f aca="false">IF(A1985&lt;Outliers!$E$6,"Low",IF(A1985&gt;Outliers!$F$6,"High",""))</f>
        <v/>
      </c>
      <c r="J1985" s="6" t="str">
        <f aca="false">IF(B1985&lt;Outliers!$E$7,"Low",IF(B1985&gt;Outliers!$F$7,"High",""))</f>
        <v/>
      </c>
      <c r="K1985" s="6" t="str">
        <f aca="false">IF(C1985&lt;Outliers!$E$8,"Low",IF(C1985&gt;Outliers!$F$8,"High",""))</f>
        <v/>
      </c>
      <c r="L1985" s="6" t="str">
        <f aca="false">A1985&amp;";"&amp;B1985&amp;";"&amp;C1985</f>
        <v>24.71252544;85.24963302;27.2551770279386</v>
      </c>
      <c r="M1985" s="6" t="n">
        <f aca="false">IF(COUNTIF($L$2:$L$2201,L1985)&gt;1,1,0)</f>
        <v>0</v>
      </c>
      <c r="N1985" s="6" t="str">
        <f aca="false">IF(AND(C1985&lt;Assumptions!$B$9,B1985&lt;Assumptions!$B$10),"Irrigate Now",IF(AND(C1985&gt;=Assumptions!$B$11,B1985&gt;=Assumptions!$B$12),"No Irrigation Needed","Monitor"))</f>
        <v>Monitor</v>
      </c>
      <c r="O1985" s="6" t="n">
        <f aca="false">IF(N1985=G1985,1,0)</f>
        <v>1</v>
      </c>
    </row>
    <row r="1986" customFormat="false" ht="15" hidden="false" customHeight="false" outlineLevel="0" collapsed="false">
      <c r="A1986" s="16" t="n">
        <v>23.45969093</v>
      </c>
      <c r="B1986" s="16" t="n">
        <v>93.50153555</v>
      </c>
      <c r="C1986" s="16" t="n">
        <v>18.146939370631</v>
      </c>
      <c r="D1986" s="6" t="s">
        <v>57</v>
      </c>
      <c r="E1986" s="6" t="s">
        <v>57</v>
      </c>
      <c r="F1986" s="6" t="s">
        <v>60</v>
      </c>
      <c r="G1986" s="6" t="s">
        <v>61</v>
      </c>
      <c r="H1986" s="6" t="s">
        <v>63</v>
      </c>
      <c r="I1986" s="6" t="str">
        <f aca="false">IF(A1986&lt;Outliers!$E$6,"Low",IF(A1986&gt;Outliers!$F$6,"High",""))</f>
        <v/>
      </c>
      <c r="J1986" s="6" t="str">
        <f aca="false">IF(B1986&lt;Outliers!$E$7,"Low",IF(B1986&gt;Outliers!$F$7,"High",""))</f>
        <v/>
      </c>
      <c r="K1986" s="6" t="str">
        <f aca="false">IF(C1986&lt;Outliers!$E$8,"Low",IF(C1986&gt;Outliers!$F$8,"High",""))</f>
        <v/>
      </c>
      <c r="L1986" s="6" t="str">
        <f aca="false">A1986&amp;";"&amp;B1986&amp;";"&amp;C1986</f>
        <v>23.45969093;93.50153555;18.146939370631</v>
      </c>
      <c r="M1986" s="6" t="n">
        <f aca="false">IF(COUNTIF($L$2:$L$2201,L1986)&gt;1,1,0)</f>
        <v>0</v>
      </c>
      <c r="N1986" s="6" t="str">
        <f aca="false">IF(AND(C1986&lt;Assumptions!$B$9,B1986&lt;Assumptions!$B$10),"Irrigate Now",IF(AND(C1986&gt;=Assumptions!$B$11,B1986&gt;=Assumptions!$B$12),"No Irrigation Needed","Monitor"))</f>
        <v>Monitor</v>
      </c>
      <c r="O1986" s="6" t="n">
        <f aca="false">IF(N1986=G1986,1,0)</f>
        <v>1</v>
      </c>
    </row>
    <row r="1987" customFormat="false" ht="15" hidden="false" customHeight="false" outlineLevel="0" collapsed="false">
      <c r="A1987" s="16" t="n">
        <v>25.5503704</v>
      </c>
      <c r="B1987" s="16" t="n">
        <v>78.58488484</v>
      </c>
      <c r="C1987" s="16" t="n">
        <v>18.2511916681563</v>
      </c>
      <c r="D1987" s="6" t="s">
        <v>57</v>
      </c>
      <c r="E1987" s="6" t="s">
        <v>57</v>
      </c>
      <c r="F1987" s="6" t="s">
        <v>60</v>
      </c>
      <c r="G1987" s="6" t="s">
        <v>61</v>
      </c>
      <c r="H1987" s="6" t="s">
        <v>63</v>
      </c>
      <c r="I1987" s="6" t="str">
        <f aca="false">IF(A1987&lt;Outliers!$E$6,"Low",IF(A1987&gt;Outliers!$F$6,"High",""))</f>
        <v/>
      </c>
      <c r="J1987" s="6" t="str">
        <f aca="false">IF(B1987&lt;Outliers!$E$7,"Low",IF(B1987&gt;Outliers!$F$7,"High",""))</f>
        <v/>
      </c>
      <c r="K1987" s="6" t="str">
        <f aca="false">IF(C1987&lt;Outliers!$E$8,"Low",IF(C1987&gt;Outliers!$F$8,"High",""))</f>
        <v/>
      </c>
      <c r="L1987" s="6" t="str">
        <f aca="false">A1987&amp;";"&amp;B1987&amp;";"&amp;C1987</f>
        <v>25.5503704;78.58488484;18.2511916681563</v>
      </c>
      <c r="M1987" s="6" t="n">
        <f aca="false">IF(COUNTIF($L$2:$L$2201,L1987)&gt;1,1,0)</f>
        <v>0</v>
      </c>
      <c r="N1987" s="6" t="str">
        <f aca="false">IF(AND(C1987&lt;Assumptions!$B$9,B1987&lt;Assumptions!$B$10),"Irrigate Now",IF(AND(C1987&gt;=Assumptions!$B$11,B1987&gt;=Assumptions!$B$12),"No Irrigation Needed","Monitor"))</f>
        <v>Monitor</v>
      </c>
      <c r="O1987" s="6" t="n">
        <f aca="false">IF(N1987=G1987,1,0)</f>
        <v>1</v>
      </c>
    </row>
    <row r="1988" customFormat="false" ht="15" hidden="false" customHeight="false" outlineLevel="0" collapsed="false">
      <c r="A1988" s="16" t="n">
        <v>22.08458267</v>
      </c>
      <c r="B1988" s="16" t="n">
        <v>67.06459777</v>
      </c>
      <c r="C1988" s="16" t="n">
        <v>11.9765628809874</v>
      </c>
      <c r="D1988" s="6" t="s">
        <v>57</v>
      </c>
      <c r="E1988" s="6" t="s">
        <v>57</v>
      </c>
      <c r="F1988" s="6" t="s">
        <v>24</v>
      </c>
      <c r="G1988" s="6" t="s">
        <v>64</v>
      </c>
      <c r="H1988" s="6" t="s">
        <v>65</v>
      </c>
      <c r="I1988" s="6" t="str">
        <f aca="false">IF(A1988&lt;Outliers!$E$6,"Low",IF(A1988&gt;Outliers!$F$6,"High",""))</f>
        <v/>
      </c>
      <c r="J1988" s="6" t="str">
        <f aca="false">IF(B1988&lt;Outliers!$E$7,"Low",IF(B1988&gt;Outliers!$F$7,"High",""))</f>
        <v/>
      </c>
      <c r="K1988" s="6" t="str">
        <f aca="false">IF(C1988&lt;Outliers!$E$8,"Low",IF(C1988&gt;Outliers!$F$8,"High",""))</f>
        <v/>
      </c>
      <c r="L1988" s="6" t="str">
        <f aca="false">A1988&amp;";"&amp;B1988&amp;";"&amp;C1988</f>
        <v>22.08458267;67.06459777;11.9765628809874</v>
      </c>
      <c r="M1988" s="6" t="n">
        <f aca="false">IF(COUNTIF($L$2:$L$2201,L1988)&gt;1,1,0)</f>
        <v>0</v>
      </c>
      <c r="N1988" s="6" t="str">
        <f aca="false">IF(AND(C1988&lt;Assumptions!$B$9,B1988&lt;Assumptions!$B$10),"Irrigate Now",IF(AND(C1988&gt;=Assumptions!$B$11,B1988&gt;=Assumptions!$B$12),"No Irrigation Needed","Monitor"))</f>
        <v>Irrigate Now</v>
      </c>
      <c r="O1988" s="6" t="n">
        <f aca="false">IF(N1988=G1988,1,0)</f>
        <v>1</v>
      </c>
    </row>
    <row r="1989" customFormat="false" ht="15" hidden="false" customHeight="false" outlineLevel="0" collapsed="false">
      <c r="A1989" s="16" t="n">
        <v>24.68854799</v>
      </c>
      <c r="B1989" s="16" t="n">
        <v>69.31153566</v>
      </c>
      <c r="C1989" s="16" t="n">
        <v>11.8575307436111</v>
      </c>
      <c r="D1989" s="6" t="s">
        <v>57</v>
      </c>
      <c r="E1989" s="6" t="s">
        <v>57</v>
      </c>
      <c r="F1989" s="6" t="s">
        <v>24</v>
      </c>
      <c r="G1989" s="6" t="s">
        <v>64</v>
      </c>
      <c r="H1989" s="6" t="s">
        <v>65</v>
      </c>
      <c r="I1989" s="6" t="str">
        <f aca="false">IF(A1989&lt;Outliers!$E$6,"Low",IF(A1989&gt;Outliers!$F$6,"High",""))</f>
        <v/>
      </c>
      <c r="J1989" s="6" t="str">
        <f aca="false">IF(B1989&lt;Outliers!$E$7,"Low",IF(B1989&gt;Outliers!$F$7,"High",""))</f>
        <v/>
      </c>
      <c r="K1989" s="6" t="str">
        <f aca="false">IF(C1989&lt;Outliers!$E$8,"Low",IF(C1989&gt;Outliers!$F$8,"High",""))</f>
        <v/>
      </c>
      <c r="L1989" s="6" t="str">
        <f aca="false">A1989&amp;";"&amp;B1989&amp;";"&amp;C1989</f>
        <v>24.68854799;69.31153566;11.8575307436111</v>
      </c>
      <c r="M1989" s="6" t="n">
        <f aca="false">IF(COUNTIF($L$2:$L$2201,L1989)&gt;1,1,0)</f>
        <v>0</v>
      </c>
      <c r="N1989" s="6" t="str">
        <f aca="false">IF(AND(C1989&lt;Assumptions!$B$9,B1989&lt;Assumptions!$B$10),"Irrigate Now",IF(AND(C1989&gt;=Assumptions!$B$11,B1989&gt;=Assumptions!$B$12),"No Irrigation Needed","Monitor"))</f>
        <v>Irrigate Now</v>
      </c>
      <c r="O1989" s="6" t="n">
        <f aca="false">IF(N1989=G1989,1,0)</f>
        <v>1</v>
      </c>
    </row>
    <row r="1990" customFormat="false" ht="15" hidden="false" customHeight="false" outlineLevel="0" collapsed="false">
      <c r="A1990" s="16" t="n">
        <v>25.84997269</v>
      </c>
      <c r="B1990" s="16" t="n">
        <v>77.03421249</v>
      </c>
      <c r="C1990" s="16" t="n">
        <v>27.2457025739669</v>
      </c>
      <c r="D1990" s="6" t="s">
        <v>57</v>
      </c>
      <c r="E1990" s="6" t="s">
        <v>57</v>
      </c>
      <c r="F1990" s="6" t="s">
        <v>23</v>
      </c>
      <c r="G1990" s="6" t="s">
        <v>61</v>
      </c>
      <c r="H1990" s="6" t="s">
        <v>63</v>
      </c>
      <c r="I1990" s="6" t="str">
        <f aca="false">IF(A1990&lt;Outliers!$E$6,"Low",IF(A1990&gt;Outliers!$F$6,"High",""))</f>
        <v/>
      </c>
      <c r="J1990" s="6" t="str">
        <f aca="false">IF(B1990&lt;Outliers!$E$7,"Low",IF(B1990&gt;Outliers!$F$7,"High",""))</f>
        <v/>
      </c>
      <c r="K1990" s="6" t="str">
        <f aca="false">IF(C1990&lt;Outliers!$E$8,"Low",IF(C1990&gt;Outliers!$F$8,"High",""))</f>
        <v/>
      </c>
      <c r="L1990" s="6" t="str">
        <f aca="false">A1990&amp;";"&amp;B1990&amp;";"&amp;C1990</f>
        <v>25.84997269;77.03421249;27.2457025739669</v>
      </c>
      <c r="M1990" s="6" t="n">
        <f aca="false">IF(COUNTIF($L$2:$L$2201,L1990)&gt;1,1,0)</f>
        <v>0</v>
      </c>
      <c r="N1990" s="6" t="str">
        <f aca="false">IF(AND(C1990&lt;Assumptions!$B$9,B1990&lt;Assumptions!$B$10),"Irrigate Now",IF(AND(C1990&gt;=Assumptions!$B$11,B1990&gt;=Assumptions!$B$12),"No Irrigation Needed","Monitor"))</f>
        <v>Monitor</v>
      </c>
      <c r="O1990" s="6" t="n">
        <f aca="false">IF(N1990=G1990,1,0)</f>
        <v>1</v>
      </c>
    </row>
    <row r="1991" customFormat="false" ht="15" hidden="false" customHeight="false" outlineLevel="0" collapsed="false">
      <c r="A1991" s="16" t="n">
        <v>22.46054478</v>
      </c>
      <c r="B1991" s="16" t="n">
        <v>71.85436078</v>
      </c>
      <c r="C1991" s="16" t="n">
        <v>19.1146332796826</v>
      </c>
      <c r="D1991" s="6" t="s">
        <v>57</v>
      </c>
      <c r="E1991" s="6" t="s">
        <v>57</v>
      </c>
      <c r="F1991" s="6" t="s">
        <v>60</v>
      </c>
      <c r="G1991" s="6" t="s">
        <v>61</v>
      </c>
      <c r="H1991" s="6" t="s">
        <v>63</v>
      </c>
      <c r="I1991" s="6" t="str">
        <f aca="false">IF(A1991&lt;Outliers!$E$6,"Low",IF(A1991&gt;Outliers!$F$6,"High",""))</f>
        <v/>
      </c>
      <c r="J1991" s="6" t="str">
        <f aca="false">IF(B1991&lt;Outliers!$E$7,"Low",IF(B1991&gt;Outliers!$F$7,"High",""))</f>
        <v/>
      </c>
      <c r="K1991" s="6" t="str">
        <f aca="false">IF(C1991&lt;Outliers!$E$8,"Low",IF(C1991&gt;Outliers!$F$8,"High",""))</f>
        <v/>
      </c>
      <c r="L1991" s="6" t="str">
        <f aca="false">A1991&amp;";"&amp;B1991&amp;";"&amp;C1991</f>
        <v>22.46054478;71.85436078;19.1146332796826</v>
      </c>
      <c r="M1991" s="6" t="n">
        <f aca="false">IF(COUNTIF($L$2:$L$2201,L1991)&gt;1,1,0)</f>
        <v>0</v>
      </c>
      <c r="N1991" s="6" t="str">
        <f aca="false">IF(AND(C1991&lt;Assumptions!$B$9,B1991&lt;Assumptions!$B$10),"Irrigate Now",IF(AND(C1991&gt;=Assumptions!$B$11,B1991&gt;=Assumptions!$B$12),"No Irrigation Needed","Monitor"))</f>
        <v>Monitor</v>
      </c>
      <c r="O1991" s="6" t="n">
        <f aca="false">IF(N1991=G1991,1,0)</f>
        <v>1</v>
      </c>
    </row>
    <row r="1992" customFormat="false" ht="15" hidden="false" customHeight="false" outlineLevel="0" collapsed="false">
      <c r="A1992" s="16" t="n">
        <v>23.65629976</v>
      </c>
      <c r="B1992" s="16" t="n">
        <v>74.8984994</v>
      </c>
      <c r="C1992" s="16" t="n">
        <v>20.0171107785454</v>
      </c>
      <c r="D1992" s="6" t="s">
        <v>57</v>
      </c>
      <c r="E1992" s="6" t="s">
        <v>57</v>
      </c>
      <c r="F1992" s="6" t="s">
        <v>60</v>
      </c>
      <c r="G1992" s="6" t="s">
        <v>61</v>
      </c>
      <c r="H1992" s="6" t="s">
        <v>63</v>
      </c>
      <c r="I1992" s="6" t="str">
        <f aca="false">IF(A1992&lt;Outliers!$E$6,"Low",IF(A1992&gt;Outliers!$F$6,"High",""))</f>
        <v/>
      </c>
      <c r="J1992" s="6" t="str">
        <f aca="false">IF(B1992&lt;Outliers!$E$7,"Low",IF(B1992&gt;Outliers!$F$7,"High",""))</f>
        <v/>
      </c>
      <c r="K1992" s="6" t="str">
        <f aca="false">IF(C1992&lt;Outliers!$E$8,"Low",IF(C1992&gt;Outliers!$F$8,"High",""))</f>
        <v/>
      </c>
      <c r="L1992" s="6" t="str">
        <f aca="false">A1992&amp;";"&amp;B1992&amp;";"&amp;C1992</f>
        <v>23.65629976;74.8984994;20.0171107785454</v>
      </c>
      <c r="M1992" s="6" t="n">
        <f aca="false">IF(COUNTIF($L$2:$L$2201,L1992)&gt;1,1,0)</f>
        <v>0</v>
      </c>
      <c r="N1992" s="6" t="str">
        <f aca="false">IF(AND(C1992&lt;Assumptions!$B$9,B1992&lt;Assumptions!$B$10),"Irrigate Now",IF(AND(C1992&gt;=Assumptions!$B$11,B1992&gt;=Assumptions!$B$12),"No Irrigation Needed","Monitor"))</f>
        <v>Monitor</v>
      </c>
      <c r="O1992" s="6" t="n">
        <f aca="false">IF(N1992=G1992,1,0)</f>
        <v>1</v>
      </c>
    </row>
    <row r="1993" customFormat="false" ht="15" hidden="false" customHeight="false" outlineLevel="0" collapsed="false">
      <c r="A1993" s="16" t="n">
        <v>22.00817088</v>
      </c>
      <c r="B1993" s="16" t="n">
        <v>92.23645249</v>
      </c>
      <c r="C1993" s="16" t="n">
        <v>19.2929069490419</v>
      </c>
      <c r="D1993" s="6" t="s">
        <v>57</v>
      </c>
      <c r="E1993" s="6" t="s">
        <v>57</v>
      </c>
      <c r="F1993" s="6" t="s">
        <v>60</v>
      </c>
      <c r="G1993" s="6" t="s">
        <v>61</v>
      </c>
      <c r="H1993" s="6" t="s">
        <v>63</v>
      </c>
      <c r="I1993" s="6" t="str">
        <f aca="false">IF(A1993&lt;Outliers!$E$6,"Low",IF(A1993&gt;Outliers!$F$6,"High",""))</f>
        <v/>
      </c>
      <c r="J1993" s="6" t="str">
        <f aca="false">IF(B1993&lt;Outliers!$E$7,"Low",IF(B1993&gt;Outliers!$F$7,"High",""))</f>
        <v/>
      </c>
      <c r="K1993" s="6" t="str">
        <f aca="false">IF(C1993&lt;Outliers!$E$8,"Low",IF(C1993&gt;Outliers!$F$8,"High",""))</f>
        <v/>
      </c>
      <c r="L1993" s="6" t="str">
        <f aca="false">A1993&amp;";"&amp;B1993&amp;";"&amp;C1993</f>
        <v>22.00817088;92.23645249;19.2929069490419</v>
      </c>
      <c r="M1993" s="6" t="n">
        <f aca="false">IF(COUNTIF($L$2:$L$2201,L1993)&gt;1,1,0)</f>
        <v>0</v>
      </c>
      <c r="N1993" s="6" t="str">
        <f aca="false">IF(AND(C1993&lt;Assumptions!$B$9,B1993&lt;Assumptions!$B$10),"Irrigate Now",IF(AND(C1993&gt;=Assumptions!$B$11,B1993&gt;=Assumptions!$B$12),"No Irrigation Needed","Monitor"))</f>
        <v>Monitor</v>
      </c>
      <c r="O1993" s="6" t="n">
        <f aca="false">IF(N1993=G1993,1,0)</f>
        <v>1</v>
      </c>
    </row>
    <row r="1994" customFormat="false" ht="15" hidden="false" customHeight="false" outlineLevel="0" collapsed="false">
      <c r="A1994" s="16" t="n">
        <v>24.32630461</v>
      </c>
      <c r="B1994" s="16" t="n">
        <v>69.45072055</v>
      </c>
      <c r="C1994" s="16" t="n">
        <v>22.0657043189709</v>
      </c>
      <c r="D1994" s="6" t="s">
        <v>57</v>
      </c>
      <c r="E1994" s="6" t="s">
        <v>57</v>
      </c>
      <c r="F1994" s="6" t="s">
        <v>60</v>
      </c>
      <c r="G1994" s="6" t="s">
        <v>61</v>
      </c>
      <c r="H1994" s="6" t="s">
        <v>63</v>
      </c>
      <c r="I1994" s="6" t="str">
        <f aca="false">IF(A1994&lt;Outliers!$E$6,"Low",IF(A1994&gt;Outliers!$F$6,"High",""))</f>
        <v/>
      </c>
      <c r="J1994" s="6" t="str">
        <f aca="false">IF(B1994&lt;Outliers!$E$7,"Low",IF(B1994&gt;Outliers!$F$7,"High",""))</f>
        <v/>
      </c>
      <c r="K1994" s="6" t="str">
        <f aca="false">IF(C1994&lt;Outliers!$E$8,"Low",IF(C1994&gt;Outliers!$F$8,"High",""))</f>
        <v/>
      </c>
      <c r="L1994" s="6" t="str">
        <f aca="false">A1994&amp;";"&amp;B1994&amp;";"&amp;C1994</f>
        <v>24.32630461;69.45072055;22.0657043189709</v>
      </c>
      <c r="M1994" s="6" t="n">
        <f aca="false">IF(COUNTIF($L$2:$L$2201,L1994)&gt;1,1,0)</f>
        <v>0</v>
      </c>
      <c r="N1994" s="6" t="str">
        <f aca="false">IF(AND(C1994&lt;Assumptions!$B$9,B1994&lt;Assumptions!$B$10),"Irrigate Now",IF(AND(C1994&gt;=Assumptions!$B$11,B1994&gt;=Assumptions!$B$12),"No Irrigation Needed","Monitor"))</f>
        <v>Monitor</v>
      </c>
      <c r="O1994" s="6" t="n">
        <f aca="false">IF(N1994=G1994,1,0)</f>
        <v>1</v>
      </c>
    </row>
    <row r="1995" customFormat="false" ht="15" hidden="false" customHeight="false" outlineLevel="0" collapsed="false">
      <c r="A1995" s="16" t="n">
        <v>22.92360984</v>
      </c>
      <c r="B1995" s="16" t="n">
        <v>92.91915074</v>
      </c>
      <c r="C1995" s="16" t="n">
        <v>20.7554159609588</v>
      </c>
      <c r="D1995" s="6" t="s">
        <v>57</v>
      </c>
      <c r="E1995" s="6" t="s">
        <v>57</v>
      </c>
      <c r="F1995" s="6" t="s">
        <v>60</v>
      </c>
      <c r="G1995" s="6" t="s">
        <v>61</v>
      </c>
      <c r="H1995" s="6" t="s">
        <v>63</v>
      </c>
      <c r="I1995" s="6" t="str">
        <f aca="false">IF(A1995&lt;Outliers!$E$6,"Low",IF(A1995&gt;Outliers!$F$6,"High",""))</f>
        <v/>
      </c>
      <c r="J1995" s="6" t="str">
        <f aca="false">IF(B1995&lt;Outliers!$E$7,"Low",IF(B1995&gt;Outliers!$F$7,"High",""))</f>
        <v/>
      </c>
      <c r="K1995" s="6" t="str">
        <f aca="false">IF(C1995&lt;Outliers!$E$8,"Low",IF(C1995&gt;Outliers!$F$8,"High",""))</f>
        <v/>
      </c>
      <c r="L1995" s="6" t="str">
        <f aca="false">A1995&amp;";"&amp;B1995&amp;";"&amp;C1995</f>
        <v>22.92360984;92.91915074;20.7554159609588</v>
      </c>
      <c r="M1995" s="6" t="n">
        <f aca="false">IF(COUNTIF($L$2:$L$2201,L1995)&gt;1,1,0)</f>
        <v>0</v>
      </c>
      <c r="N1995" s="6" t="str">
        <f aca="false">IF(AND(C1995&lt;Assumptions!$B$9,B1995&lt;Assumptions!$B$10),"Irrigate Now",IF(AND(C1995&gt;=Assumptions!$B$11,B1995&gt;=Assumptions!$B$12),"No Irrigation Needed","Monitor"))</f>
        <v>Monitor</v>
      </c>
      <c r="O1995" s="6" t="n">
        <f aca="false">IF(N1995=G1995,1,0)</f>
        <v>1</v>
      </c>
    </row>
    <row r="1996" customFormat="false" ht="15" hidden="false" customHeight="false" outlineLevel="0" collapsed="false">
      <c r="A1996" s="16" t="n">
        <v>23.43821725</v>
      </c>
      <c r="B1996" s="16" t="n">
        <v>81.15072105</v>
      </c>
      <c r="C1996" s="16" t="n">
        <v>22.2214551337866</v>
      </c>
      <c r="D1996" s="6" t="s">
        <v>57</v>
      </c>
      <c r="E1996" s="6" t="s">
        <v>57</v>
      </c>
      <c r="F1996" s="6" t="s">
        <v>60</v>
      </c>
      <c r="G1996" s="6" t="s">
        <v>61</v>
      </c>
      <c r="H1996" s="6" t="s">
        <v>63</v>
      </c>
      <c r="I1996" s="6" t="str">
        <f aca="false">IF(A1996&lt;Outliers!$E$6,"Low",IF(A1996&gt;Outliers!$F$6,"High",""))</f>
        <v/>
      </c>
      <c r="J1996" s="6" t="str">
        <f aca="false">IF(B1996&lt;Outliers!$E$7,"Low",IF(B1996&gt;Outliers!$F$7,"High",""))</f>
        <v/>
      </c>
      <c r="K1996" s="6" t="str">
        <f aca="false">IF(C1996&lt;Outliers!$E$8,"Low",IF(C1996&gt;Outliers!$F$8,"High",""))</f>
        <v/>
      </c>
      <c r="L1996" s="6" t="str">
        <f aca="false">A1996&amp;";"&amp;B1996&amp;";"&amp;C1996</f>
        <v>23.43821725;81.15072105;22.2214551337866</v>
      </c>
      <c r="M1996" s="6" t="n">
        <f aca="false">IF(COUNTIF($L$2:$L$2201,L1996)&gt;1,1,0)</f>
        <v>0</v>
      </c>
      <c r="N1996" s="6" t="str">
        <f aca="false">IF(AND(C1996&lt;Assumptions!$B$9,B1996&lt;Assumptions!$B$10),"Irrigate Now",IF(AND(C1996&gt;=Assumptions!$B$11,B1996&gt;=Assumptions!$B$12),"No Irrigation Needed","Monitor"))</f>
        <v>Monitor</v>
      </c>
      <c r="O1996" s="6" t="n">
        <f aca="false">IF(N1996=G1996,1,0)</f>
        <v>1</v>
      </c>
    </row>
    <row r="1997" customFormat="false" ht="15" hidden="false" customHeight="false" outlineLevel="0" collapsed="false">
      <c r="A1997" s="16" t="n">
        <v>22.10718988</v>
      </c>
      <c r="B1997" s="16" t="n">
        <v>74.94136567</v>
      </c>
      <c r="C1997" s="16" t="n">
        <v>26.0923388560943</v>
      </c>
      <c r="D1997" s="6" t="s">
        <v>57</v>
      </c>
      <c r="E1997" s="6" t="s">
        <v>57</v>
      </c>
      <c r="F1997" s="6" t="s">
        <v>23</v>
      </c>
      <c r="G1997" s="6" t="s">
        <v>61</v>
      </c>
      <c r="H1997" s="6" t="s">
        <v>63</v>
      </c>
      <c r="I1997" s="6" t="str">
        <f aca="false">IF(A1997&lt;Outliers!$E$6,"Low",IF(A1997&gt;Outliers!$F$6,"High",""))</f>
        <v/>
      </c>
      <c r="J1997" s="6" t="str">
        <f aca="false">IF(B1997&lt;Outliers!$E$7,"Low",IF(B1997&gt;Outliers!$F$7,"High",""))</f>
        <v/>
      </c>
      <c r="K1997" s="6" t="str">
        <f aca="false">IF(C1997&lt;Outliers!$E$8,"Low",IF(C1997&gt;Outliers!$F$8,"High",""))</f>
        <v/>
      </c>
      <c r="L1997" s="6" t="str">
        <f aca="false">A1997&amp;";"&amp;B1997&amp;";"&amp;C1997</f>
        <v>22.10718988;74.94136567;26.0923388560943</v>
      </c>
      <c r="M1997" s="6" t="n">
        <f aca="false">IF(COUNTIF($L$2:$L$2201,L1997)&gt;1,1,0)</f>
        <v>0</v>
      </c>
      <c r="N1997" s="6" t="str">
        <f aca="false">IF(AND(C1997&lt;Assumptions!$B$9,B1997&lt;Assumptions!$B$10),"Irrigate Now",IF(AND(C1997&gt;=Assumptions!$B$11,B1997&gt;=Assumptions!$B$12),"No Irrigation Needed","Monitor"))</f>
        <v>Monitor</v>
      </c>
      <c r="O1997" s="6" t="n">
        <f aca="false">IF(N1997=G1997,1,0)</f>
        <v>1</v>
      </c>
    </row>
    <row r="1998" customFormat="false" ht="15" hidden="false" customHeight="false" outlineLevel="0" collapsed="false">
      <c r="A1998" s="16" t="n">
        <v>23.03814028</v>
      </c>
      <c r="B1998" s="16" t="n">
        <v>91.49697481</v>
      </c>
      <c r="C1998" s="16" t="n">
        <v>14.0578265629074</v>
      </c>
      <c r="D1998" s="6" t="s">
        <v>57</v>
      </c>
      <c r="E1998" s="6" t="s">
        <v>57</v>
      </c>
      <c r="F1998" s="6" t="s">
        <v>24</v>
      </c>
      <c r="G1998" s="6" t="s">
        <v>64</v>
      </c>
      <c r="H1998" s="6" t="s">
        <v>65</v>
      </c>
      <c r="I1998" s="6" t="str">
        <f aca="false">IF(A1998&lt;Outliers!$E$6,"Low",IF(A1998&gt;Outliers!$F$6,"High",""))</f>
        <v/>
      </c>
      <c r="J1998" s="6" t="str">
        <f aca="false">IF(B1998&lt;Outliers!$E$7,"Low",IF(B1998&gt;Outliers!$F$7,"High",""))</f>
        <v/>
      </c>
      <c r="K1998" s="6" t="str">
        <f aca="false">IF(C1998&lt;Outliers!$E$8,"Low",IF(C1998&gt;Outliers!$F$8,"High",""))</f>
        <v/>
      </c>
      <c r="L1998" s="6" t="str">
        <f aca="false">A1998&amp;";"&amp;B1998&amp;";"&amp;C1998</f>
        <v>23.03814028;91.49697481;14.0578265629074</v>
      </c>
      <c r="M1998" s="6" t="n">
        <f aca="false">IF(COUNTIF($L$2:$L$2201,L1998)&gt;1,1,0)</f>
        <v>0</v>
      </c>
      <c r="N1998" s="6" t="str">
        <f aca="false">IF(AND(C1998&lt;Assumptions!$B$9,B1998&lt;Assumptions!$B$10),"Irrigate Now",IF(AND(C1998&gt;=Assumptions!$B$11,B1998&gt;=Assumptions!$B$12),"No Irrigation Needed","Monitor"))</f>
        <v>Irrigate Now</v>
      </c>
      <c r="O1998" s="6" t="n">
        <f aca="false">IF(N1998=G1998,1,0)</f>
        <v>1</v>
      </c>
    </row>
    <row r="1999" customFormat="false" ht="15" hidden="false" customHeight="false" outlineLevel="0" collapsed="false">
      <c r="A1999" s="16" t="n">
        <v>24.54795322</v>
      </c>
      <c r="B1999" s="16" t="n">
        <v>63.88079866</v>
      </c>
      <c r="C1999" s="16" t="n">
        <v>23.5050310951101</v>
      </c>
      <c r="D1999" s="6" t="s">
        <v>57</v>
      </c>
      <c r="E1999" s="6" t="s">
        <v>57</v>
      </c>
      <c r="F1999" s="6" t="s">
        <v>60</v>
      </c>
      <c r="G1999" s="6" t="s">
        <v>61</v>
      </c>
      <c r="H1999" s="6" t="s">
        <v>63</v>
      </c>
      <c r="I1999" s="6" t="str">
        <f aca="false">IF(A1999&lt;Outliers!$E$6,"Low",IF(A1999&gt;Outliers!$F$6,"High",""))</f>
        <v/>
      </c>
      <c r="J1999" s="6" t="str">
        <f aca="false">IF(B1999&lt;Outliers!$E$7,"Low",IF(B1999&gt;Outliers!$F$7,"High",""))</f>
        <v/>
      </c>
      <c r="K1999" s="6" t="str">
        <f aca="false">IF(C1999&lt;Outliers!$E$8,"Low",IF(C1999&gt;Outliers!$F$8,"High",""))</f>
        <v/>
      </c>
      <c r="L1999" s="6" t="str">
        <f aca="false">A1999&amp;";"&amp;B1999&amp;";"&amp;C1999</f>
        <v>24.54795322;63.88079866;23.5050310951101</v>
      </c>
      <c r="M1999" s="6" t="n">
        <f aca="false">IF(COUNTIF($L$2:$L$2201,L1999)&gt;1,1,0)</f>
        <v>0</v>
      </c>
      <c r="N1999" s="6" t="str">
        <f aca="false">IF(AND(C1999&lt;Assumptions!$B$9,B1999&lt;Assumptions!$B$10),"Irrigate Now",IF(AND(C1999&gt;=Assumptions!$B$11,B1999&gt;=Assumptions!$B$12),"No Irrigation Needed","Monitor"))</f>
        <v>Monitor</v>
      </c>
      <c r="O1999" s="6" t="n">
        <f aca="false">IF(N1999=G1999,1,0)</f>
        <v>1</v>
      </c>
    </row>
    <row r="2000" customFormat="false" ht="15" hidden="false" customHeight="false" outlineLevel="0" collapsed="false">
      <c r="A2000" s="16" t="n">
        <v>23.73868041</v>
      </c>
      <c r="B2000" s="16" t="n">
        <v>76.63669195</v>
      </c>
      <c r="C2000" s="16" t="n">
        <v>17.976434107612</v>
      </c>
      <c r="D2000" s="6" t="s">
        <v>57</v>
      </c>
      <c r="E2000" s="6" t="s">
        <v>57</v>
      </c>
      <c r="F2000" s="6" t="s">
        <v>24</v>
      </c>
      <c r="G2000" s="6" t="s">
        <v>64</v>
      </c>
      <c r="H2000" s="6" t="s">
        <v>65</v>
      </c>
      <c r="I2000" s="6" t="str">
        <f aca="false">IF(A2000&lt;Outliers!$E$6,"Low",IF(A2000&gt;Outliers!$F$6,"High",""))</f>
        <v/>
      </c>
      <c r="J2000" s="6" t="str">
        <f aca="false">IF(B2000&lt;Outliers!$E$7,"Low",IF(B2000&gt;Outliers!$F$7,"High",""))</f>
        <v/>
      </c>
      <c r="K2000" s="6" t="str">
        <f aca="false">IF(C2000&lt;Outliers!$E$8,"Low",IF(C2000&gt;Outliers!$F$8,"High",""))</f>
        <v/>
      </c>
      <c r="L2000" s="6" t="str">
        <f aca="false">A2000&amp;";"&amp;B2000&amp;";"&amp;C2000</f>
        <v>23.73868041;76.63669195;17.976434107612</v>
      </c>
      <c r="M2000" s="6" t="n">
        <f aca="false">IF(COUNTIF($L$2:$L$2201,L2000)&gt;1,1,0)</f>
        <v>0</v>
      </c>
      <c r="N2000" s="6" t="str">
        <f aca="false">IF(AND(C2000&lt;Assumptions!$B$9,B2000&lt;Assumptions!$B$10),"Irrigate Now",IF(AND(C2000&gt;=Assumptions!$B$11,B2000&gt;=Assumptions!$B$12),"No Irrigation Needed","Monitor"))</f>
        <v>Irrigate Now</v>
      </c>
      <c r="O2000" s="6" t="n">
        <f aca="false">IF(N2000=G2000,1,0)</f>
        <v>1</v>
      </c>
    </row>
    <row r="2001" customFormat="false" ht="15" hidden="false" customHeight="false" outlineLevel="0" collapsed="false">
      <c r="A2001" s="16" t="n">
        <v>22.31871914</v>
      </c>
      <c r="B2001" s="16" t="n">
        <v>65.35747011</v>
      </c>
      <c r="C2001" s="16" t="n">
        <v>13.8136504009222</v>
      </c>
      <c r="D2001" s="6" t="s">
        <v>57</v>
      </c>
      <c r="E2001" s="6" t="s">
        <v>57</v>
      </c>
      <c r="F2001" s="6" t="s">
        <v>24</v>
      </c>
      <c r="G2001" s="6" t="s">
        <v>64</v>
      </c>
      <c r="H2001" s="6" t="s">
        <v>65</v>
      </c>
      <c r="I2001" s="6" t="str">
        <f aca="false">IF(A2001&lt;Outliers!$E$6,"Low",IF(A2001&gt;Outliers!$F$6,"High",""))</f>
        <v/>
      </c>
      <c r="J2001" s="6" t="str">
        <f aca="false">IF(B2001&lt;Outliers!$E$7,"Low",IF(B2001&gt;Outliers!$F$7,"High",""))</f>
        <v/>
      </c>
      <c r="K2001" s="6" t="str">
        <f aca="false">IF(C2001&lt;Outliers!$E$8,"Low",IF(C2001&gt;Outliers!$F$8,"High",""))</f>
        <v/>
      </c>
      <c r="L2001" s="6" t="str">
        <f aca="false">A2001&amp;";"&amp;B2001&amp;";"&amp;C2001</f>
        <v>22.31871914;65.35747011;13.8136504009222</v>
      </c>
      <c r="M2001" s="6" t="n">
        <f aca="false">IF(COUNTIF($L$2:$L$2201,L2001)&gt;1,1,0)</f>
        <v>0</v>
      </c>
      <c r="N2001" s="6" t="str">
        <f aca="false">IF(AND(C2001&lt;Assumptions!$B$9,B2001&lt;Assumptions!$B$10),"Irrigate Now",IF(AND(C2001&gt;=Assumptions!$B$11,B2001&gt;=Assumptions!$B$12),"No Irrigation Needed","Monitor"))</f>
        <v>Irrigate Now</v>
      </c>
      <c r="O2001" s="6" t="n">
        <f aca="false">IF(N2001=G2001,1,0)</f>
        <v>1</v>
      </c>
    </row>
    <row r="2002" customFormat="false" ht="15" hidden="false" customHeight="false" outlineLevel="0" collapsed="false">
      <c r="A2002" s="16" t="n">
        <v>25.52468965</v>
      </c>
      <c r="B2002" s="16" t="n">
        <v>151.8869972</v>
      </c>
      <c r="C2002" s="16" t="n">
        <v>17.7676839654236</v>
      </c>
      <c r="D2002" s="6" t="s">
        <v>57</v>
      </c>
      <c r="E2002" s="6" t="s">
        <v>24</v>
      </c>
      <c r="F2002" s="6" t="s">
        <v>60</v>
      </c>
      <c r="G2002" s="6" t="s">
        <v>61</v>
      </c>
      <c r="H2002" s="6" t="s">
        <v>62</v>
      </c>
      <c r="I2002" s="6" t="str">
        <f aca="false">IF(A2002&lt;Outliers!$E$6,"Low",IF(A2002&gt;Outliers!$F$6,"High",""))</f>
        <v/>
      </c>
      <c r="J2002" s="6" t="str">
        <f aca="false">IF(B2002&lt;Outliers!$E$7,"Low",IF(B2002&gt;Outliers!$F$7,"High",""))</f>
        <v/>
      </c>
      <c r="K2002" s="6" t="str">
        <f aca="false">IF(C2002&lt;Outliers!$E$8,"Low",IF(C2002&gt;Outliers!$F$8,"High",""))</f>
        <v/>
      </c>
      <c r="L2002" s="6" t="str">
        <f aca="false">A2002&amp;";"&amp;B2002&amp;";"&amp;C2002</f>
        <v>25.52468965;151.8869972;17.7676839654236</v>
      </c>
      <c r="M2002" s="6" t="n">
        <f aca="false">IF(COUNTIF($L$2:$L$2201,L2002)&gt;1,1,0)</f>
        <v>0</v>
      </c>
      <c r="N2002" s="6" t="str">
        <f aca="false">IF(AND(C2002&lt;Assumptions!$B$9,B2002&lt;Assumptions!$B$10),"Irrigate Now",IF(AND(C2002&gt;=Assumptions!$B$11,B2002&gt;=Assumptions!$B$12),"No Irrigation Needed","Monitor"))</f>
        <v>Monitor</v>
      </c>
      <c r="O2002" s="6" t="n">
        <f aca="false">IF(N2002=G2002,1,0)</f>
        <v>1</v>
      </c>
    </row>
    <row r="2003" customFormat="false" ht="15" hidden="false" customHeight="false" outlineLevel="0" collapsed="false">
      <c r="A2003" s="16" t="n">
        <v>26.59104992</v>
      </c>
      <c r="B2003" s="16" t="n">
        <v>161.2469997</v>
      </c>
      <c r="C2003" s="16" t="n">
        <v>20.4223148695359</v>
      </c>
      <c r="D2003" s="6" t="s">
        <v>57</v>
      </c>
      <c r="E2003" s="6" t="s">
        <v>24</v>
      </c>
      <c r="F2003" s="6" t="s">
        <v>60</v>
      </c>
      <c r="G2003" s="6" t="s">
        <v>61</v>
      </c>
      <c r="H2003" s="6" t="s">
        <v>62</v>
      </c>
      <c r="I2003" s="6" t="str">
        <f aca="false">IF(A2003&lt;Outliers!$E$6,"Low",IF(A2003&gt;Outliers!$F$6,"High",""))</f>
        <v/>
      </c>
      <c r="J2003" s="6" t="str">
        <f aca="false">IF(B2003&lt;Outliers!$E$7,"Low",IF(B2003&gt;Outliers!$F$7,"High",""))</f>
        <v/>
      </c>
      <c r="K2003" s="6" t="str">
        <f aca="false">IF(C2003&lt;Outliers!$E$8,"Low",IF(C2003&gt;Outliers!$F$8,"High",""))</f>
        <v/>
      </c>
      <c r="L2003" s="6" t="str">
        <f aca="false">A2003&amp;";"&amp;B2003&amp;";"&amp;C2003</f>
        <v>26.59104992;161.2469997;20.4223148695359</v>
      </c>
      <c r="M2003" s="6" t="n">
        <f aca="false">IF(COUNTIF($L$2:$L$2201,L2003)&gt;1,1,0)</f>
        <v>0</v>
      </c>
      <c r="N2003" s="6" t="str">
        <f aca="false">IF(AND(C2003&lt;Assumptions!$B$9,B2003&lt;Assumptions!$B$10),"Irrigate Now",IF(AND(C2003&gt;=Assumptions!$B$11,B2003&gt;=Assumptions!$B$12),"No Irrigation Needed","Monitor"))</f>
        <v>Monitor</v>
      </c>
      <c r="O2003" s="6" t="n">
        <f aca="false">IF(N2003=G2003,1,0)</f>
        <v>1</v>
      </c>
    </row>
    <row r="2004" customFormat="false" ht="15" hidden="false" customHeight="false" outlineLevel="0" collapsed="false">
      <c r="A2004" s="16" t="n">
        <v>25.29781791</v>
      </c>
      <c r="B2004" s="16" t="n">
        <v>196.6249511</v>
      </c>
      <c r="C2004" s="16" t="n">
        <v>12.431389871479</v>
      </c>
      <c r="D2004" s="6" t="s">
        <v>57</v>
      </c>
      <c r="E2004" s="6" t="s">
        <v>24</v>
      </c>
      <c r="F2004" s="6" t="s">
        <v>60</v>
      </c>
      <c r="G2004" s="6" t="s">
        <v>61</v>
      </c>
      <c r="H2004" s="6" t="s">
        <v>62</v>
      </c>
      <c r="I2004" s="6" t="str">
        <f aca="false">IF(A2004&lt;Outliers!$E$6,"Low",IF(A2004&gt;Outliers!$F$6,"High",""))</f>
        <v/>
      </c>
      <c r="J2004" s="6" t="str">
        <f aca="false">IF(B2004&lt;Outliers!$E$7,"Low",IF(B2004&gt;Outliers!$F$7,"High",""))</f>
        <v/>
      </c>
      <c r="K2004" s="6" t="str">
        <f aca="false">IF(C2004&lt;Outliers!$E$8,"Low",IF(C2004&gt;Outliers!$F$8,"High",""))</f>
        <v/>
      </c>
      <c r="L2004" s="6" t="str">
        <f aca="false">A2004&amp;";"&amp;B2004&amp;";"&amp;C2004</f>
        <v>25.29781791;196.6249511;12.431389871479</v>
      </c>
      <c r="M2004" s="6" t="n">
        <f aca="false">IF(COUNTIF($L$2:$L$2201,L2004)&gt;1,1,0)</f>
        <v>0</v>
      </c>
      <c r="N2004" s="6" t="str">
        <f aca="false">IF(AND(C2004&lt;Assumptions!$B$9,B2004&lt;Assumptions!$B$10),"Irrigate Now",IF(AND(C2004&gt;=Assumptions!$B$11,B2004&gt;=Assumptions!$B$12),"No Irrigation Needed","Monitor"))</f>
        <v>Monitor</v>
      </c>
      <c r="O2004" s="6" t="n">
        <f aca="false">IF(N2004=G2004,1,0)</f>
        <v>1</v>
      </c>
    </row>
    <row r="2005" customFormat="false" ht="15" hidden="false" customHeight="false" outlineLevel="0" collapsed="false">
      <c r="A2005" s="16" t="n">
        <v>25.72100868</v>
      </c>
      <c r="B2005" s="16" t="n">
        <v>175.6086697</v>
      </c>
      <c r="C2005" s="16" t="n">
        <v>16.512402224199</v>
      </c>
      <c r="D2005" s="6" t="s">
        <v>57</v>
      </c>
      <c r="E2005" s="6" t="s">
        <v>24</v>
      </c>
      <c r="F2005" s="6" t="s">
        <v>60</v>
      </c>
      <c r="G2005" s="6" t="s">
        <v>61</v>
      </c>
      <c r="H2005" s="6" t="s">
        <v>62</v>
      </c>
      <c r="I2005" s="6" t="str">
        <f aca="false">IF(A2005&lt;Outliers!$E$6,"Low",IF(A2005&gt;Outliers!$F$6,"High",""))</f>
        <v/>
      </c>
      <c r="J2005" s="6" t="str">
        <f aca="false">IF(B2005&lt;Outliers!$E$7,"Low",IF(B2005&gt;Outliers!$F$7,"High",""))</f>
        <v/>
      </c>
      <c r="K2005" s="6" t="str">
        <f aca="false">IF(C2005&lt;Outliers!$E$8,"Low",IF(C2005&gt;Outliers!$F$8,"High",""))</f>
        <v/>
      </c>
      <c r="L2005" s="6" t="str">
        <f aca="false">A2005&amp;";"&amp;B2005&amp;";"&amp;C2005</f>
        <v>25.72100868;175.6086697;16.512402224199</v>
      </c>
      <c r="M2005" s="6" t="n">
        <f aca="false">IF(COUNTIF($L$2:$L$2201,L2005)&gt;1,1,0)</f>
        <v>0</v>
      </c>
      <c r="N2005" s="6" t="str">
        <f aca="false">IF(AND(C2005&lt;Assumptions!$B$9,B2005&lt;Assumptions!$B$10),"Irrigate Now",IF(AND(C2005&gt;=Assumptions!$B$11,B2005&gt;=Assumptions!$B$12),"No Irrigation Needed","Monitor"))</f>
        <v>Monitor</v>
      </c>
      <c r="O2005" s="6" t="n">
        <f aca="false">IF(N2005=G2005,1,0)</f>
        <v>1</v>
      </c>
    </row>
    <row r="2006" customFormat="false" ht="15" hidden="false" customHeight="false" outlineLevel="0" collapsed="false">
      <c r="A2006" s="16" t="n">
        <v>23.58419277</v>
      </c>
      <c r="B2006" s="16" t="n">
        <v>190.4242157</v>
      </c>
      <c r="C2006" s="16" t="n">
        <v>14.2290258418343</v>
      </c>
      <c r="D2006" s="6" t="s">
        <v>57</v>
      </c>
      <c r="E2006" s="6" t="s">
        <v>24</v>
      </c>
      <c r="F2006" s="6" t="s">
        <v>60</v>
      </c>
      <c r="G2006" s="6" t="s">
        <v>61</v>
      </c>
      <c r="H2006" s="6" t="s">
        <v>62</v>
      </c>
      <c r="I2006" s="6" t="str">
        <f aca="false">IF(A2006&lt;Outliers!$E$6,"Low",IF(A2006&gt;Outliers!$F$6,"High",""))</f>
        <v/>
      </c>
      <c r="J2006" s="6" t="str">
        <f aca="false">IF(B2006&lt;Outliers!$E$7,"Low",IF(B2006&gt;Outliers!$F$7,"High",""))</f>
        <v/>
      </c>
      <c r="K2006" s="6" t="str">
        <f aca="false">IF(C2006&lt;Outliers!$E$8,"Low",IF(C2006&gt;Outliers!$F$8,"High",""))</f>
        <v/>
      </c>
      <c r="L2006" s="6" t="str">
        <f aca="false">A2006&amp;";"&amp;B2006&amp;";"&amp;C2006</f>
        <v>23.58419277;190.4242157;14.2290258418343</v>
      </c>
      <c r="M2006" s="6" t="n">
        <f aca="false">IF(COUNTIF($L$2:$L$2201,L2006)&gt;1,1,0)</f>
        <v>0</v>
      </c>
      <c r="N2006" s="6" t="str">
        <f aca="false">IF(AND(C2006&lt;Assumptions!$B$9,B2006&lt;Assumptions!$B$10),"Irrigate Now",IF(AND(C2006&gt;=Assumptions!$B$11,B2006&gt;=Assumptions!$B$12),"No Irrigation Needed","Monitor"))</f>
        <v>Monitor</v>
      </c>
      <c r="O2006" s="6" t="n">
        <f aca="false">IF(N2006=G2006,1,0)</f>
        <v>1</v>
      </c>
    </row>
    <row r="2007" customFormat="false" ht="15" hidden="false" customHeight="false" outlineLevel="0" collapsed="false">
      <c r="A2007" s="16" t="n">
        <v>25.31042337</v>
      </c>
      <c r="B2007" s="16" t="n">
        <v>190.5577618</v>
      </c>
      <c r="C2007" s="16" t="n">
        <v>17.9904233755804</v>
      </c>
      <c r="D2007" s="6" t="s">
        <v>57</v>
      </c>
      <c r="E2007" s="6" t="s">
        <v>24</v>
      </c>
      <c r="F2007" s="6" t="s">
        <v>60</v>
      </c>
      <c r="G2007" s="6" t="s">
        <v>61</v>
      </c>
      <c r="H2007" s="6" t="s">
        <v>62</v>
      </c>
      <c r="I2007" s="6" t="str">
        <f aca="false">IF(A2007&lt;Outliers!$E$6,"Low",IF(A2007&gt;Outliers!$F$6,"High",""))</f>
        <v/>
      </c>
      <c r="J2007" s="6" t="str">
        <f aca="false">IF(B2007&lt;Outliers!$E$7,"Low",IF(B2007&gt;Outliers!$F$7,"High",""))</f>
        <v/>
      </c>
      <c r="K2007" s="6" t="str">
        <f aca="false">IF(C2007&lt;Outliers!$E$8,"Low",IF(C2007&gt;Outliers!$F$8,"High",""))</f>
        <v/>
      </c>
      <c r="L2007" s="6" t="str">
        <f aca="false">A2007&amp;";"&amp;B2007&amp;";"&amp;C2007</f>
        <v>25.31042337;190.5577618;17.9904233755804</v>
      </c>
      <c r="M2007" s="6" t="n">
        <f aca="false">IF(COUNTIF($L$2:$L$2201,L2007)&gt;1,1,0)</f>
        <v>0</v>
      </c>
      <c r="N2007" s="6" t="str">
        <f aca="false">IF(AND(C2007&lt;Assumptions!$B$9,B2007&lt;Assumptions!$B$10),"Irrigate Now",IF(AND(C2007&gt;=Assumptions!$B$11,B2007&gt;=Assumptions!$B$12),"No Irrigation Needed","Monitor"))</f>
        <v>Monitor</v>
      </c>
      <c r="O2007" s="6" t="n">
        <f aca="false">IF(N2007=G2007,1,0)</f>
        <v>1</v>
      </c>
    </row>
    <row r="2008" customFormat="false" ht="15" hidden="false" customHeight="false" outlineLevel="0" collapsed="false">
      <c r="A2008" s="16" t="n">
        <v>23.41798979</v>
      </c>
      <c r="B2008" s="16" t="n">
        <v>185.7446728</v>
      </c>
      <c r="C2008" s="16" t="n">
        <v>26.2491243489982</v>
      </c>
      <c r="D2008" s="6" t="s">
        <v>57</v>
      </c>
      <c r="E2008" s="6" t="s">
        <v>24</v>
      </c>
      <c r="F2008" s="6" t="s">
        <v>23</v>
      </c>
      <c r="G2008" s="6" t="s">
        <v>58</v>
      </c>
      <c r="H2008" s="6" t="s">
        <v>59</v>
      </c>
      <c r="I2008" s="6" t="str">
        <f aca="false">IF(A2008&lt;Outliers!$E$6,"Low",IF(A2008&gt;Outliers!$F$6,"High",""))</f>
        <v/>
      </c>
      <c r="J2008" s="6" t="str">
        <f aca="false">IF(B2008&lt;Outliers!$E$7,"Low",IF(B2008&gt;Outliers!$F$7,"High",""))</f>
        <v/>
      </c>
      <c r="K2008" s="6" t="str">
        <f aca="false">IF(C2008&lt;Outliers!$E$8,"Low",IF(C2008&gt;Outliers!$F$8,"High",""))</f>
        <v/>
      </c>
      <c r="L2008" s="6" t="str">
        <f aca="false">A2008&amp;";"&amp;B2008&amp;";"&amp;C2008</f>
        <v>23.41798979;185.7446728;26.2491243489982</v>
      </c>
      <c r="M2008" s="6" t="n">
        <f aca="false">IF(COUNTIF($L$2:$L$2201,L2008)&gt;1,1,0)</f>
        <v>0</v>
      </c>
      <c r="N2008" s="6" t="str">
        <f aca="false">IF(AND(C2008&lt;Assumptions!$B$9,B2008&lt;Assumptions!$B$10),"Irrigate Now",IF(AND(C2008&gt;=Assumptions!$B$11,B2008&gt;=Assumptions!$B$12),"No Irrigation Needed","Monitor"))</f>
        <v>No Irrigation Needed</v>
      </c>
      <c r="O2008" s="6" t="n">
        <f aca="false">IF(N2008=G2008,1,0)</f>
        <v>1</v>
      </c>
    </row>
    <row r="2009" customFormat="false" ht="15" hidden="false" customHeight="false" outlineLevel="0" collapsed="false">
      <c r="A2009" s="16" t="n">
        <v>24.35564134</v>
      </c>
      <c r="B2009" s="16" t="n">
        <v>169.1168028</v>
      </c>
      <c r="C2009" s="16" t="n">
        <v>27.0179479677529</v>
      </c>
      <c r="D2009" s="6" t="s">
        <v>57</v>
      </c>
      <c r="E2009" s="6" t="s">
        <v>24</v>
      </c>
      <c r="F2009" s="6" t="s">
        <v>23</v>
      </c>
      <c r="G2009" s="6" t="s">
        <v>58</v>
      </c>
      <c r="H2009" s="6" t="s">
        <v>59</v>
      </c>
      <c r="I2009" s="6" t="str">
        <f aca="false">IF(A2009&lt;Outliers!$E$6,"Low",IF(A2009&gt;Outliers!$F$6,"High",""))</f>
        <v/>
      </c>
      <c r="J2009" s="6" t="str">
        <f aca="false">IF(B2009&lt;Outliers!$E$7,"Low",IF(B2009&gt;Outliers!$F$7,"High",""))</f>
        <v/>
      </c>
      <c r="K2009" s="6" t="str">
        <f aca="false">IF(C2009&lt;Outliers!$E$8,"Low",IF(C2009&gt;Outliers!$F$8,"High",""))</f>
        <v/>
      </c>
      <c r="L2009" s="6" t="str">
        <f aca="false">A2009&amp;";"&amp;B2009&amp;";"&amp;C2009</f>
        <v>24.35564134;169.1168028;27.0179479677529</v>
      </c>
      <c r="M2009" s="6" t="n">
        <f aca="false">IF(COUNTIF($L$2:$L$2201,L2009)&gt;1,1,0)</f>
        <v>0</v>
      </c>
      <c r="N2009" s="6" t="str">
        <f aca="false">IF(AND(C2009&lt;Assumptions!$B$9,B2009&lt;Assumptions!$B$10),"Irrigate Now",IF(AND(C2009&gt;=Assumptions!$B$11,B2009&gt;=Assumptions!$B$12),"No Irrigation Needed","Monitor"))</f>
        <v>No Irrigation Needed</v>
      </c>
      <c r="O2009" s="6" t="n">
        <f aca="false">IF(N2009=G2009,1,0)</f>
        <v>1</v>
      </c>
    </row>
    <row r="2010" customFormat="false" ht="15" hidden="false" customHeight="false" outlineLevel="0" collapsed="false">
      <c r="A2010" s="16" t="n">
        <v>26.284017</v>
      </c>
      <c r="B2010" s="16" t="n">
        <v>182.2685447</v>
      </c>
      <c r="C2010" s="16" t="n">
        <v>27.4027568086043</v>
      </c>
      <c r="D2010" s="6" t="s">
        <v>57</v>
      </c>
      <c r="E2010" s="6" t="s">
        <v>24</v>
      </c>
      <c r="F2010" s="6" t="s">
        <v>23</v>
      </c>
      <c r="G2010" s="6" t="s">
        <v>58</v>
      </c>
      <c r="H2010" s="6" t="s">
        <v>59</v>
      </c>
      <c r="I2010" s="6" t="str">
        <f aca="false">IF(A2010&lt;Outliers!$E$6,"Low",IF(A2010&gt;Outliers!$F$6,"High",""))</f>
        <v/>
      </c>
      <c r="J2010" s="6" t="str">
        <f aca="false">IF(B2010&lt;Outliers!$E$7,"Low",IF(B2010&gt;Outliers!$F$7,"High",""))</f>
        <v/>
      </c>
      <c r="K2010" s="6" t="str">
        <f aca="false">IF(C2010&lt;Outliers!$E$8,"Low",IF(C2010&gt;Outliers!$F$8,"High",""))</f>
        <v/>
      </c>
      <c r="L2010" s="6" t="str">
        <f aca="false">A2010&amp;";"&amp;B2010&amp;";"&amp;C2010</f>
        <v>26.284017;182.2685447;27.4027568086043</v>
      </c>
      <c r="M2010" s="6" t="n">
        <f aca="false">IF(COUNTIF($L$2:$L$2201,L2010)&gt;1,1,0)</f>
        <v>0</v>
      </c>
      <c r="N2010" s="6" t="str">
        <f aca="false">IF(AND(C2010&lt;Assumptions!$B$9,B2010&lt;Assumptions!$B$10),"Irrigate Now",IF(AND(C2010&gt;=Assumptions!$B$11,B2010&gt;=Assumptions!$B$12),"No Irrigation Needed","Monitor"))</f>
        <v>No Irrigation Needed</v>
      </c>
      <c r="O2010" s="6" t="n">
        <f aca="false">IF(N2010=G2010,1,0)</f>
        <v>1</v>
      </c>
    </row>
    <row r="2011" customFormat="false" ht="15" hidden="false" customHeight="false" outlineLevel="0" collapsed="false">
      <c r="A2011" s="16" t="n">
        <v>25.13842773</v>
      </c>
      <c r="B2011" s="16" t="n">
        <v>169.3388465</v>
      </c>
      <c r="C2011" s="16" t="n">
        <v>21.1059619050603</v>
      </c>
      <c r="D2011" s="6" t="s">
        <v>57</v>
      </c>
      <c r="E2011" s="6" t="s">
        <v>24</v>
      </c>
      <c r="F2011" s="6" t="s">
        <v>23</v>
      </c>
      <c r="G2011" s="6" t="s">
        <v>61</v>
      </c>
      <c r="H2011" s="6" t="s">
        <v>62</v>
      </c>
      <c r="I2011" s="6" t="str">
        <f aca="false">IF(A2011&lt;Outliers!$E$6,"Low",IF(A2011&gt;Outliers!$F$6,"High",""))</f>
        <v/>
      </c>
      <c r="J2011" s="6" t="str">
        <f aca="false">IF(B2011&lt;Outliers!$E$7,"Low",IF(B2011&gt;Outliers!$F$7,"High",""))</f>
        <v/>
      </c>
      <c r="K2011" s="6" t="str">
        <f aca="false">IF(C2011&lt;Outliers!$E$8,"Low",IF(C2011&gt;Outliers!$F$8,"High",""))</f>
        <v/>
      </c>
      <c r="L2011" s="6" t="str">
        <f aca="false">A2011&amp;";"&amp;B2011&amp;";"&amp;C2011</f>
        <v>25.13842773;169.3388465;21.1059619050603</v>
      </c>
      <c r="M2011" s="6" t="n">
        <f aca="false">IF(COUNTIF($L$2:$L$2201,L2011)&gt;1,1,0)</f>
        <v>0</v>
      </c>
      <c r="N2011" s="6" t="str">
        <f aca="false">IF(AND(C2011&lt;Assumptions!$B$9,B2011&lt;Assumptions!$B$10),"Irrigate Now",IF(AND(C2011&gt;=Assumptions!$B$11,B2011&gt;=Assumptions!$B$12),"No Irrigation Needed","Monitor"))</f>
        <v>Monitor</v>
      </c>
      <c r="O2011" s="6" t="n">
        <f aca="false">IF(N2011=G2011,1,0)</f>
        <v>1</v>
      </c>
    </row>
    <row r="2012" customFormat="false" ht="15" hidden="false" customHeight="false" outlineLevel="0" collapsed="false">
      <c r="A2012" s="16" t="n">
        <v>24.88692811</v>
      </c>
      <c r="B2012" s="16" t="n">
        <v>150.2498675</v>
      </c>
      <c r="C2012" s="16" t="n">
        <v>19.8837080301698</v>
      </c>
      <c r="D2012" s="6" t="s">
        <v>57</v>
      </c>
      <c r="E2012" s="6" t="s">
        <v>24</v>
      </c>
      <c r="F2012" s="6" t="s">
        <v>60</v>
      </c>
      <c r="G2012" s="6" t="s">
        <v>61</v>
      </c>
      <c r="H2012" s="6" t="s">
        <v>62</v>
      </c>
      <c r="I2012" s="6" t="str">
        <f aca="false">IF(A2012&lt;Outliers!$E$6,"Low",IF(A2012&gt;Outliers!$F$6,"High",""))</f>
        <v/>
      </c>
      <c r="J2012" s="6" t="str">
        <f aca="false">IF(B2012&lt;Outliers!$E$7,"Low",IF(B2012&gt;Outliers!$F$7,"High",""))</f>
        <v/>
      </c>
      <c r="K2012" s="6" t="str">
        <f aca="false">IF(C2012&lt;Outliers!$E$8,"Low",IF(C2012&gt;Outliers!$F$8,"High",""))</f>
        <v/>
      </c>
      <c r="L2012" s="6" t="str">
        <f aca="false">A2012&amp;";"&amp;B2012&amp;";"&amp;C2012</f>
        <v>24.88692811;150.2498675;19.8837080301698</v>
      </c>
      <c r="M2012" s="6" t="n">
        <f aca="false">IF(COUNTIF($L$2:$L$2201,L2012)&gt;1,1,0)</f>
        <v>0</v>
      </c>
      <c r="N2012" s="6" t="str">
        <f aca="false">IF(AND(C2012&lt;Assumptions!$B$9,B2012&lt;Assumptions!$B$10),"Irrigate Now",IF(AND(C2012&gt;=Assumptions!$B$11,B2012&gt;=Assumptions!$B$12),"No Irrigation Needed","Monitor"))</f>
        <v>Monitor</v>
      </c>
      <c r="O2012" s="6" t="n">
        <f aca="false">IF(N2012=G2012,1,0)</f>
        <v>1</v>
      </c>
    </row>
    <row r="2013" customFormat="false" ht="15" hidden="false" customHeight="false" outlineLevel="0" collapsed="false">
      <c r="A2013" s="16" t="n">
        <v>25.75734909</v>
      </c>
      <c r="B2013" s="16" t="n">
        <v>189.4263485</v>
      </c>
      <c r="C2013" s="16" t="n">
        <v>20.0789514811093</v>
      </c>
      <c r="D2013" s="6" t="s">
        <v>57</v>
      </c>
      <c r="E2013" s="6" t="s">
        <v>24</v>
      </c>
      <c r="F2013" s="6" t="s">
        <v>23</v>
      </c>
      <c r="G2013" s="6" t="s">
        <v>61</v>
      </c>
      <c r="H2013" s="6" t="s">
        <v>62</v>
      </c>
      <c r="I2013" s="6" t="str">
        <f aca="false">IF(A2013&lt;Outliers!$E$6,"Low",IF(A2013&gt;Outliers!$F$6,"High",""))</f>
        <v/>
      </c>
      <c r="J2013" s="6" t="str">
        <f aca="false">IF(B2013&lt;Outliers!$E$7,"Low",IF(B2013&gt;Outliers!$F$7,"High",""))</f>
        <v/>
      </c>
      <c r="K2013" s="6" t="str">
        <f aca="false">IF(C2013&lt;Outliers!$E$8,"Low",IF(C2013&gt;Outliers!$F$8,"High",""))</f>
        <v/>
      </c>
      <c r="L2013" s="6" t="str">
        <f aca="false">A2013&amp;";"&amp;B2013&amp;";"&amp;C2013</f>
        <v>25.75734909;189.4263485;20.0789514811093</v>
      </c>
      <c r="M2013" s="6" t="n">
        <f aca="false">IF(COUNTIF($L$2:$L$2201,L2013)&gt;1,1,0)</f>
        <v>0</v>
      </c>
      <c r="N2013" s="6" t="str">
        <f aca="false">IF(AND(C2013&lt;Assumptions!$B$9,B2013&lt;Assumptions!$B$10),"Irrigate Now",IF(AND(C2013&gt;=Assumptions!$B$11,B2013&gt;=Assumptions!$B$12),"No Irrigation Needed","Monitor"))</f>
        <v>Monitor</v>
      </c>
      <c r="O2013" s="6" t="n">
        <f aca="false">IF(N2013=G2013,1,0)</f>
        <v>1</v>
      </c>
    </row>
    <row r="2014" customFormat="false" ht="15" hidden="false" customHeight="false" outlineLevel="0" collapsed="false">
      <c r="A2014" s="16" t="n">
        <v>23.12844351</v>
      </c>
      <c r="B2014" s="16" t="n">
        <v>199.8362913</v>
      </c>
      <c r="C2014" s="16" t="n">
        <v>14.5831815629111</v>
      </c>
      <c r="D2014" s="6" t="s">
        <v>57</v>
      </c>
      <c r="E2014" s="6" t="s">
        <v>24</v>
      </c>
      <c r="F2014" s="6" t="s">
        <v>60</v>
      </c>
      <c r="G2014" s="6" t="s">
        <v>61</v>
      </c>
      <c r="H2014" s="6" t="s">
        <v>62</v>
      </c>
      <c r="I2014" s="6" t="str">
        <f aca="false">IF(A2014&lt;Outliers!$E$6,"Low",IF(A2014&gt;Outliers!$F$6,"High",""))</f>
        <v/>
      </c>
      <c r="J2014" s="6" t="str">
        <f aca="false">IF(B2014&lt;Outliers!$E$7,"Low",IF(B2014&gt;Outliers!$F$7,"High",""))</f>
        <v/>
      </c>
      <c r="K2014" s="6" t="str">
        <f aca="false">IF(C2014&lt;Outliers!$E$8,"Low",IF(C2014&gt;Outliers!$F$8,"High",""))</f>
        <v/>
      </c>
      <c r="L2014" s="6" t="str">
        <f aca="false">A2014&amp;";"&amp;B2014&amp;";"&amp;C2014</f>
        <v>23.12844351;199.8362913;14.5831815629111</v>
      </c>
      <c r="M2014" s="6" t="n">
        <f aca="false">IF(COUNTIF($L$2:$L$2201,L2014)&gt;1,1,0)</f>
        <v>0</v>
      </c>
      <c r="N2014" s="6" t="str">
        <f aca="false">IF(AND(C2014&lt;Assumptions!$B$9,B2014&lt;Assumptions!$B$10),"Irrigate Now",IF(AND(C2014&gt;=Assumptions!$B$11,B2014&gt;=Assumptions!$B$12),"No Irrigation Needed","Monitor"))</f>
        <v>Monitor</v>
      </c>
      <c r="O2014" s="6" t="n">
        <f aca="false">IF(N2014=G2014,1,0)</f>
        <v>1</v>
      </c>
    </row>
    <row r="2015" customFormat="false" ht="15" hidden="false" customHeight="false" outlineLevel="0" collapsed="false">
      <c r="A2015" s="16" t="n">
        <v>24.9949957</v>
      </c>
      <c r="B2015" s="16" t="n">
        <v>151.4935635</v>
      </c>
      <c r="C2015" s="16" t="n">
        <v>12.098465709034</v>
      </c>
      <c r="D2015" s="6" t="s">
        <v>57</v>
      </c>
      <c r="E2015" s="6" t="s">
        <v>24</v>
      </c>
      <c r="F2015" s="6" t="s">
        <v>24</v>
      </c>
      <c r="G2015" s="6" t="s">
        <v>61</v>
      </c>
      <c r="H2015" s="6" t="s">
        <v>62</v>
      </c>
      <c r="I2015" s="6" t="str">
        <f aca="false">IF(A2015&lt;Outliers!$E$6,"Low",IF(A2015&gt;Outliers!$F$6,"High",""))</f>
        <v/>
      </c>
      <c r="J2015" s="6" t="str">
        <f aca="false">IF(B2015&lt;Outliers!$E$7,"Low",IF(B2015&gt;Outliers!$F$7,"High",""))</f>
        <v/>
      </c>
      <c r="K2015" s="6" t="str">
        <f aca="false">IF(C2015&lt;Outliers!$E$8,"Low",IF(C2015&gt;Outliers!$F$8,"High",""))</f>
        <v/>
      </c>
      <c r="L2015" s="6" t="str">
        <f aca="false">A2015&amp;";"&amp;B2015&amp;";"&amp;C2015</f>
        <v>24.9949957;151.4935635;12.098465709034</v>
      </c>
      <c r="M2015" s="6" t="n">
        <f aca="false">IF(COUNTIF($L$2:$L$2201,L2015)&gt;1,1,0)</f>
        <v>0</v>
      </c>
      <c r="N2015" s="6" t="str">
        <f aca="false">IF(AND(C2015&lt;Assumptions!$B$9,B2015&lt;Assumptions!$B$10),"Irrigate Now",IF(AND(C2015&gt;=Assumptions!$B$11,B2015&gt;=Assumptions!$B$12),"No Irrigation Needed","Monitor"))</f>
        <v>Monitor</v>
      </c>
      <c r="O2015" s="6" t="n">
        <f aca="false">IF(N2015=G2015,1,0)</f>
        <v>1</v>
      </c>
    </row>
    <row r="2016" customFormat="false" ht="15" hidden="false" customHeight="false" outlineLevel="0" collapsed="false">
      <c r="A2016" s="16" t="n">
        <v>25.21622704</v>
      </c>
      <c r="B2016" s="16" t="n">
        <v>195.8645552</v>
      </c>
      <c r="C2016" s="16" t="n">
        <v>20.8620109233888</v>
      </c>
      <c r="D2016" s="6" t="s">
        <v>57</v>
      </c>
      <c r="E2016" s="6" t="s">
        <v>24</v>
      </c>
      <c r="F2016" s="6" t="s">
        <v>23</v>
      </c>
      <c r="G2016" s="6" t="s">
        <v>61</v>
      </c>
      <c r="H2016" s="6" t="s">
        <v>62</v>
      </c>
      <c r="I2016" s="6" t="str">
        <f aca="false">IF(A2016&lt;Outliers!$E$6,"Low",IF(A2016&gt;Outliers!$F$6,"High",""))</f>
        <v/>
      </c>
      <c r="J2016" s="6" t="str">
        <f aca="false">IF(B2016&lt;Outliers!$E$7,"Low",IF(B2016&gt;Outliers!$F$7,"High",""))</f>
        <v/>
      </c>
      <c r="K2016" s="6" t="str">
        <f aca="false">IF(C2016&lt;Outliers!$E$8,"Low",IF(C2016&gt;Outliers!$F$8,"High",""))</f>
        <v/>
      </c>
      <c r="L2016" s="6" t="str">
        <f aca="false">A2016&amp;";"&amp;B2016&amp;";"&amp;C2016</f>
        <v>25.21622704;195.8645552;20.8620109233888</v>
      </c>
      <c r="M2016" s="6" t="n">
        <f aca="false">IF(COUNTIF($L$2:$L$2201,L2016)&gt;1,1,0)</f>
        <v>0</v>
      </c>
      <c r="N2016" s="6" t="str">
        <f aca="false">IF(AND(C2016&lt;Assumptions!$B$9,B2016&lt;Assumptions!$B$10),"Irrigate Now",IF(AND(C2016&gt;=Assumptions!$B$11,B2016&gt;=Assumptions!$B$12),"No Irrigation Needed","Monitor"))</f>
        <v>Monitor</v>
      </c>
      <c r="O2016" s="6" t="n">
        <f aca="false">IF(N2016=G2016,1,0)</f>
        <v>1</v>
      </c>
    </row>
    <row r="2017" customFormat="false" ht="15" hidden="false" customHeight="false" outlineLevel="0" collapsed="false">
      <c r="A2017" s="16" t="n">
        <v>24.39736241</v>
      </c>
      <c r="B2017" s="16" t="n">
        <v>164.2697011</v>
      </c>
      <c r="C2017" s="16" t="n">
        <v>25.5540921371553</v>
      </c>
      <c r="D2017" s="6" t="s">
        <v>57</v>
      </c>
      <c r="E2017" s="6" t="s">
        <v>24</v>
      </c>
      <c r="F2017" s="6" t="s">
        <v>23</v>
      </c>
      <c r="G2017" s="6" t="s">
        <v>58</v>
      </c>
      <c r="H2017" s="6" t="s">
        <v>59</v>
      </c>
      <c r="I2017" s="6" t="str">
        <f aca="false">IF(A2017&lt;Outliers!$E$6,"Low",IF(A2017&gt;Outliers!$F$6,"High",""))</f>
        <v/>
      </c>
      <c r="J2017" s="6" t="str">
        <f aca="false">IF(B2017&lt;Outliers!$E$7,"Low",IF(B2017&gt;Outliers!$F$7,"High",""))</f>
        <v/>
      </c>
      <c r="K2017" s="6" t="str">
        <f aca="false">IF(C2017&lt;Outliers!$E$8,"Low",IF(C2017&gt;Outliers!$F$8,"High",""))</f>
        <v/>
      </c>
      <c r="L2017" s="6" t="str">
        <f aca="false">A2017&amp;";"&amp;B2017&amp;";"&amp;C2017</f>
        <v>24.39736241;164.2697011;25.5540921371553</v>
      </c>
      <c r="M2017" s="6" t="n">
        <f aca="false">IF(COUNTIF($L$2:$L$2201,L2017)&gt;1,1,0)</f>
        <v>0</v>
      </c>
      <c r="N2017" s="6" t="str">
        <f aca="false">IF(AND(C2017&lt;Assumptions!$B$9,B2017&lt;Assumptions!$B$10),"Irrigate Now",IF(AND(C2017&gt;=Assumptions!$B$11,B2017&gt;=Assumptions!$B$12),"No Irrigation Needed","Monitor"))</f>
        <v>No Irrigation Needed</v>
      </c>
      <c r="O2017" s="6" t="n">
        <f aca="false">IF(N2017=G2017,1,0)</f>
        <v>1</v>
      </c>
    </row>
    <row r="2018" customFormat="false" ht="15" hidden="false" customHeight="false" outlineLevel="0" collapsed="false">
      <c r="A2018" s="16" t="n">
        <v>23.31410442</v>
      </c>
      <c r="B2018" s="16" t="n">
        <v>164.4970373</v>
      </c>
      <c r="C2018" s="16" t="n">
        <v>19.3942529437795</v>
      </c>
      <c r="D2018" s="6" t="s">
        <v>57</v>
      </c>
      <c r="E2018" s="6" t="s">
        <v>24</v>
      </c>
      <c r="F2018" s="6" t="s">
        <v>60</v>
      </c>
      <c r="G2018" s="6" t="s">
        <v>61</v>
      </c>
      <c r="H2018" s="6" t="s">
        <v>62</v>
      </c>
      <c r="I2018" s="6" t="str">
        <f aca="false">IF(A2018&lt;Outliers!$E$6,"Low",IF(A2018&gt;Outliers!$F$6,"High",""))</f>
        <v/>
      </c>
      <c r="J2018" s="6" t="str">
        <f aca="false">IF(B2018&lt;Outliers!$E$7,"Low",IF(B2018&gt;Outliers!$F$7,"High",""))</f>
        <v/>
      </c>
      <c r="K2018" s="6" t="str">
        <f aca="false">IF(C2018&lt;Outliers!$E$8,"Low",IF(C2018&gt;Outliers!$F$8,"High",""))</f>
        <v/>
      </c>
      <c r="L2018" s="6" t="str">
        <f aca="false">A2018&amp;";"&amp;B2018&amp;";"&amp;C2018</f>
        <v>23.31410442;164.4970373;19.3942529437795</v>
      </c>
      <c r="M2018" s="6" t="n">
        <f aca="false">IF(COUNTIF($L$2:$L$2201,L2018)&gt;1,1,0)</f>
        <v>0</v>
      </c>
      <c r="N2018" s="6" t="str">
        <f aca="false">IF(AND(C2018&lt;Assumptions!$B$9,B2018&lt;Assumptions!$B$10),"Irrigate Now",IF(AND(C2018&gt;=Assumptions!$B$11,B2018&gt;=Assumptions!$B$12),"No Irrigation Needed","Monitor"))</f>
        <v>Monitor</v>
      </c>
      <c r="O2018" s="6" t="n">
        <f aca="false">IF(N2018=G2018,1,0)</f>
        <v>1</v>
      </c>
    </row>
    <row r="2019" customFormat="false" ht="15" hidden="false" customHeight="false" outlineLevel="0" collapsed="false">
      <c r="A2019" s="16" t="n">
        <v>25.72668885</v>
      </c>
      <c r="B2019" s="16" t="n">
        <v>191.9649389</v>
      </c>
      <c r="C2019" s="16" t="n">
        <v>29.9491278421324</v>
      </c>
      <c r="D2019" s="6" t="s">
        <v>57</v>
      </c>
      <c r="E2019" s="6" t="s">
        <v>24</v>
      </c>
      <c r="F2019" s="6" t="s">
        <v>23</v>
      </c>
      <c r="G2019" s="6" t="s">
        <v>58</v>
      </c>
      <c r="H2019" s="6" t="s">
        <v>59</v>
      </c>
      <c r="I2019" s="6" t="str">
        <f aca="false">IF(A2019&lt;Outliers!$E$6,"Low",IF(A2019&gt;Outliers!$F$6,"High",""))</f>
        <v/>
      </c>
      <c r="J2019" s="6" t="str">
        <f aca="false">IF(B2019&lt;Outliers!$E$7,"Low",IF(B2019&gt;Outliers!$F$7,"High",""))</f>
        <v/>
      </c>
      <c r="K2019" s="6" t="str">
        <f aca="false">IF(C2019&lt;Outliers!$E$8,"Low",IF(C2019&gt;Outliers!$F$8,"High",""))</f>
        <v/>
      </c>
      <c r="L2019" s="6" t="str">
        <f aca="false">A2019&amp;";"&amp;B2019&amp;";"&amp;C2019</f>
        <v>25.72668885;191.9649389;29.9491278421324</v>
      </c>
      <c r="M2019" s="6" t="n">
        <f aca="false">IF(COUNTIF($L$2:$L$2201,L2019)&gt;1,1,0)</f>
        <v>0</v>
      </c>
      <c r="N2019" s="6" t="str">
        <f aca="false">IF(AND(C2019&lt;Assumptions!$B$9,B2019&lt;Assumptions!$B$10),"Irrigate Now",IF(AND(C2019&gt;=Assumptions!$B$11,B2019&gt;=Assumptions!$B$12),"No Irrigation Needed","Monitor"))</f>
        <v>No Irrigation Needed</v>
      </c>
      <c r="O2019" s="6" t="n">
        <f aca="false">IF(N2019=G2019,1,0)</f>
        <v>1</v>
      </c>
    </row>
    <row r="2020" customFormat="false" ht="15" hidden="false" customHeight="false" outlineLevel="0" collapsed="false">
      <c r="A2020" s="16" t="n">
        <v>26.96656378</v>
      </c>
      <c r="B2020" s="16" t="n">
        <v>169.8391177</v>
      </c>
      <c r="C2020" s="16" t="n">
        <v>14.3131133857327</v>
      </c>
      <c r="D2020" s="6" t="s">
        <v>57</v>
      </c>
      <c r="E2020" s="6" t="s">
        <v>24</v>
      </c>
      <c r="F2020" s="6" t="s">
        <v>60</v>
      </c>
      <c r="G2020" s="6" t="s">
        <v>61</v>
      </c>
      <c r="H2020" s="6" t="s">
        <v>62</v>
      </c>
      <c r="I2020" s="6" t="str">
        <f aca="false">IF(A2020&lt;Outliers!$E$6,"Low",IF(A2020&gt;Outliers!$F$6,"High",""))</f>
        <v/>
      </c>
      <c r="J2020" s="6" t="str">
        <f aca="false">IF(B2020&lt;Outliers!$E$7,"Low",IF(B2020&gt;Outliers!$F$7,"High",""))</f>
        <v/>
      </c>
      <c r="K2020" s="6" t="str">
        <f aca="false">IF(C2020&lt;Outliers!$E$8,"Low",IF(C2020&gt;Outliers!$F$8,"High",""))</f>
        <v/>
      </c>
      <c r="L2020" s="6" t="str">
        <f aca="false">A2020&amp;";"&amp;B2020&amp;";"&amp;C2020</f>
        <v>26.96656378;169.8391177;14.3131133857327</v>
      </c>
      <c r="M2020" s="6" t="n">
        <f aca="false">IF(COUNTIF($L$2:$L$2201,L2020)&gt;1,1,0)</f>
        <v>0</v>
      </c>
      <c r="N2020" s="6" t="str">
        <f aca="false">IF(AND(C2020&lt;Assumptions!$B$9,B2020&lt;Assumptions!$B$10),"Irrigate Now",IF(AND(C2020&gt;=Assumptions!$B$11,B2020&gt;=Assumptions!$B$12),"No Irrigation Needed","Monitor"))</f>
        <v>Monitor</v>
      </c>
      <c r="O2020" s="6" t="n">
        <f aca="false">IF(N2020=G2020,1,0)</f>
        <v>1</v>
      </c>
    </row>
    <row r="2021" customFormat="false" ht="15" hidden="false" customHeight="false" outlineLevel="0" collapsed="false">
      <c r="A2021" s="16" t="n">
        <v>23.70467146</v>
      </c>
      <c r="B2021" s="16" t="n">
        <v>181.2783964</v>
      </c>
      <c r="C2021" s="16" t="n">
        <v>21.5630675646793</v>
      </c>
      <c r="D2021" s="6" t="s">
        <v>57</v>
      </c>
      <c r="E2021" s="6" t="s">
        <v>24</v>
      </c>
      <c r="F2021" s="6" t="s">
        <v>23</v>
      </c>
      <c r="G2021" s="6" t="s">
        <v>61</v>
      </c>
      <c r="H2021" s="6" t="s">
        <v>62</v>
      </c>
      <c r="I2021" s="6" t="str">
        <f aca="false">IF(A2021&lt;Outliers!$E$6,"Low",IF(A2021&gt;Outliers!$F$6,"High",""))</f>
        <v/>
      </c>
      <c r="J2021" s="6" t="str">
        <f aca="false">IF(B2021&lt;Outliers!$E$7,"Low",IF(B2021&gt;Outliers!$F$7,"High",""))</f>
        <v/>
      </c>
      <c r="K2021" s="6" t="str">
        <f aca="false">IF(C2021&lt;Outliers!$E$8,"Low",IF(C2021&gt;Outliers!$F$8,"High",""))</f>
        <v/>
      </c>
      <c r="L2021" s="6" t="str">
        <f aca="false">A2021&amp;";"&amp;B2021&amp;";"&amp;C2021</f>
        <v>23.70467146;181.2783964;21.5630675646793</v>
      </c>
      <c r="M2021" s="6" t="n">
        <f aca="false">IF(COUNTIF($L$2:$L$2201,L2021)&gt;1,1,0)</f>
        <v>0</v>
      </c>
      <c r="N2021" s="6" t="str">
        <f aca="false">IF(AND(C2021&lt;Assumptions!$B$9,B2021&lt;Assumptions!$B$10),"Irrigate Now",IF(AND(C2021&gt;=Assumptions!$B$11,B2021&gt;=Assumptions!$B$12),"No Irrigation Needed","Monitor"))</f>
        <v>Monitor</v>
      </c>
      <c r="O2021" s="6" t="n">
        <f aca="false">IF(N2021=G2021,1,0)</f>
        <v>1</v>
      </c>
    </row>
    <row r="2022" customFormat="false" ht="15" hidden="false" customHeight="false" outlineLevel="0" collapsed="false">
      <c r="A2022" s="16" t="n">
        <v>24.90075709</v>
      </c>
      <c r="B2022" s="16" t="n">
        <v>153.8990984</v>
      </c>
      <c r="C2022" s="16" t="n">
        <v>17.5751651495513</v>
      </c>
      <c r="D2022" s="6" t="s">
        <v>57</v>
      </c>
      <c r="E2022" s="6" t="s">
        <v>24</v>
      </c>
      <c r="F2022" s="6" t="s">
        <v>60</v>
      </c>
      <c r="G2022" s="6" t="s">
        <v>61</v>
      </c>
      <c r="H2022" s="6" t="s">
        <v>62</v>
      </c>
      <c r="I2022" s="6" t="str">
        <f aca="false">IF(A2022&lt;Outliers!$E$6,"Low",IF(A2022&gt;Outliers!$F$6,"High",""))</f>
        <v/>
      </c>
      <c r="J2022" s="6" t="str">
        <f aca="false">IF(B2022&lt;Outliers!$E$7,"Low",IF(B2022&gt;Outliers!$F$7,"High",""))</f>
        <v/>
      </c>
      <c r="K2022" s="6" t="str">
        <f aca="false">IF(C2022&lt;Outliers!$E$8,"Low",IF(C2022&gt;Outliers!$F$8,"High",""))</f>
        <v/>
      </c>
      <c r="L2022" s="6" t="str">
        <f aca="false">A2022&amp;";"&amp;B2022&amp;";"&amp;C2022</f>
        <v>24.90075709;153.8990984;17.5751651495513</v>
      </c>
      <c r="M2022" s="6" t="n">
        <f aca="false">IF(COUNTIF($L$2:$L$2201,L2022)&gt;1,1,0)</f>
        <v>0</v>
      </c>
      <c r="N2022" s="6" t="str">
        <f aca="false">IF(AND(C2022&lt;Assumptions!$B$9,B2022&lt;Assumptions!$B$10),"Irrigate Now",IF(AND(C2022&gt;=Assumptions!$B$11,B2022&gt;=Assumptions!$B$12),"No Irrigation Needed","Monitor"))</f>
        <v>Monitor</v>
      </c>
      <c r="O2022" s="6" t="n">
        <f aca="false">IF(N2022=G2022,1,0)</f>
        <v>1</v>
      </c>
    </row>
    <row r="2023" customFormat="false" ht="15" hidden="false" customHeight="false" outlineLevel="0" collapsed="false">
      <c r="A2023" s="16" t="n">
        <v>23.39605743</v>
      </c>
      <c r="B2023" s="16" t="n">
        <v>174.7876411</v>
      </c>
      <c r="C2023" s="16" t="n">
        <v>14.6388554777401</v>
      </c>
      <c r="D2023" s="6" t="s">
        <v>57</v>
      </c>
      <c r="E2023" s="6" t="s">
        <v>24</v>
      </c>
      <c r="F2023" s="6" t="s">
        <v>60</v>
      </c>
      <c r="G2023" s="6" t="s">
        <v>61</v>
      </c>
      <c r="H2023" s="6" t="s">
        <v>62</v>
      </c>
      <c r="I2023" s="6" t="str">
        <f aca="false">IF(A2023&lt;Outliers!$E$6,"Low",IF(A2023&gt;Outliers!$F$6,"High",""))</f>
        <v/>
      </c>
      <c r="J2023" s="6" t="str">
        <f aca="false">IF(B2023&lt;Outliers!$E$7,"Low",IF(B2023&gt;Outliers!$F$7,"High",""))</f>
        <v/>
      </c>
      <c r="K2023" s="6" t="str">
        <f aca="false">IF(C2023&lt;Outliers!$E$8,"Low",IF(C2023&gt;Outliers!$F$8,"High",""))</f>
        <v/>
      </c>
      <c r="L2023" s="6" t="str">
        <f aca="false">A2023&amp;";"&amp;B2023&amp;";"&amp;C2023</f>
        <v>23.39605743;174.7876411;14.6388554777401</v>
      </c>
      <c r="M2023" s="6" t="n">
        <f aca="false">IF(COUNTIF($L$2:$L$2201,L2023)&gt;1,1,0)</f>
        <v>0</v>
      </c>
      <c r="N2023" s="6" t="str">
        <f aca="false">IF(AND(C2023&lt;Assumptions!$B$9,B2023&lt;Assumptions!$B$10),"Irrigate Now",IF(AND(C2023&gt;=Assumptions!$B$11,B2023&gt;=Assumptions!$B$12),"No Irrigation Needed","Monitor"))</f>
        <v>Monitor</v>
      </c>
      <c r="O2023" s="6" t="n">
        <f aca="false">IF(N2023=G2023,1,0)</f>
        <v>1</v>
      </c>
    </row>
    <row r="2024" customFormat="false" ht="15" hidden="false" customHeight="false" outlineLevel="0" collapsed="false">
      <c r="A2024" s="16" t="n">
        <v>26.8748389</v>
      </c>
      <c r="B2024" s="16" t="n">
        <v>173.1017097</v>
      </c>
      <c r="C2024" s="16" t="n">
        <v>28.5806924590807</v>
      </c>
      <c r="D2024" s="6" t="s">
        <v>57</v>
      </c>
      <c r="E2024" s="6" t="s">
        <v>24</v>
      </c>
      <c r="F2024" s="6" t="s">
        <v>23</v>
      </c>
      <c r="G2024" s="6" t="s">
        <v>58</v>
      </c>
      <c r="H2024" s="6" t="s">
        <v>59</v>
      </c>
      <c r="I2024" s="6" t="str">
        <f aca="false">IF(A2024&lt;Outliers!$E$6,"Low",IF(A2024&gt;Outliers!$F$6,"High",""))</f>
        <v/>
      </c>
      <c r="J2024" s="6" t="str">
        <f aca="false">IF(B2024&lt;Outliers!$E$7,"Low",IF(B2024&gt;Outliers!$F$7,"High",""))</f>
        <v/>
      </c>
      <c r="K2024" s="6" t="str">
        <f aca="false">IF(C2024&lt;Outliers!$E$8,"Low",IF(C2024&gt;Outliers!$F$8,"High",""))</f>
        <v/>
      </c>
      <c r="L2024" s="6" t="str">
        <f aca="false">A2024&amp;";"&amp;B2024&amp;";"&amp;C2024</f>
        <v>26.8748389;173.1017097;28.5806924590807</v>
      </c>
      <c r="M2024" s="6" t="n">
        <f aca="false">IF(COUNTIF($L$2:$L$2201,L2024)&gt;1,1,0)</f>
        <v>0</v>
      </c>
      <c r="N2024" s="6" t="str">
        <f aca="false">IF(AND(C2024&lt;Assumptions!$B$9,B2024&lt;Assumptions!$B$10),"Irrigate Now",IF(AND(C2024&gt;=Assumptions!$B$11,B2024&gt;=Assumptions!$B$12),"No Irrigation Needed","Monitor"))</f>
        <v>No Irrigation Needed</v>
      </c>
      <c r="O2024" s="6" t="n">
        <f aca="false">IF(N2024=G2024,1,0)</f>
        <v>1</v>
      </c>
    </row>
    <row r="2025" customFormat="false" ht="15" hidden="false" customHeight="false" outlineLevel="0" collapsed="false">
      <c r="A2025" s="16" t="n">
        <v>23.1426498</v>
      </c>
      <c r="B2025" s="16" t="n">
        <v>151.9035477</v>
      </c>
      <c r="C2025" s="16" t="n">
        <v>10.2656915165075</v>
      </c>
      <c r="D2025" s="6" t="s">
        <v>57</v>
      </c>
      <c r="E2025" s="6" t="s">
        <v>24</v>
      </c>
      <c r="F2025" s="6" t="s">
        <v>24</v>
      </c>
      <c r="G2025" s="6" t="s">
        <v>61</v>
      </c>
      <c r="H2025" s="6" t="s">
        <v>62</v>
      </c>
      <c r="I2025" s="6" t="str">
        <f aca="false">IF(A2025&lt;Outliers!$E$6,"Low",IF(A2025&gt;Outliers!$F$6,"High",""))</f>
        <v/>
      </c>
      <c r="J2025" s="6" t="str">
        <f aca="false">IF(B2025&lt;Outliers!$E$7,"Low",IF(B2025&gt;Outliers!$F$7,"High",""))</f>
        <v/>
      </c>
      <c r="K2025" s="6" t="str">
        <f aca="false">IF(C2025&lt;Outliers!$E$8,"Low",IF(C2025&gt;Outliers!$F$8,"High",""))</f>
        <v/>
      </c>
      <c r="L2025" s="6" t="str">
        <f aca="false">A2025&amp;";"&amp;B2025&amp;";"&amp;C2025</f>
        <v>23.1426498;151.9035477;10.2656915165075</v>
      </c>
      <c r="M2025" s="6" t="n">
        <f aca="false">IF(COUNTIF($L$2:$L$2201,L2025)&gt;1,1,0)</f>
        <v>0</v>
      </c>
      <c r="N2025" s="6" t="str">
        <f aca="false">IF(AND(C2025&lt;Assumptions!$B$9,B2025&lt;Assumptions!$B$10),"Irrigate Now",IF(AND(C2025&gt;=Assumptions!$B$11,B2025&gt;=Assumptions!$B$12),"No Irrigation Needed","Monitor"))</f>
        <v>Monitor</v>
      </c>
      <c r="O2025" s="6" t="n">
        <f aca="false">IF(N2025=G2025,1,0)</f>
        <v>1</v>
      </c>
    </row>
    <row r="2026" customFormat="false" ht="15" hidden="false" customHeight="false" outlineLevel="0" collapsed="false">
      <c r="A2026" s="16" t="n">
        <v>24.29496635</v>
      </c>
      <c r="B2026" s="16" t="n">
        <v>184.9800516</v>
      </c>
      <c r="C2026" s="16" t="n">
        <v>17.0123743213926</v>
      </c>
      <c r="D2026" s="6" t="s">
        <v>57</v>
      </c>
      <c r="E2026" s="6" t="s">
        <v>24</v>
      </c>
      <c r="F2026" s="6" t="s">
        <v>60</v>
      </c>
      <c r="G2026" s="6" t="s">
        <v>61</v>
      </c>
      <c r="H2026" s="6" t="s">
        <v>62</v>
      </c>
      <c r="I2026" s="6" t="str">
        <f aca="false">IF(A2026&lt;Outliers!$E$6,"Low",IF(A2026&gt;Outliers!$F$6,"High",""))</f>
        <v/>
      </c>
      <c r="J2026" s="6" t="str">
        <f aca="false">IF(B2026&lt;Outliers!$E$7,"Low",IF(B2026&gt;Outliers!$F$7,"High",""))</f>
        <v/>
      </c>
      <c r="K2026" s="6" t="str">
        <f aca="false">IF(C2026&lt;Outliers!$E$8,"Low",IF(C2026&gt;Outliers!$F$8,"High",""))</f>
        <v/>
      </c>
      <c r="L2026" s="6" t="str">
        <f aca="false">A2026&amp;";"&amp;B2026&amp;";"&amp;C2026</f>
        <v>24.29496635;184.9800516;17.0123743213926</v>
      </c>
      <c r="M2026" s="6" t="n">
        <f aca="false">IF(COUNTIF($L$2:$L$2201,L2026)&gt;1,1,0)</f>
        <v>0</v>
      </c>
      <c r="N2026" s="6" t="str">
        <f aca="false">IF(AND(C2026&lt;Assumptions!$B$9,B2026&lt;Assumptions!$B$10),"Irrigate Now",IF(AND(C2026&gt;=Assumptions!$B$11,B2026&gt;=Assumptions!$B$12),"No Irrigation Needed","Monitor"))</f>
        <v>Monitor</v>
      </c>
      <c r="O2026" s="6" t="n">
        <f aca="false">IF(N2026=G2026,1,0)</f>
        <v>1</v>
      </c>
    </row>
    <row r="2027" customFormat="false" ht="15" hidden="false" customHeight="false" outlineLevel="0" collapsed="false">
      <c r="A2027" s="16" t="n">
        <v>24.39459498</v>
      </c>
      <c r="B2027" s="16" t="n">
        <v>197.1220049</v>
      </c>
      <c r="C2027" s="16" t="n">
        <v>12.2510314028648</v>
      </c>
      <c r="D2027" s="6" t="s">
        <v>57</v>
      </c>
      <c r="E2027" s="6" t="s">
        <v>24</v>
      </c>
      <c r="F2027" s="6" t="s">
        <v>24</v>
      </c>
      <c r="G2027" s="6" t="s">
        <v>61</v>
      </c>
      <c r="H2027" s="6" t="s">
        <v>62</v>
      </c>
      <c r="I2027" s="6" t="str">
        <f aca="false">IF(A2027&lt;Outliers!$E$6,"Low",IF(A2027&gt;Outliers!$F$6,"High",""))</f>
        <v/>
      </c>
      <c r="J2027" s="6" t="str">
        <f aca="false">IF(B2027&lt;Outliers!$E$7,"Low",IF(B2027&gt;Outliers!$F$7,"High",""))</f>
        <v/>
      </c>
      <c r="K2027" s="6" t="str">
        <f aca="false">IF(C2027&lt;Outliers!$E$8,"Low",IF(C2027&gt;Outliers!$F$8,"High",""))</f>
        <v/>
      </c>
      <c r="L2027" s="6" t="str">
        <f aca="false">A2027&amp;";"&amp;B2027&amp;";"&amp;C2027</f>
        <v>24.39459498;197.1220049;12.2510314028648</v>
      </c>
      <c r="M2027" s="6" t="n">
        <f aca="false">IF(COUNTIF($L$2:$L$2201,L2027)&gt;1,1,0)</f>
        <v>0</v>
      </c>
      <c r="N2027" s="6" t="str">
        <f aca="false">IF(AND(C2027&lt;Assumptions!$B$9,B2027&lt;Assumptions!$B$10),"Irrigate Now",IF(AND(C2027&gt;=Assumptions!$B$11,B2027&gt;=Assumptions!$B$12),"No Irrigation Needed","Monitor"))</f>
        <v>Monitor</v>
      </c>
      <c r="O2027" s="6" t="n">
        <f aca="false">IF(N2027=G2027,1,0)</f>
        <v>1</v>
      </c>
    </row>
    <row r="2028" customFormat="false" ht="15" hidden="false" customHeight="false" outlineLevel="0" collapsed="false">
      <c r="A2028" s="16" t="n">
        <v>25.7629429</v>
      </c>
      <c r="B2028" s="16" t="n">
        <v>174.5071843</v>
      </c>
      <c r="C2028" s="16" t="n">
        <v>22.1725120530072</v>
      </c>
      <c r="D2028" s="6" t="s">
        <v>57</v>
      </c>
      <c r="E2028" s="6" t="s">
        <v>24</v>
      </c>
      <c r="F2028" s="6" t="s">
        <v>23</v>
      </c>
      <c r="G2028" s="6" t="s">
        <v>61</v>
      </c>
      <c r="H2028" s="6" t="s">
        <v>62</v>
      </c>
      <c r="I2028" s="6" t="str">
        <f aca="false">IF(A2028&lt;Outliers!$E$6,"Low",IF(A2028&gt;Outliers!$F$6,"High",""))</f>
        <v/>
      </c>
      <c r="J2028" s="6" t="str">
        <f aca="false">IF(B2028&lt;Outliers!$E$7,"Low",IF(B2028&gt;Outliers!$F$7,"High",""))</f>
        <v/>
      </c>
      <c r="K2028" s="6" t="str">
        <f aca="false">IF(C2028&lt;Outliers!$E$8,"Low",IF(C2028&gt;Outliers!$F$8,"High",""))</f>
        <v/>
      </c>
      <c r="L2028" s="6" t="str">
        <f aca="false">A2028&amp;";"&amp;B2028&amp;";"&amp;C2028</f>
        <v>25.7629429;174.5071843;22.1725120530072</v>
      </c>
      <c r="M2028" s="6" t="n">
        <f aca="false">IF(COUNTIF($L$2:$L$2201,L2028)&gt;1,1,0)</f>
        <v>0</v>
      </c>
      <c r="N2028" s="6" t="str">
        <f aca="false">IF(AND(C2028&lt;Assumptions!$B$9,B2028&lt;Assumptions!$B$10),"Irrigate Now",IF(AND(C2028&gt;=Assumptions!$B$11,B2028&gt;=Assumptions!$B$12),"No Irrigation Needed","Monitor"))</f>
        <v>Monitor</v>
      </c>
      <c r="O2028" s="6" t="n">
        <f aca="false">IF(N2028=G2028,1,0)</f>
        <v>1</v>
      </c>
    </row>
    <row r="2029" customFormat="false" ht="15" hidden="false" customHeight="false" outlineLevel="0" collapsed="false">
      <c r="A2029" s="16" t="n">
        <v>25.4879684</v>
      </c>
      <c r="B2029" s="16" t="n">
        <v>168.7848886</v>
      </c>
      <c r="C2029" s="16" t="n">
        <v>26.6649305090522</v>
      </c>
      <c r="D2029" s="6" t="s">
        <v>57</v>
      </c>
      <c r="E2029" s="6" t="s">
        <v>24</v>
      </c>
      <c r="F2029" s="6" t="s">
        <v>23</v>
      </c>
      <c r="G2029" s="6" t="s">
        <v>58</v>
      </c>
      <c r="H2029" s="6" t="s">
        <v>59</v>
      </c>
      <c r="I2029" s="6" t="str">
        <f aca="false">IF(A2029&lt;Outliers!$E$6,"Low",IF(A2029&gt;Outliers!$F$6,"High",""))</f>
        <v/>
      </c>
      <c r="J2029" s="6" t="str">
        <f aca="false">IF(B2029&lt;Outliers!$E$7,"Low",IF(B2029&gt;Outliers!$F$7,"High",""))</f>
        <v/>
      </c>
      <c r="K2029" s="6" t="str">
        <f aca="false">IF(C2029&lt;Outliers!$E$8,"Low",IF(C2029&gt;Outliers!$F$8,"High",""))</f>
        <v/>
      </c>
      <c r="L2029" s="6" t="str">
        <f aca="false">A2029&amp;";"&amp;B2029&amp;";"&amp;C2029</f>
        <v>25.4879684;168.7848886;26.6649305090522</v>
      </c>
      <c r="M2029" s="6" t="n">
        <f aca="false">IF(COUNTIF($L$2:$L$2201,L2029)&gt;1,1,0)</f>
        <v>0</v>
      </c>
      <c r="N2029" s="6" t="str">
        <f aca="false">IF(AND(C2029&lt;Assumptions!$B$9,B2029&lt;Assumptions!$B$10),"Irrigate Now",IF(AND(C2029&gt;=Assumptions!$B$11,B2029&gt;=Assumptions!$B$12),"No Irrigation Needed","Monitor"))</f>
        <v>No Irrigation Needed</v>
      </c>
      <c r="O2029" s="6" t="n">
        <f aca="false">IF(N2029=G2029,1,0)</f>
        <v>1</v>
      </c>
    </row>
    <row r="2030" customFormat="false" ht="15" hidden="false" customHeight="false" outlineLevel="0" collapsed="false">
      <c r="A2030" s="16" t="n">
        <v>25.37122686</v>
      </c>
      <c r="B2030" s="16" t="n">
        <v>183.8270791</v>
      </c>
      <c r="C2030" s="16" t="n">
        <v>29.7704886050493</v>
      </c>
      <c r="D2030" s="6" t="s">
        <v>57</v>
      </c>
      <c r="E2030" s="6" t="s">
        <v>24</v>
      </c>
      <c r="F2030" s="6" t="s">
        <v>23</v>
      </c>
      <c r="G2030" s="6" t="s">
        <v>58</v>
      </c>
      <c r="H2030" s="6" t="s">
        <v>59</v>
      </c>
      <c r="I2030" s="6" t="str">
        <f aca="false">IF(A2030&lt;Outliers!$E$6,"Low",IF(A2030&gt;Outliers!$F$6,"High",""))</f>
        <v/>
      </c>
      <c r="J2030" s="6" t="str">
        <f aca="false">IF(B2030&lt;Outliers!$E$7,"Low",IF(B2030&gt;Outliers!$F$7,"High",""))</f>
        <v/>
      </c>
      <c r="K2030" s="6" t="str">
        <f aca="false">IF(C2030&lt;Outliers!$E$8,"Low",IF(C2030&gt;Outliers!$F$8,"High",""))</f>
        <v/>
      </c>
      <c r="L2030" s="6" t="str">
        <f aca="false">A2030&amp;";"&amp;B2030&amp;";"&amp;C2030</f>
        <v>25.37122686;183.8270791;29.7704886050493</v>
      </c>
      <c r="M2030" s="6" t="n">
        <f aca="false">IF(COUNTIF($L$2:$L$2201,L2030)&gt;1,1,0)</f>
        <v>0</v>
      </c>
      <c r="N2030" s="6" t="str">
        <f aca="false">IF(AND(C2030&lt;Assumptions!$B$9,B2030&lt;Assumptions!$B$10),"Irrigate Now",IF(AND(C2030&gt;=Assumptions!$B$11,B2030&gt;=Assumptions!$B$12),"No Irrigation Needed","Monitor"))</f>
        <v>No Irrigation Needed</v>
      </c>
      <c r="O2030" s="6" t="n">
        <f aca="false">IF(N2030=G2030,1,0)</f>
        <v>1</v>
      </c>
    </row>
    <row r="2031" customFormat="false" ht="15" hidden="false" customHeight="false" outlineLevel="0" collapsed="false">
      <c r="A2031" s="16" t="n">
        <v>26.21312799</v>
      </c>
      <c r="B2031" s="16" t="n">
        <v>180.1237765</v>
      </c>
      <c r="C2031" s="16" t="n">
        <v>29.6746645286217</v>
      </c>
      <c r="D2031" s="6" t="s">
        <v>57</v>
      </c>
      <c r="E2031" s="6" t="s">
        <v>24</v>
      </c>
      <c r="F2031" s="6" t="s">
        <v>23</v>
      </c>
      <c r="G2031" s="6" t="s">
        <v>58</v>
      </c>
      <c r="H2031" s="6" t="s">
        <v>59</v>
      </c>
      <c r="I2031" s="6" t="str">
        <f aca="false">IF(A2031&lt;Outliers!$E$6,"Low",IF(A2031&gt;Outliers!$F$6,"High",""))</f>
        <v/>
      </c>
      <c r="J2031" s="6" t="str">
        <f aca="false">IF(B2031&lt;Outliers!$E$7,"Low",IF(B2031&gt;Outliers!$F$7,"High",""))</f>
        <v/>
      </c>
      <c r="K2031" s="6" t="str">
        <f aca="false">IF(C2031&lt;Outliers!$E$8,"Low",IF(C2031&gt;Outliers!$F$8,"High",""))</f>
        <v/>
      </c>
      <c r="L2031" s="6" t="str">
        <f aca="false">A2031&amp;";"&amp;B2031&amp;";"&amp;C2031</f>
        <v>26.21312799;180.1237765;29.6746645286217</v>
      </c>
      <c r="M2031" s="6" t="n">
        <f aca="false">IF(COUNTIF($L$2:$L$2201,L2031)&gt;1,1,0)</f>
        <v>0</v>
      </c>
      <c r="N2031" s="6" t="str">
        <f aca="false">IF(AND(C2031&lt;Assumptions!$B$9,B2031&lt;Assumptions!$B$10),"Irrigate Now",IF(AND(C2031&gt;=Assumptions!$B$11,B2031&gt;=Assumptions!$B$12),"No Irrigation Needed","Monitor"))</f>
        <v>No Irrigation Needed</v>
      </c>
      <c r="O2031" s="6" t="n">
        <f aca="false">IF(N2031=G2031,1,0)</f>
        <v>1</v>
      </c>
    </row>
    <row r="2032" customFormat="false" ht="15" hidden="false" customHeight="false" outlineLevel="0" collapsed="false">
      <c r="A2032" s="16" t="n">
        <v>24.30748599</v>
      </c>
      <c r="B2032" s="16" t="n">
        <v>186.2337571</v>
      </c>
      <c r="C2032" s="16" t="n">
        <v>15.9221942336556</v>
      </c>
      <c r="D2032" s="6" t="s">
        <v>57</v>
      </c>
      <c r="E2032" s="6" t="s">
        <v>24</v>
      </c>
      <c r="F2032" s="6" t="s">
        <v>60</v>
      </c>
      <c r="G2032" s="6" t="s">
        <v>61</v>
      </c>
      <c r="H2032" s="6" t="s">
        <v>62</v>
      </c>
      <c r="I2032" s="6" t="str">
        <f aca="false">IF(A2032&lt;Outliers!$E$6,"Low",IF(A2032&gt;Outliers!$F$6,"High",""))</f>
        <v/>
      </c>
      <c r="J2032" s="6" t="str">
        <f aca="false">IF(B2032&lt;Outliers!$E$7,"Low",IF(B2032&gt;Outliers!$F$7,"High",""))</f>
        <v/>
      </c>
      <c r="K2032" s="6" t="str">
        <f aca="false">IF(C2032&lt;Outliers!$E$8,"Low",IF(C2032&gt;Outliers!$F$8,"High",""))</f>
        <v/>
      </c>
      <c r="L2032" s="6" t="str">
        <f aca="false">A2032&amp;";"&amp;B2032&amp;";"&amp;C2032</f>
        <v>24.30748599;186.2337571;15.9221942336556</v>
      </c>
      <c r="M2032" s="6" t="n">
        <f aca="false">IF(COUNTIF($L$2:$L$2201,L2032)&gt;1,1,0)</f>
        <v>0</v>
      </c>
      <c r="N2032" s="6" t="str">
        <f aca="false">IF(AND(C2032&lt;Assumptions!$B$9,B2032&lt;Assumptions!$B$10),"Irrigate Now",IF(AND(C2032&gt;=Assumptions!$B$11,B2032&gt;=Assumptions!$B$12),"No Irrigation Needed","Monitor"))</f>
        <v>Monitor</v>
      </c>
      <c r="O2032" s="6" t="n">
        <f aca="false">IF(N2032=G2032,1,0)</f>
        <v>1</v>
      </c>
    </row>
    <row r="2033" customFormat="false" ht="15" hidden="false" customHeight="false" outlineLevel="0" collapsed="false">
      <c r="A2033" s="16" t="n">
        <v>23.76554749</v>
      </c>
      <c r="B2033" s="16" t="n">
        <v>150.3166152</v>
      </c>
      <c r="C2033" s="16" t="n">
        <v>15.8933484052522</v>
      </c>
      <c r="D2033" s="6" t="s">
        <v>57</v>
      </c>
      <c r="E2033" s="6" t="s">
        <v>24</v>
      </c>
      <c r="F2033" s="6" t="s">
        <v>60</v>
      </c>
      <c r="G2033" s="6" t="s">
        <v>61</v>
      </c>
      <c r="H2033" s="6" t="s">
        <v>62</v>
      </c>
      <c r="I2033" s="6" t="str">
        <f aca="false">IF(A2033&lt;Outliers!$E$6,"Low",IF(A2033&gt;Outliers!$F$6,"High",""))</f>
        <v/>
      </c>
      <c r="J2033" s="6" t="str">
        <f aca="false">IF(B2033&lt;Outliers!$E$7,"Low",IF(B2033&gt;Outliers!$F$7,"High",""))</f>
        <v/>
      </c>
      <c r="K2033" s="6" t="str">
        <f aca="false">IF(C2033&lt;Outliers!$E$8,"Low",IF(C2033&gt;Outliers!$F$8,"High",""))</f>
        <v/>
      </c>
      <c r="L2033" s="6" t="str">
        <f aca="false">A2033&amp;";"&amp;B2033&amp;";"&amp;C2033</f>
        <v>23.76554749;150.3166152;15.8933484052522</v>
      </c>
      <c r="M2033" s="6" t="n">
        <f aca="false">IF(COUNTIF($L$2:$L$2201,L2033)&gt;1,1,0)</f>
        <v>0</v>
      </c>
      <c r="N2033" s="6" t="str">
        <f aca="false">IF(AND(C2033&lt;Assumptions!$B$9,B2033&lt;Assumptions!$B$10),"Irrigate Now",IF(AND(C2033&gt;=Assumptions!$B$11,B2033&gt;=Assumptions!$B$12),"No Irrigation Needed","Monitor"))</f>
        <v>Monitor</v>
      </c>
      <c r="O2033" s="6" t="n">
        <f aca="false">IF(N2033=G2033,1,0)</f>
        <v>1</v>
      </c>
    </row>
    <row r="2034" customFormat="false" ht="15" hidden="false" customHeight="false" outlineLevel="0" collapsed="false">
      <c r="A2034" s="16" t="n">
        <v>24.79853023</v>
      </c>
      <c r="B2034" s="16" t="n">
        <v>162.2847429</v>
      </c>
      <c r="C2034" s="16" t="n">
        <v>26.5973986216103</v>
      </c>
      <c r="D2034" s="6" t="s">
        <v>57</v>
      </c>
      <c r="E2034" s="6" t="s">
        <v>24</v>
      </c>
      <c r="F2034" s="6" t="s">
        <v>23</v>
      </c>
      <c r="G2034" s="6" t="s">
        <v>58</v>
      </c>
      <c r="H2034" s="6" t="s">
        <v>59</v>
      </c>
      <c r="I2034" s="6" t="str">
        <f aca="false">IF(A2034&lt;Outliers!$E$6,"Low",IF(A2034&gt;Outliers!$F$6,"High",""))</f>
        <v/>
      </c>
      <c r="J2034" s="6" t="str">
        <f aca="false">IF(B2034&lt;Outliers!$E$7,"Low",IF(B2034&gt;Outliers!$F$7,"High",""))</f>
        <v/>
      </c>
      <c r="K2034" s="6" t="str">
        <f aca="false">IF(C2034&lt;Outliers!$E$8,"Low",IF(C2034&gt;Outliers!$F$8,"High",""))</f>
        <v/>
      </c>
      <c r="L2034" s="6" t="str">
        <f aca="false">A2034&amp;";"&amp;B2034&amp;";"&amp;C2034</f>
        <v>24.79853023;162.2847429;26.5973986216103</v>
      </c>
      <c r="M2034" s="6" t="n">
        <f aca="false">IF(COUNTIF($L$2:$L$2201,L2034)&gt;1,1,0)</f>
        <v>0</v>
      </c>
      <c r="N2034" s="6" t="str">
        <f aca="false">IF(AND(C2034&lt;Assumptions!$B$9,B2034&lt;Assumptions!$B$10),"Irrigate Now",IF(AND(C2034&gt;=Assumptions!$B$11,B2034&gt;=Assumptions!$B$12),"No Irrigation Needed","Monitor"))</f>
        <v>No Irrigation Needed</v>
      </c>
      <c r="O2034" s="6" t="n">
        <f aca="false">IF(N2034=G2034,1,0)</f>
        <v>1</v>
      </c>
    </row>
    <row r="2035" customFormat="false" ht="15" hidden="false" customHeight="false" outlineLevel="0" collapsed="false">
      <c r="A2035" s="16" t="n">
        <v>23.20683504</v>
      </c>
      <c r="B2035" s="16" t="n">
        <v>199.4766779</v>
      </c>
      <c r="C2035" s="16" t="n">
        <v>11.1377989144319</v>
      </c>
      <c r="D2035" s="6" t="s">
        <v>57</v>
      </c>
      <c r="E2035" s="6" t="s">
        <v>24</v>
      </c>
      <c r="F2035" s="6" t="s">
        <v>24</v>
      </c>
      <c r="G2035" s="6" t="s">
        <v>61</v>
      </c>
      <c r="H2035" s="6" t="s">
        <v>62</v>
      </c>
      <c r="I2035" s="6" t="str">
        <f aca="false">IF(A2035&lt;Outliers!$E$6,"Low",IF(A2035&gt;Outliers!$F$6,"High",""))</f>
        <v/>
      </c>
      <c r="J2035" s="6" t="str">
        <f aca="false">IF(B2035&lt;Outliers!$E$7,"Low",IF(B2035&gt;Outliers!$F$7,"High",""))</f>
        <v/>
      </c>
      <c r="K2035" s="6" t="str">
        <f aca="false">IF(C2035&lt;Outliers!$E$8,"Low",IF(C2035&gt;Outliers!$F$8,"High",""))</f>
        <v/>
      </c>
      <c r="L2035" s="6" t="str">
        <f aca="false">A2035&amp;";"&amp;B2035&amp;";"&amp;C2035</f>
        <v>23.20683504;199.4766779;11.1377989144319</v>
      </c>
      <c r="M2035" s="6" t="n">
        <f aca="false">IF(COUNTIF($L$2:$L$2201,L2035)&gt;1,1,0)</f>
        <v>0</v>
      </c>
      <c r="N2035" s="6" t="str">
        <f aca="false">IF(AND(C2035&lt;Assumptions!$B$9,B2035&lt;Assumptions!$B$10),"Irrigate Now",IF(AND(C2035&gt;=Assumptions!$B$11,B2035&gt;=Assumptions!$B$12),"No Irrigation Needed","Monitor"))</f>
        <v>Monitor</v>
      </c>
      <c r="O2035" s="6" t="n">
        <f aca="false">IF(N2035=G2035,1,0)</f>
        <v>1</v>
      </c>
    </row>
    <row r="2036" customFormat="false" ht="15" hidden="false" customHeight="false" outlineLevel="0" collapsed="false">
      <c r="A2036" s="16" t="n">
        <v>23.66805429</v>
      </c>
      <c r="B2036" s="16" t="n">
        <v>184.4633281</v>
      </c>
      <c r="C2036" s="16" t="n">
        <v>19.603952652223</v>
      </c>
      <c r="D2036" s="6" t="s">
        <v>57</v>
      </c>
      <c r="E2036" s="6" t="s">
        <v>24</v>
      </c>
      <c r="F2036" s="6" t="s">
        <v>60</v>
      </c>
      <c r="G2036" s="6" t="s">
        <v>61</v>
      </c>
      <c r="H2036" s="6" t="s">
        <v>62</v>
      </c>
      <c r="I2036" s="6" t="str">
        <f aca="false">IF(A2036&lt;Outliers!$E$6,"Low",IF(A2036&gt;Outliers!$F$6,"High",""))</f>
        <v/>
      </c>
      <c r="J2036" s="6" t="str">
        <f aca="false">IF(B2036&lt;Outliers!$E$7,"Low",IF(B2036&gt;Outliers!$F$7,"High",""))</f>
        <v/>
      </c>
      <c r="K2036" s="6" t="str">
        <f aca="false">IF(C2036&lt;Outliers!$E$8,"Low",IF(C2036&gt;Outliers!$F$8,"High",""))</f>
        <v/>
      </c>
      <c r="L2036" s="6" t="str">
        <f aca="false">A2036&amp;";"&amp;B2036&amp;";"&amp;C2036</f>
        <v>23.66805429;184.4633281;19.603952652223</v>
      </c>
      <c r="M2036" s="6" t="n">
        <f aca="false">IF(COUNTIF($L$2:$L$2201,L2036)&gt;1,1,0)</f>
        <v>0</v>
      </c>
      <c r="N2036" s="6" t="str">
        <f aca="false">IF(AND(C2036&lt;Assumptions!$B$9,B2036&lt;Assumptions!$B$10),"Irrigate Now",IF(AND(C2036&gt;=Assumptions!$B$11,B2036&gt;=Assumptions!$B$12),"No Irrigation Needed","Monitor"))</f>
        <v>Monitor</v>
      </c>
      <c r="O2036" s="6" t="n">
        <f aca="false">IF(N2036=G2036,1,0)</f>
        <v>1</v>
      </c>
    </row>
    <row r="2037" customFormat="false" ht="15" hidden="false" customHeight="false" outlineLevel="0" collapsed="false">
      <c r="A2037" s="16" t="n">
        <v>25.12417673</v>
      </c>
      <c r="B2037" s="16" t="n">
        <v>159.5718087</v>
      </c>
      <c r="C2037" s="16" t="n">
        <v>17.3508905356599</v>
      </c>
      <c r="D2037" s="6" t="s">
        <v>57</v>
      </c>
      <c r="E2037" s="6" t="s">
        <v>24</v>
      </c>
      <c r="F2037" s="6" t="s">
        <v>60</v>
      </c>
      <c r="G2037" s="6" t="s">
        <v>61</v>
      </c>
      <c r="H2037" s="6" t="s">
        <v>62</v>
      </c>
      <c r="I2037" s="6" t="str">
        <f aca="false">IF(A2037&lt;Outliers!$E$6,"Low",IF(A2037&gt;Outliers!$F$6,"High",""))</f>
        <v/>
      </c>
      <c r="J2037" s="6" t="str">
        <f aca="false">IF(B2037&lt;Outliers!$E$7,"Low",IF(B2037&gt;Outliers!$F$7,"High",""))</f>
        <v/>
      </c>
      <c r="K2037" s="6" t="str">
        <f aca="false">IF(C2037&lt;Outliers!$E$8,"Low",IF(C2037&gt;Outliers!$F$8,"High",""))</f>
        <v/>
      </c>
      <c r="L2037" s="6" t="str">
        <f aca="false">A2037&amp;";"&amp;B2037&amp;";"&amp;C2037</f>
        <v>25.12417673;159.5718087;17.3508905356599</v>
      </c>
      <c r="M2037" s="6" t="n">
        <f aca="false">IF(COUNTIF($L$2:$L$2201,L2037)&gt;1,1,0)</f>
        <v>0</v>
      </c>
      <c r="N2037" s="6" t="str">
        <f aca="false">IF(AND(C2037&lt;Assumptions!$B$9,B2037&lt;Assumptions!$B$10),"Irrigate Now",IF(AND(C2037&gt;=Assumptions!$B$11,B2037&gt;=Assumptions!$B$12),"No Irrigation Needed","Monitor"))</f>
        <v>Monitor</v>
      </c>
      <c r="O2037" s="6" t="n">
        <f aca="false">IF(N2037=G2037,1,0)</f>
        <v>1</v>
      </c>
    </row>
    <row r="2038" customFormat="false" ht="15" hidden="false" customHeight="false" outlineLevel="0" collapsed="false">
      <c r="A2038" s="16" t="n">
        <v>23.89069041</v>
      </c>
      <c r="B2038" s="16" t="n">
        <v>167.7230632</v>
      </c>
      <c r="C2038" s="16" t="n">
        <v>17.8414903186241</v>
      </c>
      <c r="D2038" s="6" t="s">
        <v>57</v>
      </c>
      <c r="E2038" s="6" t="s">
        <v>24</v>
      </c>
      <c r="F2038" s="6" t="s">
        <v>60</v>
      </c>
      <c r="G2038" s="6" t="s">
        <v>61</v>
      </c>
      <c r="H2038" s="6" t="s">
        <v>62</v>
      </c>
      <c r="I2038" s="6" t="str">
        <f aca="false">IF(A2038&lt;Outliers!$E$6,"Low",IF(A2038&gt;Outliers!$F$6,"High",""))</f>
        <v/>
      </c>
      <c r="J2038" s="6" t="str">
        <f aca="false">IF(B2038&lt;Outliers!$E$7,"Low",IF(B2038&gt;Outliers!$F$7,"High",""))</f>
        <v/>
      </c>
      <c r="K2038" s="6" t="str">
        <f aca="false">IF(C2038&lt;Outliers!$E$8,"Low",IF(C2038&gt;Outliers!$F$8,"High",""))</f>
        <v/>
      </c>
      <c r="L2038" s="6" t="str">
        <f aca="false">A2038&amp;";"&amp;B2038&amp;";"&amp;C2038</f>
        <v>23.89069041;167.7230632;17.8414903186241</v>
      </c>
      <c r="M2038" s="6" t="n">
        <f aca="false">IF(COUNTIF($L$2:$L$2201,L2038)&gt;1,1,0)</f>
        <v>0</v>
      </c>
      <c r="N2038" s="6" t="str">
        <f aca="false">IF(AND(C2038&lt;Assumptions!$B$9,B2038&lt;Assumptions!$B$10),"Irrigate Now",IF(AND(C2038&gt;=Assumptions!$B$11,B2038&gt;=Assumptions!$B$12),"No Irrigation Needed","Monitor"))</f>
        <v>Monitor</v>
      </c>
      <c r="O2038" s="6" t="n">
        <f aca="false">IF(N2038=G2038,1,0)</f>
        <v>1</v>
      </c>
    </row>
    <row r="2039" customFormat="false" ht="15" hidden="false" customHeight="false" outlineLevel="0" collapsed="false">
      <c r="A2039" s="16" t="n">
        <v>23.09433785</v>
      </c>
      <c r="B2039" s="16" t="n">
        <v>196.6587013</v>
      </c>
      <c r="C2039" s="16" t="n">
        <v>29.6255069804433</v>
      </c>
      <c r="D2039" s="6" t="s">
        <v>57</v>
      </c>
      <c r="E2039" s="6" t="s">
        <v>24</v>
      </c>
      <c r="F2039" s="6" t="s">
        <v>23</v>
      </c>
      <c r="G2039" s="6" t="s">
        <v>58</v>
      </c>
      <c r="H2039" s="6" t="s">
        <v>59</v>
      </c>
      <c r="I2039" s="6" t="str">
        <f aca="false">IF(A2039&lt;Outliers!$E$6,"Low",IF(A2039&gt;Outliers!$F$6,"High",""))</f>
        <v/>
      </c>
      <c r="J2039" s="6" t="str">
        <f aca="false">IF(B2039&lt;Outliers!$E$7,"Low",IF(B2039&gt;Outliers!$F$7,"High",""))</f>
        <v/>
      </c>
      <c r="K2039" s="6" t="str">
        <f aca="false">IF(C2039&lt;Outliers!$E$8,"Low",IF(C2039&gt;Outliers!$F$8,"High",""))</f>
        <v/>
      </c>
      <c r="L2039" s="6" t="str">
        <f aca="false">A2039&amp;";"&amp;B2039&amp;";"&amp;C2039</f>
        <v>23.09433785;196.6587013;29.6255069804433</v>
      </c>
      <c r="M2039" s="6" t="n">
        <f aca="false">IF(COUNTIF($L$2:$L$2201,L2039)&gt;1,1,0)</f>
        <v>0</v>
      </c>
      <c r="N2039" s="6" t="str">
        <f aca="false">IF(AND(C2039&lt;Assumptions!$B$9,B2039&lt;Assumptions!$B$10),"Irrigate Now",IF(AND(C2039&gt;=Assumptions!$B$11,B2039&gt;=Assumptions!$B$12),"No Irrigation Needed","Monitor"))</f>
        <v>No Irrigation Needed</v>
      </c>
      <c r="O2039" s="6" t="n">
        <f aca="false">IF(N2039=G2039,1,0)</f>
        <v>1</v>
      </c>
    </row>
    <row r="2040" customFormat="false" ht="15" hidden="false" customHeight="false" outlineLevel="0" collapsed="false">
      <c r="A2040" s="16" t="n">
        <v>24.21744605</v>
      </c>
      <c r="B2040" s="16" t="n">
        <v>166.1365886</v>
      </c>
      <c r="C2040" s="16" t="n">
        <v>11.8758628123431</v>
      </c>
      <c r="D2040" s="6" t="s">
        <v>57</v>
      </c>
      <c r="E2040" s="6" t="s">
        <v>24</v>
      </c>
      <c r="F2040" s="6" t="s">
        <v>24</v>
      </c>
      <c r="G2040" s="6" t="s">
        <v>61</v>
      </c>
      <c r="H2040" s="6" t="s">
        <v>62</v>
      </c>
      <c r="I2040" s="6" t="str">
        <f aca="false">IF(A2040&lt;Outliers!$E$6,"Low",IF(A2040&gt;Outliers!$F$6,"High",""))</f>
        <v/>
      </c>
      <c r="J2040" s="6" t="str">
        <f aca="false">IF(B2040&lt;Outliers!$E$7,"Low",IF(B2040&gt;Outliers!$F$7,"High",""))</f>
        <v/>
      </c>
      <c r="K2040" s="6" t="str">
        <f aca="false">IF(C2040&lt;Outliers!$E$8,"Low",IF(C2040&gt;Outliers!$F$8,"High",""))</f>
        <v/>
      </c>
      <c r="L2040" s="6" t="str">
        <f aca="false">A2040&amp;";"&amp;B2040&amp;";"&amp;C2040</f>
        <v>24.21744605;166.1365886;11.8758628123431</v>
      </c>
      <c r="M2040" s="6" t="n">
        <f aca="false">IF(COUNTIF($L$2:$L$2201,L2040)&gt;1,1,0)</f>
        <v>0</v>
      </c>
      <c r="N2040" s="6" t="str">
        <f aca="false">IF(AND(C2040&lt;Assumptions!$B$9,B2040&lt;Assumptions!$B$10),"Irrigate Now",IF(AND(C2040&gt;=Assumptions!$B$11,B2040&gt;=Assumptions!$B$12),"No Irrigation Needed","Monitor"))</f>
        <v>Monitor</v>
      </c>
      <c r="O2040" s="6" t="n">
        <f aca="false">IF(N2040=G2040,1,0)</f>
        <v>1</v>
      </c>
    </row>
    <row r="2041" customFormat="false" ht="15" hidden="false" customHeight="false" outlineLevel="0" collapsed="false">
      <c r="A2041" s="16" t="n">
        <v>24.06475727</v>
      </c>
      <c r="B2041" s="16" t="n">
        <v>153.6390212</v>
      </c>
      <c r="C2041" s="16" t="n">
        <v>14.490836811298</v>
      </c>
      <c r="D2041" s="6" t="s">
        <v>57</v>
      </c>
      <c r="E2041" s="6" t="s">
        <v>24</v>
      </c>
      <c r="F2041" s="6" t="s">
        <v>60</v>
      </c>
      <c r="G2041" s="6" t="s">
        <v>61</v>
      </c>
      <c r="H2041" s="6" t="s">
        <v>62</v>
      </c>
      <c r="I2041" s="6" t="str">
        <f aca="false">IF(A2041&lt;Outliers!$E$6,"Low",IF(A2041&gt;Outliers!$F$6,"High",""))</f>
        <v/>
      </c>
      <c r="J2041" s="6" t="str">
        <f aca="false">IF(B2041&lt;Outliers!$E$7,"Low",IF(B2041&gt;Outliers!$F$7,"High",""))</f>
        <v/>
      </c>
      <c r="K2041" s="6" t="str">
        <f aca="false">IF(C2041&lt;Outliers!$E$8,"Low",IF(C2041&gt;Outliers!$F$8,"High",""))</f>
        <v/>
      </c>
      <c r="L2041" s="6" t="str">
        <f aca="false">A2041&amp;";"&amp;B2041&amp;";"&amp;C2041</f>
        <v>24.06475727;153.6390212;14.490836811298</v>
      </c>
      <c r="M2041" s="6" t="n">
        <f aca="false">IF(COUNTIF($L$2:$L$2201,L2041)&gt;1,1,0)</f>
        <v>0</v>
      </c>
      <c r="N2041" s="6" t="str">
        <f aca="false">IF(AND(C2041&lt;Assumptions!$B$9,B2041&lt;Assumptions!$B$10),"Irrigate Now",IF(AND(C2041&gt;=Assumptions!$B$11,B2041&gt;=Assumptions!$B$12),"No Irrigation Needed","Monitor"))</f>
        <v>Monitor</v>
      </c>
      <c r="O2041" s="6" t="n">
        <f aca="false">IF(N2041=G2041,1,0)</f>
        <v>1</v>
      </c>
    </row>
    <row r="2042" customFormat="false" ht="15" hidden="false" customHeight="false" outlineLevel="0" collapsed="false">
      <c r="A2042" s="16" t="n">
        <v>24.85441411</v>
      </c>
      <c r="B2042" s="16" t="n">
        <v>175.572958</v>
      </c>
      <c r="C2042" s="16" t="n">
        <v>11.9946612245148</v>
      </c>
      <c r="D2042" s="6" t="s">
        <v>57</v>
      </c>
      <c r="E2042" s="6" t="s">
        <v>24</v>
      </c>
      <c r="F2042" s="6" t="s">
        <v>24</v>
      </c>
      <c r="G2042" s="6" t="s">
        <v>61</v>
      </c>
      <c r="H2042" s="6" t="s">
        <v>62</v>
      </c>
      <c r="I2042" s="6" t="str">
        <f aca="false">IF(A2042&lt;Outliers!$E$6,"Low",IF(A2042&gt;Outliers!$F$6,"High",""))</f>
        <v/>
      </c>
      <c r="J2042" s="6" t="str">
        <f aca="false">IF(B2042&lt;Outliers!$E$7,"Low",IF(B2042&gt;Outliers!$F$7,"High",""))</f>
        <v/>
      </c>
      <c r="K2042" s="6" t="str">
        <f aca="false">IF(C2042&lt;Outliers!$E$8,"Low",IF(C2042&gt;Outliers!$F$8,"High",""))</f>
        <v/>
      </c>
      <c r="L2042" s="6" t="str">
        <f aca="false">A2042&amp;";"&amp;B2042&amp;";"&amp;C2042</f>
        <v>24.85441411;175.572958;11.9946612245148</v>
      </c>
      <c r="M2042" s="6" t="n">
        <f aca="false">IF(COUNTIF($L$2:$L$2201,L2042)&gt;1,1,0)</f>
        <v>0</v>
      </c>
      <c r="N2042" s="6" t="str">
        <f aca="false">IF(AND(C2042&lt;Assumptions!$B$9,B2042&lt;Assumptions!$B$10),"Irrigate Now",IF(AND(C2042&gt;=Assumptions!$B$11,B2042&gt;=Assumptions!$B$12),"No Irrigation Needed","Monitor"))</f>
        <v>Monitor</v>
      </c>
      <c r="O2042" s="6" t="n">
        <f aca="false">IF(N2042=G2042,1,0)</f>
        <v>1</v>
      </c>
    </row>
    <row r="2043" customFormat="false" ht="15" hidden="false" customHeight="false" outlineLevel="0" collapsed="false">
      <c r="A2043" s="16" t="n">
        <v>26.41915161</v>
      </c>
      <c r="B2043" s="16" t="n">
        <v>197.2101782</v>
      </c>
      <c r="C2043" s="16" t="n">
        <v>12.0255551606075</v>
      </c>
      <c r="D2043" s="6" t="s">
        <v>57</v>
      </c>
      <c r="E2043" s="6" t="s">
        <v>24</v>
      </c>
      <c r="F2043" s="6" t="s">
        <v>24</v>
      </c>
      <c r="G2043" s="6" t="s">
        <v>61</v>
      </c>
      <c r="H2043" s="6" t="s">
        <v>62</v>
      </c>
      <c r="I2043" s="6" t="str">
        <f aca="false">IF(A2043&lt;Outliers!$E$6,"Low",IF(A2043&gt;Outliers!$F$6,"High",""))</f>
        <v/>
      </c>
      <c r="J2043" s="6" t="str">
        <f aca="false">IF(B2043&lt;Outliers!$E$7,"Low",IF(B2043&gt;Outliers!$F$7,"High",""))</f>
        <v/>
      </c>
      <c r="K2043" s="6" t="str">
        <f aca="false">IF(C2043&lt;Outliers!$E$8,"Low",IF(C2043&gt;Outliers!$F$8,"High",""))</f>
        <v/>
      </c>
      <c r="L2043" s="6" t="str">
        <f aca="false">A2043&amp;";"&amp;B2043&amp;";"&amp;C2043</f>
        <v>26.41915161;197.2101782;12.0255551606075</v>
      </c>
      <c r="M2043" s="6" t="n">
        <f aca="false">IF(COUNTIF($L$2:$L$2201,L2043)&gt;1,1,0)</f>
        <v>0</v>
      </c>
      <c r="N2043" s="6" t="str">
        <f aca="false">IF(AND(C2043&lt;Assumptions!$B$9,B2043&lt;Assumptions!$B$10),"Irrigate Now",IF(AND(C2043&gt;=Assumptions!$B$11,B2043&gt;=Assumptions!$B$12),"No Irrigation Needed","Monitor"))</f>
        <v>Monitor</v>
      </c>
      <c r="O2043" s="6" t="n">
        <f aca="false">IF(N2043=G2043,1,0)</f>
        <v>1</v>
      </c>
    </row>
    <row r="2044" customFormat="false" ht="15" hidden="false" customHeight="false" outlineLevel="0" collapsed="false">
      <c r="A2044" s="16" t="n">
        <v>24.89326318</v>
      </c>
      <c r="B2044" s="16" t="n">
        <v>196.469984</v>
      </c>
      <c r="C2044" s="16" t="n">
        <v>28.0327785441677</v>
      </c>
      <c r="D2044" s="6" t="s">
        <v>57</v>
      </c>
      <c r="E2044" s="6" t="s">
        <v>24</v>
      </c>
      <c r="F2044" s="6" t="s">
        <v>23</v>
      </c>
      <c r="G2044" s="6" t="s">
        <v>58</v>
      </c>
      <c r="H2044" s="6" t="s">
        <v>59</v>
      </c>
      <c r="I2044" s="6" t="str">
        <f aca="false">IF(A2044&lt;Outliers!$E$6,"Low",IF(A2044&gt;Outliers!$F$6,"High",""))</f>
        <v/>
      </c>
      <c r="J2044" s="6" t="str">
        <f aca="false">IF(B2044&lt;Outliers!$E$7,"Low",IF(B2044&gt;Outliers!$F$7,"High",""))</f>
        <v/>
      </c>
      <c r="K2044" s="6" t="str">
        <f aca="false">IF(C2044&lt;Outliers!$E$8,"Low",IF(C2044&gt;Outliers!$F$8,"High",""))</f>
        <v/>
      </c>
      <c r="L2044" s="6" t="str">
        <f aca="false">A2044&amp;";"&amp;B2044&amp;";"&amp;C2044</f>
        <v>24.89326318;196.469984;28.0327785441677</v>
      </c>
      <c r="M2044" s="6" t="n">
        <f aca="false">IF(COUNTIF($L$2:$L$2201,L2044)&gt;1,1,0)</f>
        <v>0</v>
      </c>
      <c r="N2044" s="6" t="str">
        <f aca="false">IF(AND(C2044&lt;Assumptions!$B$9,B2044&lt;Assumptions!$B$10),"Irrigate Now",IF(AND(C2044&gt;=Assumptions!$B$11,B2044&gt;=Assumptions!$B$12),"No Irrigation Needed","Monitor"))</f>
        <v>No Irrigation Needed</v>
      </c>
      <c r="O2044" s="6" t="n">
        <f aca="false">IF(N2044=G2044,1,0)</f>
        <v>1</v>
      </c>
    </row>
    <row r="2045" customFormat="false" ht="15" hidden="false" customHeight="false" outlineLevel="0" collapsed="false">
      <c r="A2045" s="16" t="n">
        <v>23.25583402</v>
      </c>
      <c r="B2045" s="16" t="n">
        <v>166.2160846</v>
      </c>
      <c r="C2045" s="16" t="n">
        <v>25.9983427195072</v>
      </c>
      <c r="D2045" s="6" t="s">
        <v>57</v>
      </c>
      <c r="E2045" s="6" t="s">
        <v>24</v>
      </c>
      <c r="F2045" s="6" t="s">
        <v>23</v>
      </c>
      <c r="G2045" s="6" t="s">
        <v>58</v>
      </c>
      <c r="H2045" s="6" t="s">
        <v>59</v>
      </c>
      <c r="I2045" s="6" t="str">
        <f aca="false">IF(A2045&lt;Outliers!$E$6,"Low",IF(A2045&gt;Outliers!$F$6,"High",""))</f>
        <v/>
      </c>
      <c r="J2045" s="6" t="str">
        <f aca="false">IF(B2045&lt;Outliers!$E$7,"Low",IF(B2045&gt;Outliers!$F$7,"High",""))</f>
        <v/>
      </c>
      <c r="K2045" s="6" t="str">
        <f aca="false">IF(C2045&lt;Outliers!$E$8,"Low",IF(C2045&gt;Outliers!$F$8,"High",""))</f>
        <v/>
      </c>
      <c r="L2045" s="6" t="str">
        <f aca="false">A2045&amp;";"&amp;B2045&amp;";"&amp;C2045</f>
        <v>23.25583402;166.2160846;25.9983427195072</v>
      </c>
      <c r="M2045" s="6" t="n">
        <f aca="false">IF(COUNTIF($L$2:$L$2201,L2045)&gt;1,1,0)</f>
        <v>0</v>
      </c>
      <c r="N2045" s="6" t="str">
        <f aca="false">IF(AND(C2045&lt;Assumptions!$B$9,B2045&lt;Assumptions!$B$10),"Irrigate Now",IF(AND(C2045&gt;=Assumptions!$B$11,B2045&gt;=Assumptions!$B$12),"No Irrigation Needed","Monitor"))</f>
        <v>No Irrigation Needed</v>
      </c>
      <c r="O2045" s="6" t="n">
        <f aca="false">IF(N2045=G2045,1,0)</f>
        <v>1</v>
      </c>
    </row>
    <row r="2046" customFormat="false" ht="15" hidden="false" customHeight="false" outlineLevel="0" collapsed="false">
      <c r="A2046" s="16" t="n">
        <v>24.7634518</v>
      </c>
      <c r="B2046" s="16" t="n">
        <v>179.1630865</v>
      </c>
      <c r="C2046" s="16" t="n">
        <v>11.1343909913389</v>
      </c>
      <c r="D2046" s="6" t="s">
        <v>57</v>
      </c>
      <c r="E2046" s="6" t="s">
        <v>24</v>
      </c>
      <c r="F2046" s="6" t="s">
        <v>24</v>
      </c>
      <c r="G2046" s="6" t="s">
        <v>61</v>
      </c>
      <c r="H2046" s="6" t="s">
        <v>62</v>
      </c>
      <c r="I2046" s="6" t="str">
        <f aca="false">IF(A2046&lt;Outliers!$E$6,"Low",IF(A2046&gt;Outliers!$F$6,"High",""))</f>
        <v/>
      </c>
      <c r="J2046" s="6" t="str">
        <f aca="false">IF(B2046&lt;Outliers!$E$7,"Low",IF(B2046&gt;Outliers!$F$7,"High",""))</f>
        <v/>
      </c>
      <c r="K2046" s="6" t="str">
        <f aca="false">IF(C2046&lt;Outliers!$E$8,"Low",IF(C2046&gt;Outliers!$F$8,"High",""))</f>
        <v/>
      </c>
      <c r="L2046" s="6" t="str">
        <f aca="false">A2046&amp;";"&amp;B2046&amp;";"&amp;C2046</f>
        <v>24.7634518;179.1630865;11.1343909913389</v>
      </c>
      <c r="M2046" s="6" t="n">
        <f aca="false">IF(COUNTIF($L$2:$L$2201,L2046)&gt;1,1,0)</f>
        <v>0</v>
      </c>
      <c r="N2046" s="6" t="str">
        <f aca="false">IF(AND(C2046&lt;Assumptions!$B$9,B2046&lt;Assumptions!$B$10),"Irrigate Now",IF(AND(C2046&gt;=Assumptions!$B$11,B2046&gt;=Assumptions!$B$12),"No Irrigation Needed","Monitor"))</f>
        <v>Monitor</v>
      </c>
      <c r="O2046" s="6" t="n">
        <f aca="false">IF(N2046=G2046,1,0)</f>
        <v>1</v>
      </c>
    </row>
    <row r="2047" customFormat="false" ht="15" hidden="false" customHeight="false" outlineLevel="0" collapsed="false">
      <c r="A2047" s="16" t="n">
        <v>24.97042599</v>
      </c>
      <c r="B2047" s="16" t="n">
        <v>166.6415254</v>
      </c>
      <c r="C2047" s="16" t="n">
        <v>14.3223266903373</v>
      </c>
      <c r="D2047" s="6" t="s">
        <v>57</v>
      </c>
      <c r="E2047" s="6" t="s">
        <v>24</v>
      </c>
      <c r="F2047" s="6" t="s">
        <v>60</v>
      </c>
      <c r="G2047" s="6" t="s">
        <v>61</v>
      </c>
      <c r="H2047" s="6" t="s">
        <v>62</v>
      </c>
      <c r="I2047" s="6" t="str">
        <f aca="false">IF(A2047&lt;Outliers!$E$6,"Low",IF(A2047&gt;Outliers!$F$6,"High",""))</f>
        <v/>
      </c>
      <c r="J2047" s="6" t="str">
        <f aca="false">IF(B2047&lt;Outliers!$E$7,"Low",IF(B2047&gt;Outliers!$F$7,"High",""))</f>
        <v/>
      </c>
      <c r="K2047" s="6" t="str">
        <f aca="false">IF(C2047&lt;Outliers!$E$8,"Low",IF(C2047&gt;Outliers!$F$8,"High",""))</f>
        <v/>
      </c>
      <c r="L2047" s="6" t="str">
        <f aca="false">A2047&amp;";"&amp;B2047&amp;";"&amp;C2047</f>
        <v>24.97042599;166.6415254;14.3223266903373</v>
      </c>
      <c r="M2047" s="6" t="n">
        <f aca="false">IF(COUNTIF($L$2:$L$2201,L2047)&gt;1,1,0)</f>
        <v>0</v>
      </c>
      <c r="N2047" s="6" t="str">
        <f aca="false">IF(AND(C2047&lt;Assumptions!$B$9,B2047&lt;Assumptions!$B$10),"Irrigate Now",IF(AND(C2047&gt;=Assumptions!$B$11,B2047&gt;=Assumptions!$B$12),"No Irrigation Needed","Monitor"))</f>
        <v>Monitor</v>
      </c>
      <c r="O2047" s="6" t="n">
        <f aca="false">IF(N2047=G2047,1,0)</f>
        <v>1</v>
      </c>
    </row>
    <row r="2048" customFormat="false" ht="15" hidden="false" customHeight="false" outlineLevel="0" collapsed="false">
      <c r="A2048" s="16" t="n">
        <v>26.12797248</v>
      </c>
      <c r="B2048" s="16" t="n">
        <v>150.6326874</v>
      </c>
      <c r="C2048" s="16" t="n">
        <v>16.8896355128927</v>
      </c>
      <c r="D2048" s="6" t="s">
        <v>57</v>
      </c>
      <c r="E2048" s="6" t="s">
        <v>24</v>
      </c>
      <c r="F2048" s="6" t="s">
        <v>60</v>
      </c>
      <c r="G2048" s="6" t="s">
        <v>61</v>
      </c>
      <c r="H2048" s="6" t="s">
        <v>62</v>
      </c>
      <c r="I2048" s="6" t="str">
        <f aca="false">IF(A2048&lt;Outliers!$E$6,"Low",IF(A2048&gt;Outliers!$F$6,"High",""))</f>
        <v/>
      </c>
      <c r="J2048" s="6" t="str">
        <f aca="false">IF(B2048&lt;Outliers!$E$7,"Low",IF(B2048&gt;Outliers!$F$7,"High",""))</f>
        <v/>
      </c>
      <c r="K2048" s="6" t="str">
        <f aca="false">IF(C2048&lt;Outliers!$E$8,"Low",IF(C2048&gt;Outliers!$F$8,"High",""))</f>
        <v/>
      </c>
      <c r="L2048" s="6" t="str">
        <f aca="false">A2048&amp;";"&amp;B2048&amp;";"&amp;C2048</f>
        <v>26.12797248;150.6326874;16.8896355128927</v>
      </c>
      <c r="M2048" s="6" t="n">
        <f aca="false">IF(COUNTIF($L$2:$L$2201,L2048)&gt;1,1,0)</f>
        <v>0</v>
      </c>
      <c r="N2048" s="6" t="str">
        <f aca="false">IF(AND(C2048&lt;Assumptions!$B$9,B2048&lt;Assumptions!$B$10),"Irrigate Now",IF(AND(C2048&gt;=Assumptions!$B$11,B2048&gt;=Assumptions!$B$12),"No Irrigation Needed","Monitor"))</f>
        <v>Monitor</v>
      </c>
      <c r="O2048" s="6" t="n">
        <f aca="false">IF(N2048=G2048,1,0)</f>
        <v>1</v>
      </c>
    </row>
    <row r="2049" customFormat="false" ht="15" hidden="false" customHeight="false" outlineLevel="0" collapsed="false">
      <c r="A2049" s="16" t="n">
        <v>25.97825807</v>
      </c>
      <c r="B2049" s="16" t="n">
        <v>163.3488091</v>
      </c>
      <c r="C2049" s="16" t="n">
        <v>26.3065624404675</v>
      </c>
      <c r="D2049" s="6" t="s">
        <v>57</v>
      </c>
      <c r="E2049" s="6" t="s">
        <v>24</v>
      </c>
      <c r="F2049" s="6" t="s">
        <v>23</v>
      </c>
      <c r="G2049" s="6" t="s">
        <v>58</v>
      </c>
      <c r="H2049" s="6" t="s">
        <v>59</v>
      </c>
      <c r="I2049" s="6" t="str">
        <f aca="false">IF(A2049&lt;Outliers!$E$6,"Low",IF(A2049&gt;Outliers!$F$6,"High",""))</f>
        <v/>
      </c>
      <c r="J2049" s="6" t="str">
        <f aca="false">IF(B2049&lt;Outliers!$E$7,"Low",IF(B2049&gt;Outliers!$F$7,"High",""))</f>
        <v/>
      </c>
      <c r="K2049" s="6" t="str">
        <f aca="false">IF(C2049&lt;Outliers!$E$8,"Low",IF(C2049&gt;Outliers!$F$8,"High",""))</f>
        <v/>
      </c>
      <c r="L2049" s="6" t="str">
        <f aca="false">A2049&amp;";"&amp;B2049&amp;";"&amp;C2049</f>
        <v>25.97825807;163.3488091;26.3065624404675</v>
      </c>
      <c r="M2049" s="6" t="n">
        <f aca="false">IF(COUNTIF($L$2:$L$2201,L2049)&gt;1,1,0)</f>
        <v>0</v>
      </c>
      <c r="N2049" s="6" t="str">
        <f aca="false">IF(AND(C2049&lt;Assumptions!$B$9,B2049&lt;Assumptions!$B$10),"Irrigate Now",IF(AND(C2049&gt;=Assumptions!$B$11,B2049&gt;=Assumptions!$B$12),"No Irrigation Needed","Monitor"))</f>
        <v>No Irrigation Needed</v>
      </c>
      <c r="O2049" s="6" t="n">
        <f aca="false">IF(N2049=G2049,1,0)</f>
        <v>1</v>
      </c>
    </row>
    <row r="2050" customFormat="false" ht="15" hidden="false" customHeight="false" outlineLevel="0" collapsed="false">
      <c r="A2050" s="16" t="n">
        <v>26.2830571</v>
      </c>
      <c r="B2050" s="16" t="n">
        <v>186.6898282</v>
      </c>
      <c r="C2050" s="16" t="n">
        <v>29.7103207249919</v>
      </c>
      <c r="D2050" s="6" t="s">
        <v>57</v>
      </c>
      <c r="E2050" s="6" t="s">
        <v>24</v>
      </c>
      <c r="F2050" s="6" t="s">
        <v>23</v>
      </c>
      <c r="G2050" s="6" t="s">
        <v>58</v>
      </c>
      <c r="H2050" s="6" t="s">
        <v>59</v>
      </c>
      <c r="I2050" s="6" t="str">
        <f aca="false">IF(A2050&lt;Outliers!$E$6,"Low",IF(A2050&gt;Outliers!$F$6,"High",""))</f>
        <v/>
      </c>
      <c r="J2050" s="6" t="str">
        <f aca="false">IF(B2050&lt;Outliers!$E$7,"Low",IF(B2050&gt;Outliers!$F$7,"High",""))</f>
        <v/>
      </c>
      <c r="K2050" s="6" t="str">
        <f aca="false">IF(C2050&lt;Outliers!$E$8,"Low",IF(C2050&gt;Outliers!$F$8,"High",""))</f>
        <v/>
      </c>
      <c r="L2050" s="6" t="str">
        <f aca="false">A2050&amp;";"&amp;B2050&amp;";"&amp;C2050</f>
        <v>26.2830571;186.6898282;29.7103207249919</v>
      </c>
      <c r="M2050" s="6" t="n">
        <f aca="false">IF(COUNTIF($L$2:$L$2201,L2050)&gt;1,1,0)</f>
        <v>0</v>
      </c>
      <c r="N2050" s="6" t="str">
        <f aca="false">IF(AND(C2050&lt;Assumptions!$B$9,B2050&lt;Assumptions!$B$10),"Irrigate Now",IF(AND(C2050&gt;=Assumptions!$B$11,B2050&gt;=Assumptions!$B$12),"No Irrigation Needed","Monitor"))</f>
        <v>No Irrigation Needed</v>
      </c>
      <c r="O2050" s="6" t="n">
        <f aca="false">IF(N2050=G2050,1,0)</f>
        <v>1</v>
      </c>
    </row>
    <row r="2051" customFormat="false" ht="15" hidden="false" customHeight="false" outlineLevel="0" collapsed="false">
      <c r="A2051" s="16" t="n">
        <v>26.38905406</v>
      </c>
      <c r="B2051" s="16" t="n">
        <v>176.1516409</v>
      </c>
      <c r="C2051" s="16" t="n">
        <v>11.0061017018122</v>
      </c>
      <c r="D2051" s="6" t="s">
        <v>57</v>
      </c>
      <c r="E2051" s="6" t="s">
        <v>24</v>
      </c>
      <c r="F2051" s="6" t="s">
        <v>24</v>
      </c>
      <c r="G2051" s="6" t="s">
        <v>61</v>
      </c>
      <c r="H2051" s="6" t="s">
        <v>62</v>
      </c>
      <c r="I2051" s="6" t="str">
        <f aca="false">IF(A2051&lt;Outliers!$E$6,"Low",IF(A2051&gt;Outliers!$F$6,"High",""))</f>
        <v/>
      </c>
      <c r="J2051" s="6" t="str">
        <f aca="false">IF(B2051&lt;Outliers!$E$7,"Low",IF(B2051&gt;Outliers!$F$7,"High",""))</f>
        <v/>
      </c>
      <c r="K2051" s="6" t="str">
        <f aca="false">IF(C2051&lt;Outliers!$E$8,"Low",IF(C2051&gt;Outliers!$F$8,"High",""))</f>
        <v/>
      </c>
      <c r="L2051" s="6" t="str">
        <f aca="false">A2051&amp;";"&amp;B2051&amp;";"&amp;C2051</f>
        <v>26.38905406;176.1516409;11.0061017018122</v>
      </c>
      <c r="M2051" s="6" t="n">
        <f aca="false">IF(COUNTIF($L$2:$L$2201,L2051)&gt;1,1,0)</f>
        <v>0</v>
      </c>
      <c r="N2051" s="6" t="str">
        <f aca="false">IF(AND(C2051&lt;Assumptions!$B$9,B2051&lt;Assumptions!$B$10),"Irrigate Now",IF(AND(C2051&gt;=Assumptions!$B$11,B2051&gt;=Assumptions!$B$12),"No Irrigation Needed","Monitor"))</f>
        <v>Monitor</v>
      </c>
      <c r="O2051" s="6" t="n">
        <f aca="false">IF(N2051=G2051,1,0)</f>
        <v>1</v>
      </c>
    </row>
    <row r="2052" customFormat="false" ht="15" hidden="false" customHeight="false" outlineLevel="0" collapsed="false">
      <c r="A2052" s="16" t="n">
        <v>25.2746335</v>
      </c>
      <c r="B2052" s="16" t="n">
        <v>168.0432282</v>
      </c>
      <c r="C2052" s="16" t="n">
        <v>13.2636987047603</v>
      </c>
      <c r="D2052" s="6" t="s">
        <v>57</v>
      </c>
      <c r="E2052" s="6" t="s">
        <v>24</v>
      </c>
      <c r="F2052" s="6" t="s">
        <v>24</v>
      </c>
      <c r="G2052" s="6" t="s">
        <v>61</v>
      </c>
      <c r="H2052" s="6" t="s">
        <v>62</v>
      </c>
      <c r="I2052" s="6" t="str">
        <f aca="false">IF(A2052&lt;Outliers!$E$6,"Low",IF(A2052&gt;Outliers!$F$6,"High",""))</f>
        <v/>
      </c>
      <c r="J2052" s="6" t="str">
        <f aca="false">IF(B2052&lt;Outliers!$E$7,"Low",IF(B2052&gt;Outliers!$F$7,"High",""))</f>
        <v/>
      </c>
      <c r="K2052" s="6" t="str">
        <f aca="false">IF(C2052&lt;Outliers!$E$8,"Low",IF(C2052&gt;Outliers!$F$8,"High",""))</f>
        <v/>
      </c>
      <c r="L2052" s="6" t="str">
        <f aca="false">A2052&amp;";"&amp;B2052&amp;";"&amp;C2052</f>
        <v>25.2746335;168.0432282;13.2636987047603</v>
      </c>
      <c r="M2052" s="6" t="n">
        <f aca="false">IF(COUNTIF($L$2:$L$2201,L2052)&gt;1,1,0)</f>
        <v>0</v>
      </c>
      <c r="N2052" s="6" t="str">
        <f aca="false">IF(AND(C2052&lt;Assumptions!$B$9,B2052&lt;Assumptions!$B$10),"Irrigate Now",IF(AND(C2052&gt;=Assumptions!$B$11,B2052&gt;=Assumptions!$B$12),"No Irrigation Needed","Monitor"))</f>
        <v>Monitor</v>
      </c>
      <c r="O2052" s="6" t="n">
        <f aca="false">IF(N2052=G2052,1,0)</f>
        <v>1</v>
      </c>
    </row>
    <row r="2053" customFormat="false" ht="15" hidden="false" customHeight="false" outlineLevel="0" collapsed="false">
      <c r="A2053" s="16" t="n">
        <v>23.09499564</v>
      </c>
      <c r="B2053" s="16" t="n">
        <v>155.3851533</v>
      </c>
      <c r="C2053" s="16" t="n">
        <v>11.1377472257237</v>
      </c>
      <c r="D2053" s="6" t="s">
        <v>57</v>
      </c>
      <c r="E2053" s="6" t="s">
        <v>24</v>
      </c>
      <c r="F2053" s="6" t="s">
        <v>24</v>
      </c>
      <c r="G2053" s="6" t="s">
        <v>61</v>
      </c>
      <c r="H2053" s="6" t="s">
        <v>62</v>
      </c>
      <c r="I2053" s="6" t="str">
        <f aca="false">IF(A2053&lt;Outliers!$E$6,"Low",IF(A2053&gt;Outliers!$F$6,"High",""))</f>
        <v/>
      </c>
      <c r="J2053" s="6" t="str">
        <f aca="false">IF(B2053&lt;Outliers!$E$7,"Low",IF(B2053&gt;Outliers!$F$7,"High",""))</f>
        <v/>
      </c>
      <c r="K2053" s="6" t="str">
        <f aca="false">IF(C2053&lt;Outliers!$E$8,"Low",IF(C2053&gt;Outliers!$F$8,"High",""))</f>
        <v/>
      </c>
      <c r="L2053" s="6" t="str">
        <f aca="false">A2053&amp;";"&amp;B2053&amp;";"&amp;C2053</f>
        <v>23.09499564;155.3851533;11.1377472257237</v>
      </c>
      <c r="M2053" s="6" t="n">
        <f aca="false">IF(COUNTIF($L$2:$L$2201,L2053)&gt;1,1,0)</f>
        <v>0</v>
      </c>
      <c r="N2053" s="6" t="str">
        <f aca="false">IF(AND(C2053&lt;Assumptions!$B$9,B2053&lt;Assumptions!$B$10),"Irrigate Now",IF(AND(C2053&gt;=Assumptions!$B$11,B2053&gt;=Assumptions!$B$12),"No Irrigation Needed","Monitor"))</f>
        <v>Monitor</v>
      </c>
      <c r="O2053" s="6" t="n">
        <f aca="false">IF(N2053=G2053,1,0)</f>
        <v>1</v>
      </c>
    </row>
    <row r="2054" customFormat="false" ht="15" hidden="false" customHeight="false" outlineLevel="0" collapsed="false">
      <c r="A2054" s="16" t="n">
        <v>25.79351957</v>
      </c>
      <c r="B2054" s="16" t="n">
        <v>193.2418382</v>
      </c>
      <c r="C2054" s="16" t="n">
        <v>12.8364433779201</v>
      </c>
      <c r="D2054" s="6" t="s">
        <v>57</v>
      </c>
      <c r="E2054" s="6" t="s">
        <v>24</v>
      </c>
      <c r="F2054" s="6" t="s">
        <v>60</v>
      </c>
      <c r="G2054" s="6" t="s">
        <v>61</v>
      </c>
      <c r="H2054" s="6" t="s">
        <v>62</v>
      </c>
      <c r="I2054" s="6" t="str">
        <f aca="false">IF(A2054&lt;Outliers!$E$6,"Low",IF(A2054&gt;Outliers!$F$6,"High",""))</f>
        <v/>
      </c>
      <c r="J2054" s="6" t="str">
        <f aca="false">IF(B2054&lt;Outliers!$E$7,"Low",IF(B2054&gt;Outliers!$F$7,"High",""))</f>
        <v/>
      </c>
      <c r="K2054" s="6" t="str">
        <f aca="false">IF(C2054&lt;Outliers!$E$8,"Low",IF(C2054&gt;Outliers!$F$8,"High",""))</f>
        <v/>
      </c>
      <c r="L2054" s="6" t="str">
        <f aca="false">A2054&amp;";"&amp;B2054&amp;";"&amp;C2054</f>
        <v>25.79351957;193.2418382;12.8364433779201</v>
      </c>
      <c r="M2054" s="6" t="n">
        <f aca="false">IF(COUNTIF($L$2:$L$2201,L2054)&gt;1,1,0)</f>
        <v>0</v>
      </c>
      <c r="N2054" s="6" t="str">
        <f aca="false">IF(AND(C2054&lt;Assumptions!$B$9,B2054&lt;Assumptions!$B$10),"Irrigate Now",IF(AND(C2054&gt;=Assumptions!$B$11,B2054&gt;=Assumptions!$B$12),"No Irrigation Needed","Monitor"))</f>
        <v>Monitor</v>
      </c>
      <c r="O2054" s="6" t="n">
        <f aca="false">IF(N2054=G2054,1,0)</f>
        <v>1</v>
      </c>
    </row>
    <row r="2055" customFormat="false" ht="15" hidden="false" customHeight="false" outlineLevel="0" collapsed="false">
      <c r="A2055" s="16" t="n">
        <v>23.17403323</v>
      </c>
      <c r="B2055" s="16" t="n">
        <v>160.6217342</v>
      </c>
      <c r="C2055" s="16" t="n">
        <v>18.7365112052724</v>
      </c>
      <c r="D2055" s="6" t="s">
        <v>57</v>
      </c>
      <c r="E2055" s="6" t="s">
        <v>24</v>
      </c>
      <c r="F2055" s="6" t="s">
        <v>60</v>
      </c>
      <c r="G2055" s="6" t="s">
        <v>61</v>
      </c>
      <c r="H2055" s="6" t="s">
        <v>62</v>
      </c>
      <c r="I2055" s="6" t="str">
        <f aca="false">IF(A2055&lt;Outliers!$E$6,"Low",IF(A2055&gt;Outliers!$F$6,"High",""))</f>
        <v/>
      </c>
      <c r="J2055" s="6" t="str">
        <f aca="false">IF(B2055&lt;Outliers!$E$7,"Low",IF(B2055&gt;Outliers!$F$7,"High",""))</f>
        <v/>
      </c>
      <c r="K2055" s="6" t="str">
        <f aca="false">IF(C2055&lt;Outliers!$E$8,"Low",IF(C2055&gt;Outliers!$F$8,"High",""))</f>
        <v/>
      </c>
      <c r="L2055" s="6" t="str">
        <f aca="false">A2055&amp;";"&amp;B2055&amp;";"&amp;C2055</f>
        <v>23.17403323;160.6217342;18.7365112052724</v>
      </c>
      <c r="M2055" s="6" t="n">
        <f aca="false">IF(COUNTIF($L$2:$L$2201,L2055)&gt;1,1,0)</f>
        <v>0</v>
      </c>
      <c r="N2055" s="6" t="str">
        <f aca="false">IF(AND(C2055&lt;Assumptions!$B$9,B2055&lt;Assumptions!$B$10),"Irrigate Now",IF(AND(C2055&gt;=Assumptions!$B$11,B2055&gt;=Assumptions!$B$12),"No Irrigation Needed","Monitor"))</f>
        <v>Monitor</v>
      </c>
      <c r="O2055" s="6" t="n">
        <f aca="false">IF(N2055=G2055,1,0)</f>
        <v>1</v>
      </c>
    </row>
    <row r="2056" customFormat="false" ht="15" hidden="false" customHeight="false" outlineLevel="0" collapsed="false">
      <c r="A2056" s="16" t="n">
        <v>25.63215038</v>
      </c>
      <c r="B2056" s="16" t="n">
        <v>182.2582277</v>
      </c>
      <c r="C2056" s="16" t="n">
        <v>17.7776516911779</v>
      </c>
      <c r="D2056" s="6" t="s">
        <v>57</v>
      </c>
      <c r="E2056" s="6" t="s">
        <v>24</v>
      </c>
      <c r="F2056" s="6" t="s">
        <v>60</v>
      </c>
      <c r="G2056" s="6" t="s">
        <v>61</v>
      </c>
      <c r="H2056" s="6" t="s">
        <v>62</v>
      </c>
      <c r="I2056" s="6" t="str">
        <f aca="false">IF(A2056&lt;Outliers!$E$6,"Low",IF(A2056&gt;Outliers!$F$6,"High",""))</f>
        <v/>
      </c>
      <c r="J2056" s="6" t="str">
        <f aca="false">IF(B2056&lt;Outliers!$E$7,"Low",IF(B2056&gt;Outliers!$F$7,"High",""))</f>
        <v/>
      </c>
      <c r="K2056" s="6" t="str">
        <f aca="false">IF(C2056&lt;Outliers!$E$8,"Low",IF(C2056&gt;Outliers!$F$8,"High",""))</f>
        <v/>
      </c>
      <c r="L2056" s="6" t="str">
        <f aca="false">A2056&amp;";"&amp;B2056&amp;";"&amp;C2056</f>
        <v>25.63215038;182.2582277;17.7776516911779</v>
      </c>
      <c r="M2056" s="6" t="n">
        <f aca="false">IF(COUNTIF($L$2:$L$2201,L2056)&gt;1,1,0)</f>
        <v>0</v>
      </c>
      <c r="N2056" s="6" t="str">
        <f aca="false">IF(AND(C2056&lt;Assumptions!$B$9,B2056&lt;Assumptions!$B$10),"Irrigate Now",IF(AND(C2056&gt;=Assumptions!$B$11,B2056&gt;=Assumptions!$B$12),"No Irrigation Needed","Monitor"))</f>
        <v>Monitor</v>
      </c>
      <c r="O2056" s="6" t="n">
        <f aca="false">IF(N2056=G2056,1,0)</f>
        <v>1</v>
      </c>
    </row>
    <row r="2057" customFormat="false" ht="15" hidden="false" customHeight="false" outlineLevel="0" collapsed="false">
      <c r="A2057" s="16" t="n">
        <v>25.848795</v>
      </c>
      <c r="B2057" s="16" t="n">
        <v>152.6194403</v>
      </c>
      <c r="C2057" s="16" t="n">
        <v>26.816823668522</v>
      </c>
      <c r="D2057" s="6" t="s">
        <v>57</v>
      </c>
      <c r="E2057" s="6" t="s">
        <v>24</v>
      </c>
      <c r="F2057" s="6" t="s">
        <v>23</v>
      </c>
      <c r="G2057" s="6" t="s">
        <v>58</v>
      </c>
      <c r="H2057" s="6" t="s">
        <v>59</v>
      </c>
      <c r="I2057" s="6" t="str">
        <f aca="false">IF(A2057&lt;Outliers!$E$6,"Low",IF(A2057&gt;Outliers!$F$6,"High",""))</f>
        <v/>
      </c>
      <c r="J2057" s="6" t="str">
        <f aca="false">IF(B2057&lt;Outliers!$E$7,"Low",IF(B2057&gt;Outliers!$F$7,"High",""))</f>
        <v/>
      </c>
      <c r="K2057" s="6" t="str">
        <f aca="false">IF(C2057&lt;Outliers!$E$8,"Low",IF(C2057&gt;Outliers!$F$8,"High",""))</f>
        <v/>
      </c>
      <c r="L2057" s="6" t="str">
        <f aca="false">A2057&amp;";"&amp;B2057&amp;";"&amp;C2057</f>
        <v>25.848795;152.6194403;26.816823668522</v>
      </c>
      <c r="M2057" s="6" t="n">
        <f aca="false">IF(COUNTIF($L$2:$L$2201,L2057)&gt;1,1,0)</f>
        <v>0</v>
      </c>
      <c r="N2057" s="6" t="str">
        <f aca="false">IF(AND(C2057&lt;Assumptions!$B$9,B2057&lt;Assumptions!$B$10),"Irrigate Now",IF(AND(C2057&gt;=Assumptions!$B$11,B2057&gt;=Assumptions!$B$12),"No Irrigation Needed","Monitor"))</f>
        <v>No Irrigation Needed</v>
      </c>
      <c r="O2057" s="6" t="n">
        <f aca="false">IF(N2057=G2057,1,0)</f>
        <v>1</v>
      </c>
    </row>
    <row r="2058" customFormat="false" ht="15" hidden="false" customHeight="false" outlineLevel="0" collapsed="false">
      <c r="A2058" s="16" t="n">
        <v>26.56767277</v>
      </c>
      <c r="B2058" s="16" t="n">
        <v>181.2915605</v>
      </c>
      <c r="C2058" s="16" t="n">
        <v>17.8929748367775</v>
      </c>
      <c r="D2058" s="6" t="s">
        <v>57</v>
      </c>
      <c r="E2058" s="6" t="s">
        <v>24</v>
      </c>
      <c r="F2058" s="6" t="s">
        <v>60</v>
      </c>
      <c r="G2058" s="6" t="s">
        <v>61</v>
      </c>
      <c r="H2058" s="6" t="s">
        <v>62</v>
      </c>
      <c r="I2058" s="6" t="str">
        <f aca="false">IF(A2058&lt;Outliers!$E$6,"Low",IF(A2058&gt;Outliers!$F$6,"High",""))</f>
        <v/>
      </c>
      <c r="J2058" s="6" t="str">
        <f aca="false">IF(B2058&lt;Outliers!$E$7,"Low",IF(B2058&gt;Outliers!$F$7,"High",""))</f>
        <v/>
      </c>
      <c r="K2058" s="6" t="str">
        <f aca="false">IF(C2058&lt;Outliers!$E$8,"Low",IF(C2058&gt;Outliers!$F$8,"High",""))</f>
        <v/>
      </c>
      <c r="L2058" s="6" t="str">
        <f aca="false">A2058&amp;";"&amp;B2058&amp;";"&amp;C2058</f>
        <v>26.56767277;181.2915605;17.8929748367775</v>
      </c>
      <c r="M2058" s="6" t="n">
        <f aca="false">IF(COUNTIF($L$2:$L$2201,L2058)&gt;1,1,0)</f>
        <v>0</v>
      </c>
      <c r="N2058" s="6" t="str">
        <f aca="false">IF(AND(C2058&lt;Assumptions!$B$9,B2058&lt;Assumptions!$B$10),"Irrigate Now",IF(AND(C2058&gt;=Assumptions!$B$11,B2058&gt;=Assumptions!$B$12),"No Irrigation Needed","Monitor"))</f>
        <v>Monitor</v>
      </c>
      <c r="O2058" s="6" t="n">
        <f aca="false">IF(N2058=G2058,1,0)</f>
        <v>1</v>
      </c>
    </row>
    <row r="2059" customFormat="false" ht="15" hidden="false" customHeight="false" outlineLevel="0" collapsed="false">
      <c r="A2059" s="16" t="n">
        <v>26.24532085</v>
      </c>
      <c r="B2059" s="16" t="n">
        <v>189.9711184</v>
      </c>
      <c r="C2059" s="16" t="n">
        <v>23.9553642775814</v>
      </c>
      <c r="D2059" s="6" t="s">
        <v>57</v>
      </c>
      <c r="E2059" s="6" t="s">
        <v>24</v>
      </c>
      <c r="F2059" s="6" t="s">
        <v>23</v>
      </c>
      <c r="G2059" s="6" t="s">
        <v>61</v>
      </c>
      <c r="H2059" s="6" t="s">
        <v>62</v>
      </c>
      <c r="I2059" s="6" t="str">
        <f aca="false">IF(A2059&lt;Outliers!$E$6,"Low",IF(A2059&gt;Outliers!$F$6,"High",""))</f>
        <v/>
      </c>
      <c r="J2059" s="6" t="str">
        <f aca="false">IF(B2059&lt;Outliers!$E$7,"Low",IF(B2059&gt;Outliers!$F$7,"High",""))</f>
        <v/>
      </c>
      <c r="K2059" s="6" t="str">
        <f aca="false">IF(C2059&lt;Outliers!$E$8,"Low",IF(C2059&gt;Outliers!$F$8,"High",""))</f>
        <v/>
      </c>
      <c r="L2059" s="6" t="str">
        <f aca="false">A2059&amp;";"&amp;B2059&amp;";"&amp;C2059</f>
        <v>26.24532085;189.9711184;23.9553642775814</v>
      </c>
      <c r="M2059" s="6" t="n">
        <f aca="false">IF(COUNTIF($L$2:$L$2201,L2059)&gt;1,1,0)</f>
        <v>0</v>
      </c>
      <c r="N2059" s="6" t="str">
        <f aca="false">IF(AND(C2059&lt;Assumptions!$B$9,B2059&lt;Assumptions!$B$10),"Irrigate Now",IF(AND(C2059&gt;=Assumptions!$B$11,B2059&gt;=Assumptions!$B$12),"No Irrigation Needed","Monitor"))</f>
        <v>Monitor</v>
      </c>
      <c r="O2059" s="6" t="n">
        <f aca="false">IF(N2059=G2059,1,0)</f>
        <v>1</v>
      </c>
    </row>
    <row r="2060" customFormat="false" ht="15" hidden="false" customHeight="false" outlineLevel="0" collapsed="false">
      <c r="A2060" s="16" t="n">
        <v>26.91515043</v>
      </c>
      <c r="B2060" s="16" t="n">
        <v>177.2233048</v>
      </c>
      <c r="C2060" s="16" t="n">
        <v>12.9138340941085</v>
      </c>
      <c r="D2060" s="6" t="s">
        <v>57</v>
      </c>
      <c r="E2060" s="6" t="s">
        <v>24</v>
      </c>
      <c r="F2060" s="6" t="s">
        <v>24</v>
      </c>
      <c r="G2060" s="6" t="s">
        <v>61</v>
      </c>
      <c r="H2060" s="6" t="s">
        <v>62</v>
      </c>
      <c r="I2060" s="6" t="str">
        <f aca="false">IF(A2060&lt;Outliers!$E$6,"Low",IF(A2060&gt;Outliers!$F$6,"High",""))</f>
        <v/>
      </c>
      <c r="J2060" s="6" t="str">
        <f aca="false">IF(B2060&lt;Outliers!$E$7,"Low",IF(B2060&gt;Outliers!$F$7,"High",""))</f>
        <v/>
      </c>
      <c r="K2060" s="6" t="str">
        <f aca="false">IF(C2060&lt;Outliers!$E$8,"Low",IF(C2060&gt;Outliers!$F$8,"High",""))</f>
        <v/>
      </c>
      <c r="L2060" s="6" t="str">
        <f aca="false">A2060&amp;";"&amp;B2060&amp;";"&amp;C2060</f>
        <v>26.91515043;177.2233048;12.9138340941085</v>
      </c>
      <c r="M2060" s="6" t="n">
        <f aca="false">IF(COUNTIF($L$2:$L$2201,L2060)&gt;1,1,0)</f>
        <v>0</v>
      </c>
      <c r="N2060" s="6" t="str">
        <f aca="false">IF(AND(C2060&lt;Assumptions!$B$9,B2060&lt;Assumptions!$B$10),"Irrigate Now",IF(AND(C2060&gt;=Assumptions!$B$11,B2060&gt;=Assumptions!$B$12),"No Irrigation Needed","Monitor"))</f>
        <v>Monitor</v>
      </c>
      <c r="O2060" s="6" t="n">
        <f aca="false">IF(N2060=G2060,1,0)</f>
        <v>1</v>
      </c>
    </row>
    <row r="2061" customFormat="false" ht="15" hidden="false" customHeight="false" outlineLevel="0" collapsed="false">
      <c r="A2061" s="16" t="n">
        <v>24.36972377</v>
      </c>
      <c r="B2061" s="16" t="n">
        <v>159.9210934</v>
      </c>
      <c r="C2061" s="16" t="n">
        <v>21.1725132164592</v>
      </c>
      <c r="D2061" s="6" t="s">
        <v>57</v>
      </c>
      <c r="E2061" s="6" t="s">
        <v>24</v>
      </c>
      <c r="F2061" s="6" t="s">
        <v>23</v>
      </c>
      <c r="G2061" s="6" t="s">
        <v>61</v>
      </c>
      <c r="H2061" s="6" t="s">
        <v>62</v>
      </c>
      <c r="I2061" s="6" t="str">
        <f aca="false">IF(A2061&lt;Outliers!$E$6,"Low",IF(A2061&gt;Outliers!$F$6,"High",""))</f>
        <v/>
      </c>
      <c r="J2061" s="6" t="str">
        <f aca="false">IF(B2061&lt;Outliers!$E$7,"Low",IF(B2061&gt;Outliers!$F$7,"High",""))</f>
        <v/>
      </c>
      <c r="K2061" s="6" t="str">
        <f aca="false">IF(C2061&lt;Outliers!$E$8,"Low",IF(C2061&gt;Outliers!$F$8,"High",""))</f>
        <v/>
      </c>
      <c r="L2061" s="6" t="str">
        <f aca="false">A2061&amp;";"&amp;B2061&amp;";"&amp;C2061</f>
        <v>24.36972377;159.9210934;21.1725132164592</v>
      </c>
      <c r="M2061" s="6" t="n">
        <f aca="false">IF(COUNTIF($L$2:$L$2201,L2061)&gt;1,1,0)</f>
        <v>0</v>
      </c>
      <c r="N2061" s="6" t="str">
        <f aca="false">IF(AND(C2061&lt;Assumptions!$B$9,B2061&lt;Assumptions!$B$10),"Irrigate Now",IF(AND(C2061&gt;=Assumptions!$B$11,B2061&gt;=Assumptions!$B$12),"No Irrigation Needed","Monitor"))</f>
        <v>Monitor</v>
      </c>
      <c r="O2061" s="6" t="n">
        <f aca="false">IF(N2061=G2061,1,0)</f>
        <v>1</v>
      </c>
    </row>
    <row r="2062" customFormat="false" ht="15" hidden="false" customHeight="false" outlineLevel="0" collapsed="false">
      <c r="A2062" s="16" t="n">
        <v>25.71901283</v>
      </c>
      <c r="B2062" s="16" t="n">
        <v>187.1735424</v>
      </c>
      <c r="C2062" s="16" t="n">
        <v>24.7709627926809</v>
      </c>
      <c r="D2062" s="6" t="s">
        <v>57</v>
      </c>
      <c r="E2062" s="6" t="s">
        <v>24</v>
      </c>
      <c r="F2062" s="6" t="s">
        <v>23</v>
      </c>
      <c r="G2062" s="6" t="s">
        <v>61</v>
      </c>
      <c r="H2062" s="6" t="s">
        <v>62</v>
      </c>
      <c r="I2062" s="6" t="str">
        <f aca="false">IF(A2062&lt;Outliers!$E$6,"Low",IF(A2062&gt;Outliers!$F$6,"High",""))</f>
        <v/>
      </c>
      <c r="J2062" s="6" t="str">
        <f aca="false">IF(B2062&lt;Outliers!$E$7,"Low",IF(B2062&gt;Outliers!$F$7,"High",""))</f>
        <v/>
      </c>
      <c r="K2062" s="6" t="str">
        <f aca="false">IF(C2062&lt;Outliers!$E$8,"Low",IF(C2062&gt;Outliers!$F$8,"High",""))</f>
        <v/>
      </c>
      <c r="L2062" s="6" t="str">
        <f aca="false">A2062&amp;";"&amp;B2062&amp;";"&amp;C2062</f>
        <v>25.71901283;187.1735424;24.7709627926809</v>
      </c>
      <c r="M2062" s="6" t="n">
        <f aca="false">IF(COUNTIF($L$2:$L$2201,L2062)&gt;1,1,0)</f>
        <v>0</v>
      </c>
      <c r="N2062" s="6" t="str">
        <f aca="false">IF(AND(C2062&lt;Assumptions!$B$9,B2062&lt;Assumptions!$B$10),"Irrigate Now",IF(AND(C2062&gt;=Assumptions!$B$11,B2062&gt;=Assumptions!$B$12),"No Irrigation Needed","Monitor"))</f>
        <v>Monitor</v>
      </c>
      <c r="O2062" s="6" t="n">
        <f aca="false">IF(N2062=G2062,1,0)</f>
        <v>1</v>
      </c>
    </row>
    <row r="2063" customFormat="false" ht="15" hidden="false" customHeight="false" outlineLevel="0" collapsed="false">
      <c r="A2063" s="16" t="n">
        <v>25.01157559</v>
      </c>
      <c r="B2063" s="16" t="n">
        <v>169.4168014</v>
      </c>
      <c r="C2063" s="16" t="n">
        <v>12.0800641875098</v>
      </c>
      <c r="D2063" s="6" t="s">
        <v>57</v>
      </c>
      <c r="E2063" s="6" t="s">
        <v>24</v>
      </c>
      <c r="F2063" s="6" t="s">
        <v>24</v>
      </c>
      <c r="G2063" s="6" t="s">
        <v>61</v>
      </c>
      <c r="H2063" s="6" t="s">
        <v>62</v>
      </c>
      <c r="I2063" s="6" t="str">
        <f aca="false">IF(A2063&lt;Outliers!$E$6,"Low",IF(A2063&gt;Outliers!$F$6,"High",""))</f>
        <v/>
      </c>
      <c r="J2063" s="6" t="str">
        <f aca="false">IF(B2063&lt;Outliers!$E$7,"Low",IF(B2063&gt;Outliers!$F$7,"High",""))</f>
        <v/>
      </c>
      <c r="K2063" s="6" t="str">
        <f aca="false">IF(C2063&lt;Outliers!$E$8,"Low",IF(C2063&gt;Outliers!$F$8,"High",""))</f>
        <v/>
      </c>
      <c r="L2063" s="6" t="str">
        <f aca="false">A2063&amp;";"&amp;B2063&amp;";"&amp;C2063</f>
        <v>25.01157559;169.4168014;12.0800641875098</v>
      </c>
      <c r="M2063" s="6" t="n">
        <f aca="false">IF(COUNTIF($L$2:$L$2201,L2063)&gt;1,1,0)</f>
        <v>0</v>
      </c>
      <c r="N2063" s="6" t="str">
        <f aca="false">IF(AND(C2063&lt;Assumptions!$B$9,B2063&lt;Assumptions!$B$10),"Irrigate Now",IF(AND(C2063&gt;=Assumptions!$B$11,B2063&gt;=Assumptions!$B$12),"No Irrigation Needed","Monitor"))</f>
        <v>Monitor</v>
      </c>
      <c r="O2063" s="6" t="n">
        <f aca="false">IF(N2063=G2063,1,0)</f>
        <v>1</v>
      </c>
    </row>
    <row r="2064" customFormat="false" ht="15" hidden="false" customHeight="false" outlineLevel="0" collapsed="false">
      <c r="A2064" s="16" t="n">
        <v>25.40785911</v>
      </c>
      <c r="B2064" s="16" t="n">
        <v>188.6372826</v>
      </c>
      <c r="C2064" s="16" t="n">
        <v>10.6673657081542</v>
      </c>
      <c r="D2064" s="6" t="s">
        <v>57</v>
      </c>
      <c r="E2064" s="6" t="s">
        <v>24</v>
      </c>
      <c r="F2064" s="6" t="s">
        <v>24</v>
      </c>
      <c r="G2064" s="6" t="s">
        <v>61</v>
      </c>
      <c r="H2064" s="6" t="s">
        <v>62</v>
      </c>
      <c r="I2064" s="6" t="str">
        <f aca="false">IF(A2064&lt;Outliers!$E$6,"Low",IF(A2064&gt;Outliers!$F$6,"High",""))</f>
        <v/>
      </c>
      <c r="J2064" s="6" t="str">
        <f aca="false">IF(B2064&lt;Outliers!$E$7,"Low",IF(B2064&gt;Outliers!$F$7,"High",""))</f>
        <v/>
      </c>
      <c r="K2064" s="6" t="str">
        <f aca="false">IF(C2064&lt;Outliers!$E$8,"Low",IF(C2064&gt;Outliers!$F$8,"High",""))</f>
        <v/>
      </c>
      <c r="L2064" s="6" t="str">
        <f aca="false">A2064&amp;";"&amp;B2064&amp;";"&amp;C2064</f>
        <v>25.40785911;188.6372826;10.6673657081542</v>
      </c>
      <c r="M2064" s="6" t="n">
        <f aca="false">IF(COUNTIF($L$2:$L$2201,L2064)&gt;1,1,0)</f>
        <v>0</v>
      </c>
      <c r="N2064" s="6" t="str">
        <f aca="false">IF(AND(C2064&lt;Assumptions!$B$9,B2064&lt;Assumptions!$B$10),"Irrigate Now",IF(AND(C2064&gt;=Assumptions!$B$11,B2064&gt;=Assumptions!$B$12),"No Irrigation Needed","Monitor"))</f>
        <v>Monitor</v>
      </c>
      <c r="O2064" s="6" t="n">
        <f aca="false">IF(N2064=G2064,1,0)</f>
        <v>1</v>
      </c>
    </row>
    <row r="2065" customFormat="false" ht="15" hidden="false" customHeight="false" outlineLevel="0" collapsed="false">
      <c r="A2065" s="16" t="n">
        <v>23.28081</v>
      </c>
      <c r="B2065" s="16" t="n">
        <v>153.7447398</v>
      </c>
      <c r="C2065" s="16" t="n">
        <v>28.9272318095382</v>
      </c>
      <c r="D2065" s="6" t="s">
        <v>57</v>
      </c>
      <c r="E2065" s="6" t="s">
        <v>24</v>
      </c>
      <c r="F2065" s="6" t="s">
        <v>23</v>
      </c>
      <c r="G2065" s="6" t="s">
        <v>58</v>
      </c>
      <c r="H2065" s="6" t="s">
        <v>59</v>
      </c>
      <c r="I2065" s="6" t="str">
        <f aca="false">IF(A2065&lt;Outliers!$E$6,"Low",IF(A2065&gt;Outliers!$F$6,"High",""))</f>
        <v/>
      </c>
      <c r="J2065" s="6" t="str">
        <f aca="false">IF(B2065&lt;Outliers!$E$7,"Low",IF(B2065&gt;Outliers!$F$7,"High",""))</f>
        <v/>
      </c>
      <c r="K2065" s="6" t="str">
        <f aca="false">IF(C2065&lt;Outliers!$E$8,"Low",IF(C2065&gt;Outliers!$F$8,"High",""))</f>
        <v/>
      </c>
      <c r="L2065" s="6" t="str">
        <f aca="false">A2065&amp;";"&amp;B2065&amp;";"&amp;C2065</f>
        <v>23.28081;153.7447398;28.9272318095382</v>
      </c>
      <c r="M2065" s="6" t="n">
        <f aca="false">IF(COUNTIF($L$2:$L$2201,L2065)&gt;1,1,0)</f>
        <v>0</v>
      </c>
      <c r="N2065" s="6" t="str">
        <f aca="false">IF(AND(C2065&lt;Assumptions!$B$9,B2065&lt;Assumptions!$B$10),"Irrigate Now",IF(AND(C2065&gt;=Assumptions!$B$11,B2065&gt;=Assumptions!$B$12),"No Irrigation Needed","Monitor"))</f>
        <v>No Irrigation Needed</v>
      </c>
      <c r="O2065" s="6" t="n">
        <f aca="false">IF(N2065=G2065,1,0)</f>
        <v>1</v>
      </c>
    </row>
    <row r="2066" customFormat="false" ht="15" hidden="false" customHeight="false" outlineLevel="0" collapsed="false">
      <c r="A2066" s="16" t="n">
        <v>23.98651719</v>
      </c>
      <c r="B2066" s="16" t="n">
        <v>167.0576456</v>
      </c>
      <c r="C2066" s="16" t="n">
        <v>29.050821528983</v>
      </c>
      <c r="D2066" s="6" t="s">
        <v>57</v>
      </c>
      <c r="E2066" s="6" t="s">
        <v>24</v>
      </c>
      <c r="F2066" s="6" t="s">
        <v>23</v>
      </c>
      <c r="G2066" s="6" t="s">
        <v>58</v>
      </c>
      <c r="H2066" s="6" t="s">
        <v>59</v>
      </c>
      <c r="I2066" s="6" t="str">
        <f aca="false">IF(A2066&lt;Outliers!$E$6,"Low",IF(A2066&gt;Outliers!$F$6,"High",""))</f>
        <v/>
      </c>
      <c r="J2066" s="6" t="str">
        <f aca="false">IF(B2066&lt;Outliers!$E$7,"Low",IF(B2066&gt;Outliers!$F$7,"High",""))</f>
        <v/>
      </c>
      <c r="K2066" s="6" t="str">
        <f aca="false">IF(C2066&lt;Outliers!$E$8,"Low",IF(C2066&gt;Outliers!$F$8,"High",""))</f>
        <v/>
      </c>
      <c r="L2066" s="6" t="str">
        <f aca="false">A2066&amp;";"&amp;B2066&amp;";"&amp;C2066</f>
        <v>23.98651719;167.0576456;29.050821528983</v>
      </c>
      <c r="M2066" s="6" t="n">
        <f aca="false">IF(COUNTIF($L$2:$L$2201,L2066)&gt;1,1,0)</f>
        <v>0</v>
      </c>
      <c r="N2066" s="6" t="str">
        <f aca="false">IF(AND(C2066&lt;Assumptions!$B$9,B2066&lt;Assumptions!$B$10),"Irrigate Now",IF(AND(C2066&gt;=Assumptions!$B$11,B2066&gt;=Assumptions!$B$12),"No Irrigation Needed","Monitor"))</f>
        <v>No Irrigation Needed</v>
      </c>
      <c r="O2066" s="6" t="n">
        <f aca="false">IF(N2066=G2066,1,0)</f>
        <v>1</v>
      </c>
    </row>
    <row r="2067" customFormat="false" ht="15" hidden="false" customHeight="false" outlineLevel="0" collapsed="false">
      <c r="A2067" s="16" t="n">
        <v>24.48556447</v>
      </c>
      <c r="B2067" s="16" t="n">
        <v>192.2316221</v>
      </c>
      <c r="C2067" s="16" t="n">
        <v>13.2128681506136</v>
      </c>
      <c r="D2067" s="6" t="s">
        <v>57</v>
      </c>
      <c r="E2067" s="6" t="s">
        <v>24</v>
      </c>
      <c r="F2067" s="6" t="s">
        <v>60</v>
      </c>
      <c r="G2067" s="6" t="s">
        <v>61</v>
      </c>
      <c r="H2067" s="6" t="s">
        <v>62</v>
      </c>
      <c r="I2067" s="6" t="str">
        <f aca="false">IF(A2067&lt;Outliers!$E$6,"Low",IF(A2067&gt;Outliers!$F$6,"High",""))</f>
        <v/>
      </c>
      <c r="J2067" s="6" t="str">
        <f aca="false">IF(B2067&lt;Outliers!$E$7,"Low",IF(B2067&gt;Outliers!$F$7,"High",""))</f>
        <v/>
      </c>
      <c r="K2067" s="6" t="str">
        <f aca="false">IF(C2067&lt;Outliers!$E$8,"Low",IF(C2067&gt;Outliers!$F$8,"High",""))</f>
        <v/>
      </c>
      <c r="L2067" s="6" t="str">
        <f aca="false">A2067&amp;";"&amp;B2067&amp;";"&amp;C2067</f>
        <v>24.48556447;192.2316221;13.2128681506136</v>
      </c>
      <c r="M2067" s="6" t="n">
        <f aca="false">IF(COUNTIF($L$2:$L$2201,L2067)&gt;1,1,0)</f>
        <v>0</v>
      </c>
      <c r="N2067" s="6" t="str">
        <f aca="false">IF(AND(C2067&lt;Assumptions!$B$9,B2067&lt;Assumptions!$B$10),"Irrigate Now",IF(AND(C2067&gt;=Assumptions!$B$11,B2067&gt;=Assumptions!$B$12),"No Irrigation Needed","Monitor"))</f>
        <v>Monitor</v>
      </c>
      <c r="O2067" s="6" t="n">
        <f aca="false">IF(N2067=G2067,1,0)</f>
        <v>1</v>
      </c>
    </row>
    <row r="2068" customFormat="false" ht="15" hidden="false" customHeight="false" outlineLevel="0" collapsed="false">
      <c r="A2068" s="16" t="n">
        <v>25.86705009</v>
      </c>
      <c r="B2068" s="16" t="n">
        <v>154.8390847</v>
      </c>
      <c r="C2068" s="16" t="n">
        <v>17.8583989446344</v>
      </c>
      <c r="D2068" s="6" t="s">
        <v>57</v>
      </c>
      <c r="E2068" s="6" t="s">
        <v>24</v>
      </c>
      <c r="F2068" s="6" t="s">
        <v>60</v>
      </c>
      <c r="G2068" s="6" t="s">
        <v>61</v>
      </c>
      <c r="H2068" s="6" t="s">
        <v>62</v>
      </c>
      <c r="I2068" s="6" t="str">
        <f aca="false">IF(A2068&lt;Outliers!$E$6,"Low",IF(A2068&gt;Outliers!$F$6,"High",""))</f>
        <v/>
      </c>
      <c r="J2068" s="6" t="str">
        <f aca="false">IF(B2068&lt;Outliers!$E$7,"Low",IF(B2068&gt;Outliers!$F$7,"High",""))</f>
        <v/>
      </c>
      <c r="K2068" s="6" t="str">
        <f aca="false">IF(C2068&lt;Outliers!$E$8,"Low",IF(C2068&gt;Outliers!$F$8,"High",""))</f>
        <v/>
      </c>
      <c r="L2068" s="6" t="str">
        <f aca="false">A2068&amp;";"&amp;B2068&amp;";"&amp;C2068</f>
        <v>25.86705009;154.8390847;17.8583989446344</v>
      </c>
      <c r="M2068" s="6" t="n">
        <f aca="false">IF(COUNTIF($L$2:$L$2201,L2068)&gt;1,1,0)</f>
        <v>0</v>
      </c>
      <c r="N2068" s="6" t="str">
        <f aca="false">IF(AND(C2068&lt;Assumptions!$B$9,B2068&lt;Assumptions!$B$10),"Irrigate Now",IF(AND(C2068&gt;=Assumptions!$B$11,B2068&gt;=Assumptions!$B$12),"No Irrigation Needed","Monitor"))</f>
        <v>Monitor</v>
      </c>
      <c r="O2068" s="6" t="n">
        <f aca="false">IF(N2068=G2068,1,0)</f>
        <v>1</v>
      </c>
    </row>
    <row r="2069" customFormat="false" ht="15" hidden="false" customHeight="false" outlineLevel="0" collapsed="false">
      <c r="A2069" s="16" t="n">
        <v>23.5643831</v>
      </c>
      <c r="B2069" s="16" t="n">
        <v>185.25947</v>
      </c>
      <c r="C2069" s="16" t="n">
        <v>22.4998735858369</v>
      </c>
      <c r="D2069" s="6" t="s">
        <v>57</v>
      </c>
      <c r="E2069" s="6" t="s">
        <v>24</v>
      </c>
      <c r="F2069" s="6" t="s">
        <v>23</v>
      </c>
      <c r="G2069" s="6" t="s">
        <v>61</v>
      </c>
      <c r="H2069" s="6" t="s">
        <v>62</v>
      </c>
      <c r="I2069" s="6" t="str">
        <f aca="false">IF(A2069&lt;Outliers!$E$6,"Low",IF(A2069&gt;Outliers!$F$6,"High",""))</f>
        <v/>
      </c>
      <c r="J2069" s="6" t="str">
        <f aca="false">IF(B2069&lt;Outliers!$E$7,"Low",IF(B2069&gt;Outliers!$F$7,"High",""))</f>
        <v/>
      </c>
      <c r="K2069" s="6" t="str">
        <f aca="false">IF(C2069&lt;Outliers!$E$8,"Low",IF(C2069&gt;Outliers!$F$8,"High",""))</f>
        <v/>
      </c>
      <c r="L2069" s="6" t="str">
        <f aca="false">A2069&amp;";"&amp;B2069&amp;";"&amp;C2069</f>
        <v>23.5643831;185.25947;22.4998735858369</v>
      </c>
      <c r="M2069" s="6" t="n">
        <f aca="false">IF(COUNTIF($L$2:$L$2201,L2069)&gt;1,1,0)</f>
        <v>0</v>
      </c>
      <c r="N2069" s="6" t="str">
        <f aca="false">IF(AND(C2069&lt;Assumptions!$B$9,B2069&lt;Assumptions!$B$10),"Irrigate Now",IF(AND(C2069&gt;=Assumptions!$B$11,B2069&gt;=Assumptions!$B$12),"No Irrigation Needed","Monitor"))</f>
        <v>Monitor</v>
      </c>
      <c r="O2069" s="6" t="n">
        <f aca="false">IF(N2069=G2069,1,0)</f>
        <v>1</v>
      </c>
    </row>
    <row r="2070" customFormat="false" ht="15" hidden="false" customHeight="false" outlineLevel="0" collapsed="false">
      <c r="A2070" s="16" t="n">
        <v>24.2248758</v>
      </c>
      <c r="B2070" s="16" t="n">
        <v>192.4931257</v>
      </c>
      <c r="C2070" s="16" t="n">
        <v>11.922048094408</v>
      </c>
      <c r="D2070" s="6" t="s">
        <v>57</v>
      </c>
      <c r="E2070" s="6" t="s">
        <v>24</v>
      </c>
      <c r="F2070" s="6" t="s">
        <v>24</v>
      </c>
      <c r="G2070" s="6" t="s">
        <v>61</v>
      </c>
      <c r="H2070" s="6" t="s">
        <v>62</v>
      </c>
      <c r="I2070" s="6" t="str">
        <f aca="false">IF(A2070&lt;Outliers!$E$6,"Low",IF(A2070&gt;Outliers!$F$6,"High",""))</f>
        <v/>
      </c>
      <c r="J2070" s="6" t="str">
        <f aca="false">IF(B2070&lt;Outliers!$E$7,"Low",IF(B2070&gt;Outliers!$F$7,"High",""))</f>
        <v/>
      </c>
      <c r="K2070" s="6" t="str">
        <f aca="false">IF(C2070&lt;Outliers!$E$8,"Low",IF(C2070&gt;Outliers!$F$8,"High",""))</f>
        <v/>
      </c>
      <c r="L2070" s="6" t="str">
        <f aca="false">A2070&amp;";"&amp;B2070&amp;";"&amp;C2070</f>
        <v>24.2248758;192.4931257;11.922048094408</v>
      </c>
      <c r="M2070" s="6" t="n">
        <f aca="false">IF(COUNTIF($L$2:$L$2201,L2070)&gt;1,1,0)</f>
        <v>0</v>
      </c>
      <c r="N2070" s="6" t="str">
        <f aca="false">IF(AND(C2070&lt;Assumptions!$B$9,B2070&lt;Assumptions!$B$10),"Irrigate Now",IF(AND(C2070&gt;=Assumptions!$B$11,B2070&gt;=Assumptions!$B$12),"No Irrigation Needed","Monitor"))</f>
        <v>Monitor</v>
      </c>
      <c r="O2070" s="6" t="n">
        <f aca="false">IF(N2070=G2070,1,0)</f>
        <v>1</v>
      </c>
    </row>
    <row r="2071" customFormat="false" ht="15" hidden="false" customHeight="false" outlineLevel="0" collapsed="false">
      <c r="A2071" s="16" t="n">
        <v>25.49386782</v>
      </c>
      <c r="B2071" s="16" t="n">
        <v>176.5268267</v>
      </c>
      <c r="C2071" s="16" t="n">
        <v>17.605865260018</v>
      </c>
      <c r="D2071" s="6" t="s">
        <v>57</v>
      </c>
      <c r="E2071" s="6" t="s">
        <v>24</v>
      </c>
      <c r="F2071" s="6" t="s">
        <v>60</v>
      </c>
      <c r="G2071" s="6" t="s">
        <v>61</v>
      </c>
      <c r="H2071" s="6" t="s">
        <v>62</v>
      </c>
      <c r="I2071" s="6" t="str">
        <f aca="false">IF(A2071&lt;Outliers!$E$6,"Low",IF(A2071&gt;Outliers!$F$6,"High",""))</f>
        <v/>
      </c>
      <c r="J2071" s="6" t="str">
        <f aca="false">IF(B2071&lt;Outliers!$E$7,"Low",IF(B2071&gt;Outliers!$F$7,"High",""))</f>
        <v/>
      </c>
      <c r="K2071" s="6" t="str">
        <f aca="false">IF(C2071&lt;Outliers!$E$8,"Low",IF(C2071&gt;Outliers!$F$8,"High",""))</f>
        <v/>
      </c>
      <c r="L2071" s="6" t="str">
        <f aca="false">A2071&amp;";"&amp;B2071&amp;";"&amp;C2071</f>
        <v>25.49386782;176.5268267;17.605865260018</v>
      </c>
      <c r="M2071" s="6" t="n">
        <f aca="false">IF(COUNTIF($L$2:$L$2201,L2071)&gt;1,1,0)</f>
        <v>0</v>
      </c>
      <c r="N2071" s="6" t="str">
        <f aca="false">IF(AND(C2071&lt;Assumptions!$B$9,B2071&lt;Assumptions!$B$10),"Irrigate Now",IF(AND(C2071&gt;=Assumptions!$B$11,B2071&gt;=Assumptions!$B$12),"No Irrigation Needed","Monitor"))</f>
        <v>Monitor</v>
      </c>
      <c r="O2071" s="6" t="n">
        <f aca="false">IF(N2071=G2071,1,0)</f>
        <v>1</v>
      </c>
    </row>
    <row r="2072" customFormat="false" ht="15" hidden="false" customHeight="false" outlineLevel="0" collapsed="false">
      <c r="A2072" s="16" t="n">
        <v>24.97178693</v>
      </c>
      <c r="B2072" s="16" t="n">
        <v>195.7571622</v>
      </c>
      <c r="C2072" s="16" t="n">
        <v>11.9849995114635</v>
      </c>
      <c r="D2072" s="6" t="s">
        <v>57</v>
      </c>
      <c r="E2072" s="6" t="s">
        <v>24</v>
      </c>
      <c r="F2072" s="6" t="s">
        <v>24</v>
      </c>
      <c r="G2072" s="6" t="s">
        <v>61</v>
      </c>
      <c r="H2072" s="6" t="s">
        <v>62</v>
      </c>
      <c r="I2072" s="6" t="str">
        <f aca="false">IF(A2072&lt;Outliers!$E$6,"Low",IF(A2072&gt;Outliers!$F$6,"High",""))</f>
        <v/>
      </c>
      <c r="J2072" s="6" t="str">
        <f aca="false">IF(B2072&lt;Outliers!$E$7,"Low",IF(B2072&gt;Outliers!$F$7,"High",""))</f>
        <v/>
      </c>
      <c r="K2072" s="6" t="str">
        <f aca="false">IF(C2072&lt;Outliers!$E$8,"Low",IF(C2072&gt;Outliers!$F$8,"High",""))</f>
        <v/>
      </c>
      <c r="L2072" s="6" t="str">
        <f aca="false">A2072&amp;";"&amp;B2072&amp;";"&amp;C2072</f>
        <v>24.97178693;195.7571622;11.9849995114635</v>
      </c>
      <c r="M2072" s="6" t="n">
        <f aca="false">IF(COUNTIF($L$2:$L$2201,L2072)&gt;1,1,0)</f>
        <v>0</v>
      </c>
      <c r="N2072" s="6" t="str">
        <f aca="false">IF(AND(C2072&lt;Assumptions!$B$9,B2072&lt;Assumptions!$B$10),"Irrigate Now",IF(AND(C2072&gt;=Assumptions!$B$11,B2072&gt;=Assumptions!$B$12),"No Irrigation Needed","Monitor"))</f>
        <v>Monitor</v>
      </c>
      <c r="O2072" s="6" t="n">
        <f aca="false">IF(N2072=G2072,1,0)</f>
        <v>1</v>
      </c>
    </row>
    <row r="2073" customFormat="false" ht="15" hidden="false" customHeight="false" outlineLevel="0" collapsed="false">
      <c r="A2073" s="16" t="n">
        <v>24.80624984</v>
      </c>
      <c r="B2073" s="16" t="n">
        <v>156.3616174</v>
      </c>
      <c r="C2073" s="16" t="n">
        <v>19.2813500448842</v>
      </c>
      <c r="D2073" s="6" t="s">
        <v>57</v>
      </c>
      <c r="E2073" s="6" t="s">
        <v>24</v>
      </c>
      <c r="F2073" s="6" t="s">
        <v>60</v>
      </c>
      <c r="G2073" s="6" t="s">
        <v>61</v>
      </c>
      <c r="H2073" s="6" t="s">
        <v>62</v>
      </c>
      <c r="I2073" s="6" t="str">
        <f aca="false">IF(A2073&lt;Outliers!$E$6,"Low",IF(A2073&gt;Outliers!$F$6,"High",""))</f>
        <v/>
      </c>
      <c r="J2073" s="6" t="str">
        <f aca="false">IF(B2073&lt;Outliers!$E$7,"Low",IF(B2073&gt;Outliers!$F$7,"High",""))</f>
        <v/>
      </c>
      <c r="K2073" s="6" t="str">
        <f aca="false">IF(C2073&lt;Outliers!$E$8,"Low",IF(C2073&gt;Outliers!$F$8,"High",""))</f>
        <v/>
      </c>
      <c r="L2073" s="6" t="str">
        <f aca="false">A2073&amp;";"&amp;B2073&amp;";"&amp;C2073</f>
        <v>24.80624984;156.3616174;19.2813500448842</v>
      </c>
      <c r="M2073" s="6" t="n">
        <f aca="false">IF(COUNTIF($L$2:$L$2201,L2073)&gt;1,1,0)</f>
        <v>0</v>
      </c>
      <c r="N2073" s="6" t="str">
        <f aca="false">IF(AND(C2073&lt;Assumptions!$B$9,B2073&lt;Assumptions!$B$10),"Irrigate Now",IF(AND(C2073&gt;=Assumptions!$B$11,B2073&gt;=Assumptions!$B$12),"No Irrigation Needed","Monitor"))</f>
        <v>Monitor</v>
      </c>
      <c r="O2073" s="6" t="n">
        <f aca="false">IF(N2073=G2073,1,0)</f>
        <v>1</v>
      </c>
    </row>
    <row r="2074" customFormat="false" ht="15" hidden="false" customHeight="false" outlineLevel="0" collapsed="false">
      <c r="A2074" s="16" t="n">
        <v>23.16814977</v>
      </c>
      <c r="B2074" s="16" t="n">
        <v>157.1215052</v>
      </c>
      <c r="C2074" s="16" t="n">
        <v>12.4965744125287</v>
      </c>
      <c r="D2074" s="6" t="s">
        <v>57</v>
      </c>
      <c r="E2074" s="6" t="s">
        <v>24</v>
      </c>
      <c r="F2074" s="6" t="s">
        <v>24</v>
      </c>
      <c r="G2074" s="6" t="s">
        <v>61</v>
      </c>
      <c r="H2074" s="6" t="s">
        <v>62</v>
      </c>
      <c r="I2074" s="6" t="str">
        <f aca="false">IF(A2074&lt;Outliers!$E$6,"Low",IF(A2074&gt;Outliers!$F$6,"High",""))</f>
        <v/>
      </c>
      <c r="J2074" s="6" t="str">
        <f aca="false">IF(B2074&lt;Outliers!$E$7,"Low",IF(B2074&gt;Outliers!$F$7,"High",""))</f>
        <v/>
      </c>
      <c r="K2074" s="6" t="str">
        <f aca="false">IF(C2074&lt;Outliers!$E$8,"Low",IF(C2074&gt;Outliers!$F$8,"High",""))</f>
        <v/>
      </c>
      <c r="L2074" s="6" t="str">
        <f aca="false">A2074&amp;";"&amp;B2074&amp;";"&amp;C2074</f>
        <v>23.16814977;157.1215052;12.4965744125287</v>
      </c>
      <c r="M2074" s="6" t="n">
        <f aca="false">IF(COUNTIF($L$2:$L$2201,L2074)&gt;1,1,0)</f>
        <v>0</v>
      </c>
      <c r="N2074" s="6" t="str">
        <f aca="false">IF(AND(C2074&lt;Assumptions!$B$9,B2074&lt;Assumptions!$B$10),"Irrigate Now",IF(AND(C2074&gt;=Assumptions!$B$11,B2074&gt;=Assumptions!$B$12),"No Irrigation Needed","Monitor"))</f>
        <v>Monitor</v>
      </c>
      <c r="O2074" s="6" t="n">
        <f aca="false">IF(N2074=G2074,1,0)</f>
        <v>1</v>
      </c>
    </row>
    <row r="2075" customFormat="false" ht="15" hidden="false" customHeight="false" outlineLevel="0" collapsed="false">
      <c r="A2075" s="16" t="n">
        <v>24.25133493</v>
      </c>
      <c r="B2075" s="16" t="n">
        <v>175.1742112</v>
      </c>
      <c r="C2075" s="16" t="n">
        <v>19.4447607857881</v>
      </c>
      <c r="D2075" s="6" t="s">
        <v>57</v>
      </c>
      <c r="E2075" s="6" t="s">
        <v>24</v>
      </c>
      <c r="F2075" s="6" t="s">
        <v>60</v>
      </c>
      <c r="G2075" s="6" t="s">
        <v>61</v>
      </c>
      <c r="H2075" s="6" t="s">
        <v>62</v>
      </c>
      <c r="I2075" s="6" t="str">
        <f aca="false">IF(A2075&lt;Outliers!$E$6,"Low",IF(A2075&gt;Outliers!$F$6,"High",""))</f>
        <v/>
      </c>
      <c r="J2075" s="6" t="str">
        <f aca="false">IF(B2075&lt;Outliers!$E$7,"Low",IF(B2075&gt;Outliers!$F$7,"High",""))</f>
        <v/>
      </c>
      <c r="K2075" s="6" t="str">
        <f aca="false">IF(C2075&lt;Outliers!$E$8,"Low",IF(C2075&gt;Outliers!$F$8,"High",""))</f>
        <v/>
      </c>
      <c r="L2075" s="6" t="str">
        <f aca="false">A2075&amp;";"&amp;B2075&amp;";"&amp;C2075</f>
        <v>24.25133493;175.1742112;19.4447607857881</v>
      </c>
      <c r="M2075" s="6" t="n">
        <f aca="false">IF(COUNTIF($L$2:$L$2201,L2075)&gt;1,1,0)</f>
        <v>0</v>
      </c>
      <c r="N2075" s="6" t="str">
        <f aca="false">IF(AND(C2075&lt;Assumptions!$B$9,B2075&lt;Assumptions!$B$10),"Irrigate Now",IF(AND(C2075&gt;=Assumptions!$B$11,B2075&gt;=Assumptions!$B$12),"No Irrigation Needed","Monitor"))</f>
        <v>Monitor</v>
      </c>
      <c r="O2075" s="6" t="n">
        <f aca="false">IF(N2075=G2075,1,0)</f>
        <v>1</v>
      </c>
    </row>
    <row r="2076" customFormat="false" ht="15" hidden="false" customHeight="false" outlineLevel="0" collapsed="false">
      <c r="A2076" s="16" t="n">
        <v>26.58361011</v>
      </c>
      <c r="B2076" s="16" t="n">
        <v>154.8238864</v>
      </c>
      <c r="C2076" s="16" t="n">
        <v>15.9633862449103</v>
      </c>
      <c r="D2076" s="6" t="s">
        <v>57</v>
      </c>
      <c r="E2076" s="6" t="s">
        <v>24</v>
      </c>
      <c r="F2076" s="6" t="s">
        <v>60</v>
      </c>
      <c r="G2076" s="6" t="s">
        <v>61</v>
      </c>
      <c r="H2076" s="6" t="s">
        <v>62</v>
      </c>
      <c r="I2076" s="6" t="str">
        <f aca="false">IF(A2076&lt;Outliers!$E$6,"Low",IF(A2076&gt;Outliers!$F$6,"High",""))</f>
        <v/>
      </c>
      <c r="J2076" s="6" t="str">
        <f aca="false">IF(B2076&lt;Outliers!$E$7,"Low",IF(B2076&gt;Outliers!$F$7,"High",""))</f>
        <v/>
      </c>
      <c r="K2076" s="6" t="str">
        <f aca="false">IF(C2076&lt;Outliers!$E$8,"Low",IF(C2076&gt;Outliers!$F$8,"High",""))</f>
        <v/>
      </c>
      <c r="L2076" s="6" t="str">
        <f aca="false">A2076&amp;";"&amp;B2076&amp;";"&amp;C2076</f>
        <v>26.58361011;154.8238864;15.9633862449103</v>
      </c>
      <c r="M2076" s="6" t="n">
        <f aca="false">IF(COUNTIF($L$2:$L$2201,L2076)&gt;1,1,0)</f>
        <v>0</v>
      </c>
      <c r="N2076" s="6" t="str">
        <f aca="false">IF(AND(C2076&lt;Assumptions!$B$9,B2076&lt;Assumptions!$B$10),"Irrigate Now",IF(AND(C2076&gt;=Assumptions!$B$11,B2076&gt;=Assumptions!$B$12),"No Irrigation Needed","Monitor"))</f>
        <v>Monitor</v>
      </c>
      <c r="O2076" s="6" t="n">
        <f aca="false">IF(N2076=G2076,1,0)</f>
        <v>1</v>
      </c>
    </row>
    <row r="2077" customFormat="false" ht="15" hidden="false" customHeight="false" outlineLevel="0" collapsed="false">
      <c r="A2077" s="16" t="n">
        <v>26.82489244</v>
      </c>
      <c r="B2077" s="16" t="n">
        <v>153.9199807</v>
      </c>
      <c r="C2077" s="16" t="n">
        <v>23.9506189258873</v>
      </c>
      <c r="D2077" s="6" t="s">
        <v>57</v>
      </c>
      <c r="E2077" s="6" t="s">
        <v>24</v>
      </c>
      <c r="F2077" s="6" t="s">
        <v>23</v>
      </c>
      <c r="G2077" s="6" t="s">
        <v>61</v>
      </c>
      <c r="H2077" s="6" t="s">
        <v>62</v>
      </c>
      <c r="I2077" s="6" t="str">
        <f aca="false">IF(A2077&lt;Outliers!$E$6,"Low",IF(A2077&gt;Outliers!$F$6,"High",""))</f>
        <v/>
      </c>
      <c r="J2077" s="6" t="str">
        <f aca="false">IF(B2077&lt;Outliers!$E$7,"Low",IF(B2077&gt;Outliers!$F$7,"High",""))</f>
        <v/>
      </c>
      <c r="K2077" s="6" t="str">
        <f aca="false">IF(C2077&lt;Outliers!$E$8,"Low",IF(C2077&gt;Outliers!$F$8,"High",""))</f>
        <v/>
      </c>
      <c r="L2077" s="6" t="str">
        <f aca="false">A2077&amp;";"&amp;B2077&amp;";"&amp;C2077</f>
        <v>26.82489244;153.9199807;23.9506189258873</v>
      </c>
      <c r="M2077" s="6" t="n">
        <f aca="false">IF(COUNTIF($L$2:$L$2201,L2077)&gt;1,1,0)</f>
        <v>0</v>
      </c>
      <c r="N2077" s="6" t="str">
        <f aca="false">IF(AND(C2077&lt;Assumptions!$B$9,B2077&lt;Assumptions!$B$10),"Irrigate Now",IF(AND(C2077&gt;=Assumptions!$B$11,B2077&gt;=Assumptions!$B$12),"No Irrigation Needed","Monitor"))</f>
        <v>Monitor</v>
      </c>
      <c r="O2077" s="6" t="n">
        <f aca="false">IF(N2077=G2077,1,0)</f>
        <v>1</v>
      </c>
    </row>
    <row r="2078" customFormat="false" ht="15" hidden="false" customHeight="false" outlineLevel="0" collapsed="false">
      <c r="A2078" s="16" t="n">
        <v>25.49674786</v>
      </c>
      <c r="B2078" s="16" t="n">
        <v>169.9288234</v>
      </c>
      <c r="C2078" s="16" t="n">
        <v>13.1404371815729</v>
      </c>
      <c r="D2078" s="6" t="s">
        <v>57</v>
      </c>
      <c r="E2078" s="6" t="s">
        <v>24</v>
      </c>
      <c r="F2078" s="6" t="s">
        <v>24</v>
      </c>
      <c r="G2078" s="6" t="s">
        <v>61</v>
      </c>
      <c r="H2078" s="6" t="s">
        <v>62</v>
      </c>
      <c r="I2078" s="6" t="str">
        <f aca="false">IF(A2078&lt;Outliers!$E$6,"Low",IF(A2078&gt;Outliers!$F$6,"High",""))</f>
        <v/>
      </c>
      <c r="J2078" s="6" t="str">
        <f aca="false">IF(B2078&lt;Outliers!$E$7,"Low",IF(B2078&gt;Outliers!$F$7,"High",""))</f>
        <v/>
      </c>
      <c r="K2078" s="6" t="str">
        <f aca="false">IF(C2078&lt;Outliers!$E$8,"Low",IF(C2078&gt;Outliers!$F$8,"High",""))</f>
        <v/>
      </c>
      <c r="L2078" s="6" t="str">
        <f aca="false">A2078&amp;";"&amp;B2078&amp;";"&amp;C2078</f>
        <v>25.49674786;169.9288234;13.1404371815729</v>
      </c>
      <c r="M2078" s="6" t="n">
        <f aca="false">IF(COUNTIF($L$2:$L$2201,L2078)&gt;1,1,0)</f>
        <v>0</v>
      </c>
      <c r="N2078" s="6" t="str">
        <f aca="false">IF(AND(C2078&lt;Assumptions!$B$9,B2078&lt;Assumptions!$B$10),"Irrigate Now",IF(AND(C2078&gt;=Assumptions!$B$11,B2078&gt;=Assumptions!$B$12),"No Irrigation Needed","Monitor"))</f>
        <v>Monitor</v>
      </c>
      <c r="O2078" s="6" t="n">
        <f aca="false">IF(N2078=G2078,1,0)</f>
        <v>1</v>
      </c>
    </row>
    <row r="2079" customFormat="false" ht="15" hidden="false" customHeight="false" outlineLevel="0" collapsed="false">
      <c r="A2079" s="16" t="n">
        <v>24.09874353</v>
      </c>
      <c r="B2079" s="16" t="n">
        <v>176.8604109</v>
      </c>
      <c r="C2079" s="16" t="n">
        <v>29.3208033832657</v>
      </c>
      <c r="D2079" s="6" t="s">
        <v>57</v>
      </c>
      <c r="E2079" s="6" t="s">
        <v>24</v>
      </c>
      <c r="F2079" s="6" t="s">
        <v>23</v>
      </c>
      <c r="G2079" s="6" t="s">
        <v>58</v>
      </c>
      <c r="H2079" s="6" t="s">
        <v>59</v>
      </c>
      <c r="I2079" s="6" t="str">
        <f aca="false">IF(A2079&lt;Outliers!$E$6,"Low",IF(A2079&gt;Outliers!$F$6,"High",""))</f>
        <v/>
      </c>
      <c r="J2079" s="6" t="str">
        <f aca="false">IF(B2079&lt;Outliers!$E$7,"Low",IF(B2079&gt;Outliers!$F$7,"High",""))</f>
        <v/>
      </c>
      <c r="K2079" s="6" t="str">
        <f aca="false">IF(C2079&lt;Outliers!$E$8,"Low",IF(C2079&gt;Outliers!$F$8,"High",""))</f>
        <v/>
      </c>
      <c r="L2079" s="6" t="str">
        <f aca="false">A2079&amp;";"&amp;B2079&amp;";"&amp;C2079</f>
        <v>24.09874353;176.8604109;29.3208033832657</v>
      </c>
      <c r="M2079" s="6" t="n">
        <f aca="false">IF(COUNTIF($L$2:$L$2201,L2079)&gt;1,1,0)</f>
        <v>0</v>
      </c>
      <c r="N2079" s="6" t="str">
        <f aca="false">IF(AND(C2079&lt;Assumptions!$B$9,B2079&lt;Assumptions!$B$10),"Irrigate Now",IF(AND(C2079&gt;=Assumptions!$B$11,B2079&gt;=Assumptions!$B$12),"No Irrigation Needed","Monitor"))</f>
        <v>No Irrigation Needed</v>
      </c>
      <c r="O2079" s="6" t="n">
        <f aca="false">IF(N2079=G2079,1,0)</f>
        <v>1</v>
      </c>
    </row>
    <row r="2080" customFormat="false" ht="15" hidden="false" customHeight="false" outlineLevel="0" collapsed="false">
      <c r="A2080" s="16" t="n">
        <v>23.18866654</v>
      </c>
      <c r="B2080" s="16" t="n">
        <v>176.103677</v>
      </c>
      <c r="C2080" s="16" t="n">
        <v>26.1996493503801</v>
      </c>
      <c r="D2080" s="6" t="s">
        <v>57</v>
      </c>
      <c r="E2080" s="6" t="s">
        <v>24</v>
      </c>
      <c r="F2080" s="6" t="s">
        <v>23</v>
      </c>
      <c r="G2080" s="6" t="s">
        <v>58</v>
      </c>
      <c r="H2080" s="6" t="s">
        <v>59</v>
      </c>
      <c r="I2080" s="6" t="str">
        <f aca="false">IF(A2080&lt;Outliers!$E$6,"Low",IF(A2080&gt;Outliers!$F$6,"High",""))</f>
        <v/>
      </c>
      <c r="J2080" s="6" t="str">
        <f aca="false">IF(B2080&lt;Outliers!$E$7,"Low",IF(B2080&gt;Outliers!$F$7,"High",""))</f>
        <v/>
      </c>
      <c r="K2080" s="6" t="str">
        <f aca="false">IF(C2080&lt;Outliers!$E$8,"Low",IF(C2080&gt;Outliers!$F$8,"High",""))</f>
        <v/>
      </c>
      <c r="L2080" s="6" t="str">
        <f aca="false">A2080&amp;";"&amp;B2080&amp;";"&amp;C2080</f>
        <v>23.18866654;176.103677;26.1996493503801</v>
      </c>
      <c r="M2080" s="6" t="n">
        <f aca="false">IF(COUNTIF($L$2:$L$2201,L2080)&gt;1,1,0)</f>
        <v>0</v>
      </c>
      <c r="N2080" s="6" t="str">
        <f aca="false">IF(AND(C2080&lt;Assumptions!$B$9,B2080&lt;Assumptions!$B$10),"Irrigate Now",IF(AND(C2080&gt;=Assumptions!$B$11,B2080&gt;=Assumptions!$B$12),"No Irrigation Needed","Monitor"))</f>
        <v>No Irrigation Needed</v>
      </c>
      <c r="O2080" s="6" t="n">
        <f aca="false">IF(N2080=G2080,1,0)</f>
        <v>1</v>
      </c>
    </row>
    <row r="2081" customFormat="false" ht="15" hidden="false" customHeight="false" outlineLevel="0" collapsed="false">
      <c r="A2081" s="16" t="n">
        <v>26.24347471</v>
      </c>
      <c r="B2081" s="16" t="n">
        <v>183.4065252</v>
      </c>
      <c r="C2081" s="16" t="n">
        <v>10.1188467592577</v>
      </c>
      <c r="D2081" s="6" t="s">
        <v>57</v>
      </c>
      <c r="E2081" s="6" t="s">
        <v>24</v>
      </c>
      <c r="F2081" s="6" t="s">
        <v>24</v>
      </c>
      <c r="G2081" s="6" t="s">
        <v>61</v>
      </c>
      <c r="H2081" s="6" t="s">
        <v>62</v>
      </c>
      <c r="I2081" s="6" t="str">
        <f aca="false">IF(A2081&lt;Outliers!$E$6,"Low",IF(A2081&gt;Outliers!$F$6,"High",""))</f>
        <v/>
      </c>
      <c r="J2081" s="6" t="str">
        <f aca="false">IF(B2081&lt;Outliers!$E$7,"Low",IF(B2081&gt;Outliers!$F$7,"High",""))</f>
        <v/>
      </c>
      <c r="K2081" s="6" t="str">
        <f aca="false">IF(C2081&lt;Outliers!$E$8,"Low",IF(C2081&gt;Outliers!$F$8,"High",""))</f>
        <v/>
      </c>
      <c r="L2081" s="6" t="str">
        <f aca="false">A2081&amp;";"&amp;B2081&amp;";"&amp;C2081</f>
        <v>26.24347471;183.4065252;10.1188467592577</v>
      </c>
      <c r="M2081" s="6" t="n">
        <f aca="false">IF(COUNTIF($L$2:$L$2201,L2081)&gt;1,1,0)</f>
        <v>0</v>
      </c>
      <c r="N2081" s="6" t="str">
        <f aca="false">IF(AND(C2081&lt;Assumptions!$B$9,B2081&lt;Assumptions!$B$10),"Irrigate Now",IF(AND(C2081&gt;=Assumptions!$B$11,B2081&gt;=Assumptions!$B$12),"No Irrigation Needed","Monitor"))</f>
        <v>Monitor</v>
      </c>
      <c r="O2081" s="6" t="n">
        <f aca="false">IF(N2081=G2081,1,0)</f>
        <v>1</v>
      </c>
    </row>
    <row r="2082" customFormat="false" ht="15" hidden="false" customHeight="false" outlineLevel="0" collapsed="false">
      <c r="A2082" s="16" t="n">
        <v>23.75091572</v>
      </c>
      <c r="B2082" s="16" t="n">
        <v>160.0889553</v>
      </c>
      <c r="C2082" s="16" t="n">
        <v>11.0505047940044</v>
      </c>
      <c r="D2082" s="6" t="s">
        <v>57</v>
      </c>
      <c r="E2082" s="6" t="s">
        <v>24</v>
      </c>
      <c r="F2082" s="6" t="s">
        <v>24</v>
      </c>
      <c r="G2082" s="6" t="s">
        <v>61</v>
      </c>
      <c r="H2082" s="6" t="s">
        <v>62</v>
      </c>
      <c r="I2082" s="6" t="str">
        <f aca="false">IF(A2082&lt;Outliers!$E$6,"Low",IF(A2082&gt;Outliers!$F$6,"High",""))</f>
        <v/>
      </c>
      <c r="J2082" s="6" t="str">
        <f aca="false">IF(B2082&lt;Outliers!$E$7,"Low",IF(B2082&gt;Outliers!$F$7,"High",""))</f>
        <v/>
      </c>
      <c r="K2082" s="6" t="str">
        <f aca="false">IF(C2082&lt;Outliers!$E$8,"Low",IF(C2082&gt;Outliers!$F$8,"High",""))</f>
        <v/>
      </c>
      <c r="L2082" s="6" t="str">
        <f aca="false">A2082&amp;";"&amp;B2082&amp;";"&amp;C2082</f>
        <v>23.75091572;160.0889553;11.0505047940044</v>
      </c>
      <c r="M2082" s="6" t="n">
        <f aca="false">IF(COUNTIF($L$2:$L$2201,L2082)&gt;1,1,0)</f>
        <v>0</v>
      </c>
      <c r="N2082" s="6" t="str">
        <f aca="false">IF(AND(C2082&lt;Assumptions!$B$9,B2082&lt;Assumptions!$B$10),"Irrigate Now",IF(AND(C2082&gt;=Assumptions!$B$11,B2082&gt;=Assumptions!$B$12),"No Irrigation Needed","Monitor"))</f>
        <v>Monitor</v>
      </c>
      <c r="O2082" s="6" t="n">
        <f aca="false">IF(N2082=G2082,1,0)</f>
        <v>1</v>
      </c>
    </row>
    <row r="2083" customFormat="false" ht="15" hidden="false" customHeight="false" outlineLevel="0" collapsed="false">
      <c r="A2083" s="16" t="n">
        <v>26.13871511</v>
      </c>
      <c r="B2083" s="16" t="n">
        <v>171.4892533</v>
      </c>
      <c r="C2083" s="16" t="n">
        <v>26.4194263441394</v>
      </c>
      <c r="D2083" s="6" t="s">
        <v>57</v>
      </c>
      <c r="E2083" s="6" t="s">
        <v>24</v>
      </c>
      <c r="F2083" s="6" t="s">
        <v>23</v>
      </c>
      <c r="G2083" s="6" t="s">
        <v>58</v>
      </c>
      <c r="H2083" s="6" t="s">
        <v>59</v>
      </c>
      <c r="I2083" s="6" t="str">
        <f aca="false">IF(A2083&lt;Outliers!$E$6,"Low",IF(A2083&gt;Outliers!$F$6,"High",""))</f>
        <v/>
      </c>
      <c r="J2083" s="6" t="str">
        <f aca="false">IF(B2083&lt;Outliers!$E$7,"Low",IF(B2083&gt;Outliers!$F$7,"High",""))</f>
        <v/>
      </c>
      <c r="K2083" s="6" t="str">
        <f aca="false">IF(C2083&lt;Outliers!$E$8,"Low",IF(C2083&gt;Outliers!$F$8,"High",""))</f>
        <v/>
      </c>
      <c r="L2083" s="6" t="str">
        <f aca="false">A2083&amp;";"&amp;B2083&amp;";"&amp;C2083</f>
        <v>26.13871511;171.4892533;26.4194263441394</v>
      </c>
      <c r="M2083" s="6" t="n">
        <f aca="false">IF(COUNTIF($L$2:$L$2201,L2083)&gt;1,1,0)</f>
        <v>0</v>
      </c>
      <c r="N2083" s="6" t="str">
        <f aca="false">IF(AND(C2083&lt;Assumptions!$B$9,B2083&lt;Assumptions!$B$10),"Irrigate Now",IF(AND(C2083&gt;=Assumptions!$B$11,B2083&gt;=Assumptions!$B$12),"No Irrigation Needed","Monitor"))</f>
        <v>No Irrigation Needed</v>
      </c>
      <c r="O2083" s="6" t="n">
        <f aca="false">IF(N2083=G2083,1,0)</f>
        <v>1</v>
      </c>
    </row>
    <row r="2084" customFormat="false" ht="15" hidden="false" customHeight="false" outlineLevel="0" collapsed="false">
      <c r="A2084" s="16" t="n">
        <v>26.14576648</v>
      </c>
      <c r="B2084" s="16" t="n">
        <v>193.1007598</v>
      </c>
      <c r="C2084" s="16" t="n">
        <v>12.4859586261365</v>
      </c>
      <c r="D2084" s="6" t="s">
        <v>57</v>
      </c>
      <c r="E2084" s="6" t="s">
        <v>24</v>
      </c>
      <c r="F2084" s="6" t="s">
        <v>24</v>
      </c>
      <c r="G2084" s="6" t="s">
        <v>61</v>
      </c>
      <c r="H2084" s="6" t="s">
        <v>62</v>
      </c>
      <c r="I2084" s="6" t="str">
        <f aca="false">IF(A2084&lt;Outliers!$E$6,"Low",IF(A2084&gt;Outliers!$F$6,"High",""))</f>
        <v/>
      </c>
      <c r="J2084" s="6" t="str">
        <f aca="false">IF(B2084&lt;Outliers!$E$7,"Low",IF(B2084&gt;Outliers!$F$7,"High",""))</f>
        <v/>
      </c>
      <c r="K2084" s="6" t="str">
        <f aca="false">IF(C2084&lt;Outliers!$E$8,"Low",IF(C2084&gt;Outliers!$F$8,"High",""))</f>
        <v/>
      </c>
      <c r="L2084" s="6" t="str">
        <f aca="false">A2084&amp;";"&amp;B2084&amp;";"&amp;C2084</f>
        <v>26.14576648;193.1007598;12.4859586261365</v>
      </c>
      <c r="M2084" s="6" t="n">
        <f aca="false">IF(COUNTIF($L$2:$L$2201,L2084)&gt;1,1,0)</f>
        <v>0</v>
      </c>
      <c r="N2084" s="6" t="str">
        <f aca="false">IF(AND(C2084&lt;Assumptions!$B$9,B2084&lt;Assumptions!$B$10),"Irrigate Now",IF(AND(C2084&gt;=Assumptions!$B$11,B2084&gt;=Assumptions!$B$12),"No Irrigation Needed","Monitor"))</f>
        <v>Monitor</v>
      </c>
      <c r="O2084" s="6" t="n">
        <f aca="false">IF(N2084=G2084,1,0)</f>
        <v>1</v>
      </c>
    </row>
    <row r="2085" customFormat="false" ht="15" hidden="false" customHeight="false" outlineLevel="0" collapsed="false">
      <c r="A2085" s="16" t="n">
        <v>26.91643698</v>
      </c>
      <c r="B2085" s="16" t="n">
        <v>171.4716375</v>
      </c>
      <c r="C2085" s="16" t="n">
        <v>23.7611183883516</v>
      </c>
      <c r="D2085" s="6" t="s">
        <v>57</v>
      </c>
      <c r="E2085" s="6" t="s">
        <v>24</v>
      </c>
      <c r="F2085" s="6" t="s">
        <v>23</v>
      </c>
      <c r="G2085" s="6" t="s">
        <v>61</v>
      </c>
      <c r="H2085" s="6" t="s">
        <v>62</v>
      </c>
      <c r="I2085" s="6" t="str">
        <f aca="false">IF(A2085&lt;Outliers!$E$6,"Low",IF(A2085&gt;Outliers!$F$6,"High",""))</f>
        <v/>
      </c>
      <c r="J2085" s="6" t="str">
        <f aca="false">IF(B2085&lt;Outliers!$E$7,"Low",IF(B2085&gt;Outliers!$F$7,"High",""))</f>
        <v/>
      </c>
      <c r="K2085" s="6" t="str">
        <f aca="false">IF(C2085&lt;Outliers!$E$8,"Low",IF(C2085&gt;Outliers!$F$8,"High",""))</f>
        <v/>
      </c>
      <c r="L2085" s="6" t="str">
        <f aca="false">A2085&amp;";"&amp;B2085&amp;";"&amp;C2085</f>
        <v>26.91643698;171.4716375;23.7611183883516</v>
      </c>
      <c r="M2085" s="6" t="n">
        <f aca="false">IF(COUNTIF($L$2:$L$2201,L2085)&gt;1,1,0)</f>
        <v>0</v>
      </c>
      <c r="N2085" s="6" t="str">
        <f aca="false">IF(AND(C2085&lt;Assumptions!$B$9,B2085&lt;Assumptions!$B$10),"Irrigate Now",IF(AND(C2085&gt;=Assumptions!$B$11,B2085&gt;=Assumptions!$B$12),"No Irrigation Needed","Monitor"))</f>
        <v>Monitor</v>
      </c>
      <c r="O2085" s="6" t="n">
        <f aca="false">IF(N2085=G2085,1,0)</f>
        <v>1</v>
      </c>
    </row>
    <row r="2086" customFormat="false" ht="15" hidden="false" customHeight="false" outlineLevel="0" collapsed="false">
      <c r="A2086" s="16" t="n">
        <v>26.5232969</v>
      </c>
      <c r="B2086" s="16" t="n">
        <v>157.8548562</v>
      </c>
      <c r="C2086" s="16" t="n">
        <v>23.0256479565885</v>
      </c>
      <c r="D2086" s="6" t="s">
        <v>57</v>
      </c>
      <c r="E2086" s="6" t="s">
        <v>24</v>
      </c>
      <c r="F2086" s="6" t="s">
        <v>23</v>
      </c>
      <c r="G2086" s="6" t="s">
        <v>61</v>
      </c>
      <c r="H2086" s="6" t="s">
        <v>62</v>
      </c>
      <c r="I2086" s="6" t="str">
        <f aca="false">IF(A2086&lt;Outliers!$E$6,"Low",IF(A2086&gt;Outliers!$F$6,"High",""))</f>
        <v/>
      </c>
      <c r="J2086" s="6" t="str">
        <f aca="false">IF(B2086&lt;Outliers!$E$7,"Low",IF(B2086&gt;Outliers!$F$7,"High",""))</f>
        <v/>
      </c>
      <c r="K2086" s="6" t="str">
        <f aca="false">IF(C2086&lt;Outliers!$E$8,"Low",IF(C2086&gt;Outliers!$F$8,"High",""))</f>
        <v/>
      </c>
      <c r="L2086" s="6" t="str">
        <f aca="false">A2086&amp;";"&amp;B2086&amp;";"&amp;C2086</f>
        <v>26.5232969;157.8548562;23.0256479565885</v>
      </c>
      <c r="M2086" s="6" t="n">
        <f aca="false">IF(COUNTIF($L$2:$L$2201,L2086)&gt;1,1,0)</f>
        <v>0</v>
      </c>
      <c r="N2086" s="6" t="str">
        <f aca="false">IF(AND(C2086&lt;Assumptions!$B$9,B2086&lt;Assumptions!$B$10),"Irrigate Now",IF(AND(C2086&gt;=Assumptions!$B$11,B2086&gt;=Assumptions!$B$12),"No Irrigation Needed","Monitor"))</f>
        <v>Monitor</v>
      </c>
      <c r="O2086" s="6" t="n">
        <f aca="false">IF(N2086=G2086,1,0)</f>
        <v>1</v>
      </c>
    </row>
    <row r="2087" customFormat="false" ht="15" hidden="false" customHeight="false" outlineLevel="0" collapsed="false">
      <c r="A2087" s="16" t="n">
        <v>23.81579631</v>
      </c>
      <c r="B2087" s="16" t="n">
        <v>190.312216</v>
      </c>
      <c r="C2087" s="16" t="n">
        <v>18.5578686250194</v>
      </c>
      <c r="D2087" s="6" t="s">
        <v>57</v>
      </c>
      <c r="E2087" s="6" t="s">
        <v>24</v>
      </c>
      <c r="F2087" s="6" t="s">
        <v>60</v>
      </c>
      <c r="G2087" s="6" t="s">
        <v>61</v>
      </c>
      <c r="H2087" s="6" t="s">
        <v>62</v>
      </c>
      <c r="I2087" s="6" t="str">
        <f aca="false">IF(A2087&lt;Outliers!$E$6,"Low",IF(A2087&gt;Outliers!$F$6,"High",""))</f>
        <v/>
      </c>
      <c r="J2087" s="6" t="str">
        <f aca="false">IF(B2087&lt;Outliers!$E$7,"Low",IF(B2087&gt;Outliers!$F$7,"High",""))</f>
        <v/>
      </c>
      <c r="K2087" s="6" t="str">
        <f aca="false">IF(C2087&lt;Outliers!$E$8,"Low",IF(C2087&gt;Outliers!$F$8,"High",""))</f>
        <v/>
      </c>
      <c r="L2087" s="6" t="str">
        <f aca="false">A2087&amp;";"&amp;B2087&amp;";"&amp;C2087</f>
        <v>23.81579631;190.312216;18.5578686250194</v>
      </c>
      <c r="M2087" s="6" t="n">
        <f aca="false">IF(COUNTIF($L$2:$L$2201,L2087)&gt;1,1,0)</f>
        <v>0</v>
      </c>
      <c r="N2087" s="6" t="str">
        <f aca="false">IF(AND(C2087&lt;Assumptions!$B$9,B2087&lt;Assumptions!$B$10),"Irrigate Now",IF(AND(C2087&gt;=Assumptions!$B$11,B2087&gt;=Assumptions!$B$12),"No Irrigation Needed","Monitor"))</f>
        <v>Monitor</v>
      </c>
      <c r="O2087" s="6" t="n">
        <f aca="false">IF(N2087=G2087,1,0)</f>
        <v>1</v>
      </c>
    </row>
    <row r="2088" customFormat="false" ht="15" hidden="false" customHeight="false" outlineLevel="0" collapsed="false">
      <c r="A2088" s="16" t="n">
        <v>26.50838667</v>
      </c>
      <c r="B2088" s="16" t="n">
        <v>152.9801697</v>
      </c>
      <c r="C2088" s="16" t="n">
        <v>28.0062024179608</v>
      </c>
      <c r="D2088" s="6" t="s">
        <v>57</v>
      </c>
      <c r="E2088" s="6" t="s">
        <v>24</v>
      </c>
      <c r="F2088" s="6" t="s">
        <v>23</v>
      </c>
      <c r="G2088" s="6" t="s">
        <v>58</v>
      </c>
      <c r="H2088" s="6" t="s">
        <v>59</v>
      </c>
      <c r="I2088" s="6" t="str">
        <f aca="false">IF(A2088&lt;Outliers!$E$6,"Low",IF(A2088&gt;Outliers!$F$6,"High",""))</f>
        <v/>
      </c>
      <c r="J2088" s="6" t="str">
        <f aca="false">IF(B2088&lt;Outliers!$E$7,"Low",IF(B2088&gt;Outliers!$F$7,"High",""))</f>
        <v/>
      </c>
      <c r="K2088" s="6" t="str">
        <f aca="false">IF(C2088&lt;Outliers!$E$8,"Low",IF(C2088&gt;Outliers!$F$8,"High",""))</f>
        <v/>
      </c>
      <c r="L2088" s="6" t="str">
        <f aca="false">A2088&amp;";"&amp;B2088&amp;";"&amp;C2088</f>
        <v>26.50838667;152.9801697;28.0062024179608</v>
      </c>
      <c r="M2088" s="6" t="n">
        <f aca="false">IF(COUNTIF($L$2:$L$2201,L2088)&gt;1,1,0)</f>
        <v>0</v>
      </c>
      <c r="N2088" s="6" t="str">
        <f aca="false">IF(AND(C2088&lt;Assumptions!$B$9,B2088&lt;Assumptions!$B$10),"Irrigate Now",IF(AND(C2088&gt;=Assumptions!$B$11,B2088&gt;=Assumptions!$B$12),"No Irrigation Needed","Monitor"))</f>
        <v>No Irrigation Needed</v>
      </c>
      <c r="O2088" s="6" t="n">
        <f aca="false">IF(N2088=G2088,1,0)</f>
        <v>1</v>
      </c>
    </row>
    <row r="2089" customFormat="false" ht="15" hidden="false" customHeight="false" outlineLevel="0" collapsed="false">
      <c r="A2089" s="16" t="n">
        <v>26.63952463</v>
      </c>
      <c r="B2089" s="16" t="n">
        <v>199.3355744</v>
      </c>
      <c r="C2089" s="16" t="n">
        <v>11.5619108468496</v>
      </c>
      <c r="D2089" s="6" t="s">
        <v>57</v>
      </c>
      <c r="E2089" s="6" t="s">
        <v>24</v>
      </c>
      <c r="F2089" s="6" t="s">
        <v>24</v>
      </c>
      <c r="G2089" s="6" t="s">
        <v>61</v>
      </c>
      <c r="H2089" s="6" t="s">
        <v>62</v>
      </c>
      <c r="I2089" s="6" t="str">
        <f aca="false">IF(A2089&lt;Outliers!$E$6,"Low",IF(A2089&gt;Outliers!$F$6,"High",""))</f>
        <v/>
      </c>
      <c r="J2089" s="6" t="str">
        <f aca="false">IF(B2089&lt;Outliers!$E$7,"Low",IF(B2089&gt;Outliers!$F$7,"High",""))</f>
        <v/>
      </c>
      <c r="K2089" s="6" t="str">
        <f aca="false">IF(C2089&lt;Outliers!$E$8,"Low",IF(C2089&gt;Outliers!$F$8,"High",""))</f>
        <v/>
      </c>
      <c r="L2089" s="6" t="str">
        <f aca="false">A2089&amp;";"&amp;B2089&amp;";"&amp;C2089</f>
        <v>26.63952463;199.3355744;11.5619108468496</v>
      </c>
      <c r="M2089" s="6" t="n">
        <f aca="false">IF(COUNTIF($L$2:$L$2201,L2089)&gt;1,1,0)</f>
        <v>0</v>
      </c>
      <c r="N2089" s="6" t="str">
        <f aca="false">IF(AND(C2089&lt;Assumptions!$B$9,B2089&lt;Assumptions!$B$10),"Irrigate Now",IF(AND(C2089&gt;=Assumptions!$B$11,B2089&gt;=Assumptions!$B$12),"No Irrigation Needed","Monitor"))</f>
        <v>Monitor</v>
      </c>
      <c r="O2089" s="6" t="n">
        <f aca="false">IF(N2089=G2089,1,0)</f>
        <v>1</v>
      </c>
    </row>
    <row r="2090" customFormat="false" ht="15" hidden="false" customHeight="false" outlineLevel="0" collapsed="false">
      <c r="A2090" s="16" t="n">
        <v>23.3250131</v>
      </c>
      <c r="B2090" s="16" t="n">
        <v>187.3096148</v>
      </c>
      <c r="C2090" s="16" t="n">
        <v>19.6740025040091</v>
      </c>
      <c r="D2090" s="6" t="s">
        <v>57</v>
      </c>
      <c r="E2090" s="6" t="s">
        <v>24</v>
      </c>
      <c r="F2090" s="6" t="s">
        <v>23</v>
      </c>
      <c r="G2090" s="6" t="s">
        <v>61</v>
      </c>
      <c r="H2090" s="6" t="s">
        <v>62</v>
      </c>
      <c r="I2090" s="6" t="str">
        <f aca="false">IF(A2090&lt;Outliers!$E$6,"Low",IF(A2090&gt;Outliers!$F$6,"High",""))</f>
        <v/>
      </c>
      <c r="J2090" s="6" t="str">
        <f aca="false">IF(B2090&lt;Outliers!$E$7,"Low",IF(B2090&gt;Outliers!$F$7,"High",""))</f>
        <v/>
      </c>
      <c r="K2090" s="6" t="str">
        <f aca="false">IF(C2090&lt;Outliers!$E$8,"Low",IF(C2090&gt;Outliers!$F$8,"High",""))</f>
        <v/>
      </c>
      <c r="L2090" s="6" t="str">
        <f aca="false">A2090&amp;";"&amp;B2090&amp;";"&amp;C2090</f>
        <v>23.3250131;187.3096148;19.6740025040091</v>
      </c>
      <c r="M2090" s="6" t="n">
        <f aca="false">IF(COUNTIF($L$2:$L$2201,L2090)&gt;1,1,0)</f>
        <v>0</v>
      </c>
      <c r="N2090" s="6" t="str">
        <f aca="false">IF(AND(C2090&lt;Assumptions!$B$9,B2090&lt;Assumptions!$B$10),"Irrigate Now",IF(AND(C2090&gt;=Assumptions!$B$11,B2090&gt;=Assumptions!$B$12),"No Irrigation Needed","Monitor"))</f>
        <v>Monitor</v>
      </c>
      <c r="O2090" s="6" t="n">
        <f aca="false">IF(N2090=G2090,1,0)</f>
        <v>1</v>
      </c>
    </row>
    <row r="2091" customFormat="false" ht="15" hidden="false" customHeight="false" outlineLevel="0" collapsed="false">
      <c r="A2091" s="16" t="n">
        <v>26.47549543</v>
      </c>
      <c r="B2091" s="16" t="n">
        <v>180.2513601</v>
      </c>
      <c r="C2091" s="16" t="n">
        <v>12.5173580281299</v>
      </c>
      <c r="D2091" s="6" t="s">
        <v>57</v>
      </c>
      <c r="E2091" s="6" t="s">
        <v>24</v>
      </c>
      <c r="F2091" s="6" t="s">
        <v>24</v>
      </c>
      <c r="G2091" s="6" t="s">
        <v>61</v>
      </c>
      <c r="H2091" s="6" t="s">
        <v>62</v>
      </c>
      <c r="I2091" s="6" t="str">
        <f aca="false">IF(A2091&lt;Outliers!$E$6,"Low",IF(A2091&gt;Outliers!$F$6,"High",""))</f>
        <v/>
      </c>
      <c r="J2091" s="6" t="str">
        <f aca="false">IF(B2091&lt;Outliers!$E$7,"Low",IF(B2091&gt;Outliers!$F$7,"High",""))</f>
        <v/>
      </c>
      <c r="K2091" s="6" t="str">
        <f aca="false">IF(C2091&lt;Outliers!$E$8,"Low",IF(C2091&gt;Outliers!$F$8,"High",""))</f>
        <v/>
      </c>
      <c r="L2091" s="6" t="str">
        <f aca="false">A2091&amp;";"&amp;B2091&amp;";"&amp;C2091</f>
        <v>26.47549543;180.2513601;12.5173580281299</v>
      </c>
      <c r="M2091" s="6" t="n">
        <f aca="false">IF(COUNTIF($L$2:$L$2201,L2091)&gt;1,1,0)</f>
        <v>0</v>
      </c>
      <c r="N2091" s="6" t="str">
        <f aca="false">IF(AND(C2091&lt;Assumptions!$B$9,B2091&lt;Assumptions!$B$10),"Irrigate Now",IF(AND(C2091&gt;=Assumptions!$B$11,B2091&gt;=Assumptions!$B$12),"No Irrigation Needed","Monitor"))</f>
        <v>Monitor</v>
      </c>
      <c r="O2091" s="6" t="n">
        <f aca="false">IF(N2091=G2091,1,0)</f>
        <v>1</v>
      </c>
    </row>
    <row r="2092" customFormat="false" ht="15" hidden="false" customHeight="false" outlineLevel="0" collapsed="false">
      <c r="A2092" s="16" t="n">
        <v>23.78756036</v>
      </c>
      <c r="B2092" s="16" t="n">
        <v>172.6442654</v>
      </c>
      <c r="C2092" s="16" t="n">
        <v>21.5002212703505</v>
      </c>
      <c r="D2092" s="6" t="s">
        <v>57</v>
      </c>
      <c r="E2092" s="6" t="s">
        <v>24</v>
      </c>
      <c r="F2092" s="6" t="s">
        <v>23</v>
      </c>
      <c r="G2092" s="6" t="s">
        <v>61</v>
      </c>
      <c r="H2092" s="6" t="s">
        <v>62</v>
      </c>
      <c r="I2092" s="6" t="str">
        <f aca="false">IF(A2092&lt;Outliers!$E$6,"Low",IF(A2092&gt;Outliers!$F$6,"High",""))</f>
        <v/>
      </c>
      <c r="J2092" s="6" t="str">
        <f aca="false">IF(B2092&lt;Outliers!$E$7,"Low",IF(B2092&gt;Outliers!$F$7,"High",""))</f>
        <v/>
      </c>
      <c r="K2092" s="6" t="str">
        <f aca="false">IF(C2092&lt;Outliers!$E$8,"Low",IF(C2092&gt;Outliers!$F$8,"High",""))</f>
        <v/>
      </c>
      <c r="L2092" s="6" t="str">
        <f aca="false">A2092&amp;";"&amp;B2092&amp;";"&amp;C2092</f>
        <v>23.78756036;172.6442654;21.5002212703505</v>
      </c>
      <c r="M2092" s="6" t="n">
        <f aca="false">IF(COUNTIF($L$2:$L$2201,L2092)&gt;1,1,0)</f>
        <v>0</v>
      </c>
      <c r="N2092" s="6" t="str">
        <f aca="false">IF(AND(C2092&lt;Assumptions!$B$9,B2092&lt;Assumptions!$B$10),"Irrigate Now",IF(AND(C2092&gt;=Assumptions!$B$11,B2092&gt;=Assumptions!$B$12),"No Irrigation Needed","Monitor"))</f>
        <v>Monitor</v>
      </c>
      <c r="O2092" s="6" t="n">
        <f aca="false">IF(N2092=G2092,1,0)</f>
        <v>1</v>
      </c>
    </row>
    <row r="2093" customFormat="false" ht="15" hidden="false" customHeight="false" outlineLevel="0" collapsed="false">
      <c r="A2093" s="16" t="n">
        <v>25.49941707</v>
      </c>
      <c r="B2093" s="16" t="n">
        <v>193.7141828</v>
      </c>
      <c r="C2093" s="16" t="n">
        <v>11.0885207937891</v>
      </c>
      <c r="D2093" s="6" t="s">
        <v>57</v>
      </c>
      <c r="E2093" s="6" t="s">
        <v>24</v>
      </c>
      <c r="F2093" s="6" t="s">
        <v>24</v>
      </c>
      <c r="G2093" s="6" t="s">
        <v>61</v>
      </c>
      <c r="H2093" s="6" t="s">
        <v>62</v>
      </c>
      <c r="I2093" s="6" t="str">
        <f aca="false">IF(A2093&lt;Outliers!$E$6,"Low",IF(A2093&gt;Outliers!$F$6,"High",""))</f>
        <v/>
      </c>
      <c r="J2093" s="6" t="str">
        <f aca="false">IF(B2093&lt;Outliers!$E$7,"Low",IF(B2093&gt;Outliers!$F$7,"High",""))</f>
        <v/>
      </c>
      <c r="K2093" s="6" t="str">
        <f aca="false">IF(C2093&lt;Outliers!$E$8,"Low",IF(C2093&gt;Outliers!$F$8,"High",""))</f>
        <v/>
      </c>
      <c r="L2093" s="6" t="str">
        <f aca="false">A2093&amp;";"&amp;B2093&amp;";"&amp;C2093</f>
        <v>25.49941707;193.7141828;11.0885207937891</v>
      </c>
      <c r="M2093" s="6" t="n">
        <f aca="false">IF(COUNTIF($L$2:$L$2201,L2093)&gt;1,1,0)</f>
        <v>0</v>
      </c>
      <c r="N2093" s="6" t="str">
        <f aca="false">IF(AND(C2093&lt;Assumptions!$B$9,B2093&lt;Assumptions!$B$10),"Irrigate Now",IF(AND(C2093&gt;=Assumptions!$B$11,B2093&gt;=Assumptions!$B$12),"No Irrigation Needed","Monitor"))</f>
        <v>Monitor</v>
      </c>
      <c r="O2093" s="6" t="n">
        <f aca="false">IF(N2093=G2093,1,0)</f>
        <v>1</v>
      </c>
    </row>
    <row r="2094" customFormat="false" ht="15" hidden="false" customHeight="false" outlineLevel="0" collapsed="false">
      <c r="A2094" s="16" t="n">
        <v>23.24925555</v>
      </c>
      <c r="B2094" s="16" t="n">
        <v>184.7674863</v>
      </c>
      <c r="C2094" s="16" t="n">
        <v>11.4443782331296</v>
      </c>
      <c r="D2094" s="6" t="s">
        <v>57</v>
      </c>
      <c r="E2094" s="6" t="s">
        <v>24</v>
      </c>
      <c r="F2094" s="6" t="s">
        <v>24</v>
      </c>
      <c r="G2094" s="6" t="s">
        <v>61</v>
      </c>
      <c r="H2094" s="6" t="s">
        <v>62</v>
      </c>
      <c r="I2094" s="6" t="str">
        <f aca="false">IF(A2094&lt;Outliers!$E$6,"Low",IF(A2094&gt;Outliers!$F$6,"High",""))</f>
        <v/>
      </c>
      <c r="J2094" s="6" t="str">
        <f aca="false">IF(B2094&lt;Outliers!$E$7,"Low",IF(B2094&gt;Outliers!$F$7,"High",""))</f>
        <v/>
      </c>
      <c r="K2094" s="6" t="str">
        <f aca="false">IF(C2094&lt;Outliers!$E$8,"Low",IF(C2094&gt;Outliers!$F$8,"High",""))</f>
        <v/>
      </c>
      <c r="L2094" s="6" t="str">
        <f aca="false">A2094&amp;";"&amp;B2094&amp;";"&amp;C2094</f>
        <v>23.24925555;184.7674863;11.4443782331296</v>
      </c>
      <c r="M2094" s="6" t="n">
        <f aca="false">IF(COUNTIF($L$2:$L$2201,L2094)&gt;1,1,0)</f>
        <v>0</v>
      </c>
      <c r="N2094" s="6" t="str">
        <f aca="false">IF(AND(C2094&lt;Assumptions!$B$9,B2094&lt;Assumptions!$B$10),"Irrigate Now",IF(AND(C2094&gt;=Assumptions!$B$11,B2094&gt;=Assumptions!$B$12),"No Irrigation Needed","Monitor"))</f>
        <v>Monitor</v>
      </c>
      <c r="O2094" s="6" t="n">
        <f aca="false">IF(N2094=G2094,1,0)</f>
        <v>1</v>
      </c>
    </row>
    <row r="2095" customFormat="false" ht="15" hidden="false" customHeight="false" outlineLevel="0" collapsed="false">
      <c r="A2095" s="16" t="n">
        <v>26.98582182</v>
      </c>
      <c r="B2095" s="16" t="n">
        <v>193.8778713</v>
      </c>
      <c r="C2095" s="16" t="n">
        <v>23.9387337752564</v>
      </c>
      <c r="D2095" s="6" t="s">
        <v>57</v>
      </c>
      <c r="E2095" s="6" t="s">
        <v>24</v>
      </c>
      <c r="F2095" s="6" t="s">
        <v>23</v>
      </c>
      <c r="G2095" s="6" t="s">
        <v>61</v>
      </c>
      <c r="H2095" s="6" t="s">
        <v>62</v>
      </c>
      <c r="I2095" s="6" t="str">
        <f aca="false">IF(A2095&lt;Outliers!$E$6,"Low",IF(A2095&gt;Outliers!$F$6,"High",""))</f>
        <v/>
      </c>
      <c r="J2095" s="6" t="str">
        <f aca="false">IF(B2095&lt;Outliers!$E$7,"Low",IF(B2095&gt;Outliers!$F$7,"High",""))</f>
        <v/>
      </c>
      <c r="K2095" s="6" t="str">
        <f aca="false">IF(C2095&lt;Outliers!$E$8,"Low",IF(C2095&gt;Outliers!$F$8,"High",""))</f>
        <v/>
      </c>
      <c r="L2095" s="6" t="str">
        <f aca="false">A2095&amp;";"&amp;B2095&amp;";"&amp;C2095</f>
        <v>26.98582182;193.8778713;23.9387337752564</v>
      </c>
      <c r="M2095" s="6" t="n">
        <f aca="false">IF(COUNTIF($L$2:$L$2201,L2095)&gt;1,1,0)</f>
        <v>0</v>
      </c>
      <c r="N2095" s="6" t="str">
        <f aca="false">IF(AND(C2095&lt;Assumptions!$B$9,B2095&lt;Assumptions!$B$10),"Irrigate Now",IF(AND(C2095&gt;=Assumptions!$B$11,B2095&gt;=Assumptions!$B$12),"No Irrigation Needed","Monitor"))</f>
        <v>Monitor</v>
      </c>
      <c r="O2095" s="6" t="n">
        <f aca="false">IF(N2095=G2095,1,0)</f>
        <v>1</v>
      </c>
    </row>
    <row r="2096" customFormat="false" ht="15" hidden="false" customHeight="false" outlineLevel="0" collapsed="false">
      <c r="A2096" s="16" t="n">
        <v>23.61475336</v>
      </c>
      <c r="B2096" s="16" t="n">
        <v>150.2355238</v>
      </c>
      <c r="C2096" s="16" t="n">
        <v>11.7200438701409</v>
      </c>
      <c r="D2096" s="6" t="s">
        <v>57</v>
      </c>
      <c r="E2096" s="6" t="s">
        <v>24</v>
      </c>
      <c r="F2096" s="6" t="s">
        <v>24</v>
      </c>
      <c r="G2096" s="6" t="s">
        <v>61</v>
      </c>
      <c r="H2096" s="6" t="s">
        <v>62</v>
      </c>
      <c r="I2096" s="6" t="str">
        <f aca="false">IF(A2096&lt;Outliers!$E$6,"Low",IF(A2096&gt;Outliers!$F$6,"High",""))</f>
        <v/>
      </c>
      <c r="J2096" s="6" t="str">
        <f aca="false">IF(B2096&lt;Outliers!$E$7,"Low",IF(B2096&gt;Outliers!$F$7,"High",""))</f>
        <v/>
      </c>
      <c r="K2096" s="6" t="str">
        <f aca="false">IF(C2096&lt;Outliers!$E$8,"Low",IF(C2096&gt;Outliers!$F$8,"High",""))</f>
        <v/>
      </c>
      <c r="L2096" s="6" t="str">
        <f aca="false">A2096&amp;";"&amp;B2096&amp;";"&amp;C2096</f>
        <v>23.61475336;150.2355238;11.7200438701409</v>
      </c>
      <c r="M2096" s="6" t="n">
        <f aca="false">IF(COUNTIF($L$2:$L$2201,L2096)&gt;1,1,0)</f>
        <v>0</v>
      </c>
      <c r="N2096" s="6" t="str">
        <f aca="false">IF(AND(C2096&lt;Assumptions!$B$9,B2096&lt;Assumptions!$B$10),"Irrigate Now",IF(AND(C2096&gt;=Assumptions!$B$11,B2096&gt;=Assumptions!$B$12),"No Irrigation Needed","Monitor"))</f>
        <v>Monitor</v>
      </c>
      <c r="O2096" s="6" t="n">
        <f aca="false">IF(N2096=G2096,1,0)</f>
        <v>1</v>
      </c>
    </row>
    <row r="2097" customFormat="false" ht="15" hidden="false" customHeight="false" outlineLevel="0" collapsed="false">
      <c r="A2097" s="16" t="n">
        <v>23.87484465</v>
      </c>
      <c r="B2097" s="16" t="n">
        <v>177.5147313</v>
      </c>
      <c r="C2097" s="16" t="n">
        <v>12.3089475272303</v>
      </c>
      <c r="D2097" s="6" t="s">
        <v>57</v>
      </c>
      <c r="E2097" s="6" t="s">
        <v>24</v>
      </c>
      <c r="F2097" s="6" t="s">
        <v>24</v>
      </c>
      <c r="G2097" s="6" t="s">
        <v>61</v>
      </c>
      <c r="H2097" s="6" t="s">
        <v>62</v>
      </c>
      <c r="I2097" s="6" t="str">
        <f aca="false">IF(A2097&lt;Outliers!$E$6,"Low",IF(A2097&gt;Outliers!$F$6,"High",""))</f>
        <v/>
      </c>
      <c r="J2097" s="6" t="str">
        <f aca="false">IF(B2097&lt;Outliers!$E$7,"Low",IF(B2097&gt;Outliers!$F$7,"High",""))</f>
        <v/>
      </c>
      <c r="K2097" s="6" t="str">
        <f aca="false">IF(C2097&lt;Outliers!$E$8,"Low",IF(C2097&gt;Outliers!$F$8,"High",""))</f>
        <v/>
      </c>
      <c r="L2097" s="6" t="str">
        <f aca="false">A2097&amp;";"&amp;B2097&amp;";"&amp;C2097</f>
        <v>23.87484465;177.5147313;12.3089475272303</v>
      </c>
      <c r="M2097" s="6" t="n">
        <f aca="false">IF(COUNTIF($L$2:$L$2201,L2097)&gt;1,1,0)</f>
        <v>0</v>
      </c>
      <c r="N2097" s="6" t="str">
        <f aca="false">IF(AND(C2097&lt;Assumptions!$B$9,B2097&lt;Assumptions!$B$10),"Irrigate Now",IF(AND(C2097&gt;=Assumptions!$B$11,B2097&gt;=Assumptions!$B$12),"No Irrigation Needed","Monitor"))</f>
        <v>Monitor</v>
      </c>
      <c r="O2097" s="6" t="n">
        <f aca="false">IF(N2097=G2097,1,0)</f>
        <v>1</v>
      </c>
    </row>
    <row r="2098" customFormat="false" ht="15" hidden="false" customHeight="false" outlineLevel="0" collapsed="false">
      <c r="A2098" s="16" t="n">
        <v>23.92887902</v>
      </c>
      <c r="B2098" s="16" t="n">
        <v>154.6608736</v>
      </c>
      <c r="C2098" s="16" t="n">
        <v>16.9385839851873</v>
      </c>
      <c r="D2098" s="6" t="s">
        <v>57</v>
      </c>
      <c r="E2098" s="6" t="s">
        <v>24</v>
      </c>
      <c r="F2098" s="6" t="s">
        <v>60</v>
      </c>
      <c r="G2098" s="6" t="s">
        <v>61</v>
      </c>
      <c r="H2098" s="6" t="s">
        <v>62</v>
      </c>
      <c r="I2098" s="6" t="str">
        <f aca="false">IF(A2098&lt;Outliers!$E$6,"Low",IF(A2098&gt;Outliers!$F$6,"High",""))</f>
        <v/>
      </c>
      <c r="J2098" s="6" t="str">
        <f aca="false">IF(B2098&lt;Outliers!$E$7,"Low",IF(B2098&gt;Outliers!$F$7,"High",""))</f>
        <v/>
      </c>
      <c r="K2098" s="6" t="str">
        <f aca="false">IF(C2098&lt;Outliers!$E$8,"Low",IF(C2098&gt;Outliers!$F$8,"High",""))</f>
        <v/>
      </c>
      <c r="L2098" s="6" t="str">
        <f aca="false">A2098&amp;";"&amp;B2098&amp;";"&amp;C2098</f>
        <v>23.92887902;154.6608736;16.9385839851873</v>
      </c>
      <c r="M2098" s="6" t="n">
        <f aca="false">IF(COUNTIF($L$2:$L$2201,L2098)&gt;1,1,0)</f>
        <v>0</v>
      </c>
      <c r="N2098" s="6" t="str">
        <f aca="false">IF(AND(C2098&lt;Assumptions!$B$9,B2098&lt;Assumptions!$B$10),"Irrigate Now",IF(AND(C2098&gt;=Assumptions!$B$11,B2098&gt;=Assumptions!$B$12),"No Irrigation Needed","Monitor"))</f>
        <v>Monitor</v>
      </c>
      <c r="O2098" s="6" t="n">
        <f aca="false">IF(N2098=G2098,1,0)</f>
        <v>1</v>
      </c>
    </row>
    <row r="2099" customFormat="false" ht="15" hidden="false" customHeight="false" outlineLevel="0" collapsed="false">
      <c r="A2099" s="16" t="n">
        <v>24.81441246</v>
      </c>
      <c r="B2099" s="16" t="n">
        <v>190.7886386</v>
      </c>
      <c r="C2099" s="16" t="n">
        <v>15.927120810495</v>
      </c>
      <c r="D2099" s="6" t="s">
        <v>57</v>
      </c>
      <c r="E2099" s="6" t="s">
        <v>24</v>
      </c>
      <c r="F2099" s="6" t="s">
        <v>60</v>
      </c>
      <c r="G2099" s="6" t="s">
        <v>61</v>
      </c>
      <c r="H2099" s="6" t="s">
        <v>62</v>
      </c>
      <c r="I2099" s="6" t="str">
        <f aca="false">IF(A2099&lt;Outliers!$E$6,"Low",IF(A2099&gt;Outliers!$F$6,"High",""))</f>
        <v/>
      </c>
      <c r="J2099" s="6" t="str">
        <f aca="false">IF(B2099&lt;Outliers!$E$7,"Low",IF(B2099&gt;Outliers!$F$7,"High",""))</f>
        <v/>
      </c>
      <c r="K2099" s="6" t="str">
        <f aca="false">IF(C2099&lt;Outliers!$E$8,"Low",IF(C2099&gt;Outliers!$F$8,"High",""))</f>
        <v/>
      </c>
      <c r="L2099" s="6" t="str">
        <f aca="false">A2099&amp;";"&amp;B2099&amp;";"&amp;C2099</f>
        <v>24.81441246;190.7886386;15.927120810495</v>
      </c>
      <c r="M2099" s="6" t="n">
        <f aca="false">IF(COUNTIF($L$2:$L$2201,L2099)&gt;1,1,0)</f>
        <v>0</v>
      </c>
      <c r="N2099" s="6" t="str">
        <f aca="false">IF(AND(C2099&lt;Assumptions!$B$9,B2099&lt;Assumptions!$B$10),"Irrigate Now",IF(AND(C2099&gt;=Assumptions!$B$11,B2099&gt;=Assumptions!$B$12),"No Irrigation Needed","Monitor"))</f>
        <v>Monitor</v>
      </c>
      <c r="O2099" s="6" t="n">
        <f aca="false">IF(N2099=G2099,1,0)</f>
        <v>1</v>
      </c>
    </row>
    <row r="2100" customFormat="false" ht="15" hidden="false" customHeight="false" outlineLevel="0" collapsed="false">
      <c r="A2100" s="16" t="n">
        <v>24.44743944</v>
      </c>
      <c r="B2100" s="16" t="n">
        <v>190.9684885</v>
      </c>
      <c r="C2100" s="16" t="n">
        <v>21.2137920559591</v>
      </c>
      <c r="D2100" s="6" t="s">
        <v>57</v>
      </c>
      <c r="E2100" s="6" t="s">
        <v>24</v>
      </c>
      <c r="F2100" s="6" t="s">
        <v>23</v>
      </c>
      <c r="G2100" s="6" t="s">
        <v>61</v>
      </c>
      <c r="H2100" s="6" t="s">
        <v>62</v>
      </c>
      <c r="I2100" s="6" t="str">
        <f aca="false">IF(A2100&lt;Outliers!$E$6,"Low",IF(A2100&gt;Outliers!$F$6,"High",""))</f>
        <v/>
      </c>
      <c r="J2100" s="6" t="str">
        <f aca="false">IF(B2100&lt;Outliers!$E$7,"Low",IF(B2100&gt;Outliers!$F$7,"High",""))</f>
        <v/>
      </c>
      <c r="K2100" s="6" t="str">
        <f aca="false">IF(C2100&lt;Outliers!$E$8,"Low",IF(C2100&gt;Outliers!$F$8,"High",""))</f>
        <v/>
      </c>
      <c r="L2100" s="6" t="str">
        <f aca="false">A2100&amp;";"&amp;B2100&amp;";"&amp;C2100</f>
        <v>24.44743944;190.9684885;21.2137920559591</v>
      </c>
      <c r="M2100" s="6" t="n">
        <f aca="false">IF(COUNTIF($L$2:$L$2201,L2100)&gt;1,1,0)</f>
        <v>0</v>
      </c>
      <c r="N2100" s="6" t="str">
        <f aca="false">IF(AND(C2100&lt;Assumptions!$B$9,B2100&lt;Assumptions!$B$10),"Irrigate Now",IF(AND(C2100&gt;=Assumptions!$B$11,B2100&gt;=Assumptions!$B$12),"No Irrigation Needed","Monitor"))</f>
        <v>Monitor</v>
      </c>
      <c r="O2100" s="6" t="n">
        <f aca="false">IF(N2100=G2100,1,0)</f>
        <v>1</v>
      </c>
    </row>
    <row r="2101" customFormat="false" ht="15" hidden="false" customHeight="false" outlineLevel="0" collapsed="false">
      <c r="A2101" s="16" t="n">
        <v>26.57421679</v>
      </c>
      <c r="B2101" s="16" t="n">
        <v>159.3223075</v>
      </c>
      <c r="C2101" s="16" t="n">
        <v>10.634014274492</v>
      </c>
      <c r="D2101" s="6" t="s">
        <v>57</v>
      </c>
      <c r="E2101" s="6" t="s">
        <v>24</v>
      </c>
      <c r="F2101" s="6" t="s">
        <v>24</v>
      </c>
      <c r="G2101" s="6" t="s">
        <v>61</v>
      </c>
      <c r="H2101" s="6" t="s">
        <v>62</v>
      </c>
      <c r="I2101" s="6" t="str">
        <f aca="false">IF(A2101&lt;Outliers!$E$6,"Low",IF(A2101&gt;Outliers!$F$6,"High",""))</f>
        <v/>
      </c>
      <c r="J2101" s="6" t="str">
        <f aca="false">IF(B2101&lt;Outliers!$E$7,"Low",IF(B2101&gt;Outliers!$F$7,"High",""))</f>
        <v/>
      </c>
      <c r="K2101" s="6" t="str">
        <f aca="false">IF(C2101&lt;Outliers!$E$8,"Low",IF(C2101&gt;Outliers!$F$8,"High",""))</f>
        <v/>
      </c>
      <c r="L2101" s="6" t="str">
        <f aca="false">A2101&amp;";"&amp;B2101&amp;";"&amp;C2101</f>
        <v>26.57421679;159.3223075;10.634014274492</v>
      </c>
      <c r="M2101" s="6" t="n">
        <f aca="false">IF(COUNTIF($L$2:$L$2201,L2101)&gt;1,1,0)</f>
        <v>0</v>
      </c>
      <c r="N2101" s="6" t="str">
        <f aca="false">IF(AND(C2101&lt;Assumptions!$B$9,B2101&lt;Assumptions!$B$10),"Irrigate Now",IF(AND(C2101&gt;=Assumptions!$B$11,B2101&gt;=Assumptions!$B$12),"No Irrigation Needed","Monitor"))</f>
        <v>Monitor</v>
      </c>
      <c r="O2101" s="6" t="n">
        <f aca="false">IF(N2101=G2101,1,0)</f>
        <v>1</v>
      </c>
    </row>
    <row r="2102" customFormat="false" ht="15" hidden="false" customHeight="false" outlineLevel="0" collapsed="false">
      <c r="A2102" s="16" t="n">
        <v>26.33377983</v>
      </c>
      <c r="B2102" s="16" t="n">
        <v>191.6549412</v>
      </c>
      <c r="C2102" s="16" t="n">
        <v>16.9165888972005</v>
      </c>
      <c r="D2102" s="6" t="s">
        <v>57</v>
      </c>
      <c r="E2102" s="6" t="s">
        <v>24</v>
      </c>
      <c r="F2102" s="6" t="s">
        <v>60</v>
      </c>
      <c r="G2102" s="6" t="s">
        <v>61</v>
      </c>
      <c r="H2102" s="6" t="s">
        <v>62</v>
      </c>
      <c r="I2102" s="6" t="str">
        <f aca="false">IF(A2102&lt;Outliers!$E$6,"Low",IF(A2102&gt;Outliers!$F$6,"High",""))</f>
        <v/>
      </c>
      <c r="J2102" s="6" t="str">
        <f aca="false">IF(B2102&lt;Outliers!$E$7,"Low",IF(B2102&gt;Outliers!$F$7,"High",""))</f>
        <v/>
      </c>
      <c r="K2102" s="6" t="str">
        <f aca="false">IF(C2102&lt;Outliers!$E$8,"Low",IF(C2102&gt;Outliers!$F$8,"High",""))</f>
        <v/>
      </c>
      <c r="L2102" s="6" t="str">
        <f aca="false">A2102&amp;";"&amp;B2102&amp;";"&amp;C2102</f>
        <v>26.33377983;191.6549412;16.9165888972005</v>
      </c>
      <c r="M2102" s="6" t="n">
        <f aca="false">IF(COUNTIF($L$2:$L$2201,L2102)&gt;1,1,0)</f>
        <v>0</v>
      </c>
      <c r="N2102" s="6" t="str">
        <f aca="false">IF(AND(C2102&lt;Assumptions!$B$9,B2102&lt;Assumptions!$B$10),"Irrigate Now",IF(AND(C2102&gt;=Assumptions!$B$11,B2102&gt;=Assumptions!$B$12),"No Irrigation Needed","Monitor"))</f>
        <v>Monitor</v>
      </c>
      <c r="O2102" s="6" t="n">
        <f aca="false">IF(N2102=G2102,1,0)</f>
        <v>1</v>
      </c>
    </row>
    <row r="2103" customFormat="false" ht="15" hidden="false" customHeight="false" outlineLevel="0" collapsed="false">
      <c r="A2103" s="16" t="n">
        <v>26.45288458</v>
      </c>
      <c r="B2103" s="16" t="n">
        <v>144.6861336</v>
      </c>
      <c r="C2103" s="16" t="n">
        <v>20.0009077118801</v>
      </c>
      <c r="D2103" s="6" t="s">
        <v>57</v>
      </c>
      <c r="E2103" s="6" t="s">
        <v>57</v>
      </c>
      <c r="F2103" s="6" t="s">
        <v>60</v>
      </c>
      <c r="G2103" s="6" t="s">
        <v>61</v>
      </c>
      <c r="H2103" s="6" t="s">
        <v>63</v>
      </c>
      <c r="I2103" s="6" t="str">
        <f aca="false">IF(A2103&lt;Outliers!$E$6,"Low",IF(A2103&gt;Outliers!$F$6,"High",""))</f>
        <v/>
      </c>
      <c r="J2103" s="6" t="str">
        <f aca="false">IF(B2103&lt;Outliers!$E$7,"Low",IF(B2103&gt;Outliers!$F$7,"High",""))</f>
        <v/>
      </c>
      <c r="K2103" s="6" t="str">
        <f aca="false">IF(C2103&lt;Outliers!$E$8,"Low",IF(C2103&gt;Outliers!$F$8,"High",""))</f>
        <v/>
      </c>
      <c r="L2103" s="6" t="str">
        <f aca="false">A2103&amp;";"&amp;B2103&amp;";"&amp;C2103</f>
        <v>26.45288458;144.6861336;20.0009077118801</v>
      </c>
      <c r="M2103" s="6" t="n">
        <f aca="false">IF(COUNTIF($L$2:$L$2201,L2103)&gt;1,1,0)</f>
        <v>0</v>
      </c>
      <c r="N2103" s="6" t="str">
        <f aca="false">IF(AND(C2103&lt;Assumptions!$B$9,B2103&lt;Assumptions!$B$10),"Irrigate Now",IF(AND(C2103&gt;=Assumptions!$B$11,B2103&gt;=Assumptions!$B$12),"No Irrigation Needed","Monitor"))</f>
        <v>Monitor</v>
      </c>
      <c r="O2103" s="6" t="n">
        <f aca="false">IF(N2103=G2103,1,0)</f>
        <v>1</v>
      </c>
    </row>
    <row r="2104" customFormat="false" ht="15" hidden="false" customHeight="false" outlineLevel="0" collapsed="false">
      <c r="A2104" s="16" t="n">
        <v>25.70822684</v>
      </c>
      <c r="B2104" s="16" t="n">
        <v>136.7325092</v>
      </c>
      <c r="C2104" s="16" t="n">
        <v>11.5788412580023</v>
      </c>
      <c r="D2104" s="6" t="s">
        <v>57</v>
      </c>
      <c r="E2104" s="6" t="s">
        <v>57</v>
      </c>
      <c r="F2104" s="6" t="s">
        <v>24</v>
      </c>
      <c r="G2104" s="6" t="s">
        <v>61</v>
      </c>
      <c r="H2104" s="6" t="s">
        <v>63</v>
      </c>
      <c r="I2104" s="6" t="str">
        <f aca="false">IF(A2104&lt;Outliers!$E$6,"Low",IF(A2104&gt;Outliers!$F$6,"High",""))</f>
        <v/>
      </c>
      <c r="J2104" s="6" t="str">
        <f aca="false">IF(B2104&lt;Outliers!$E$7,"Low",IF(B2104&gt;Outliers!$F$7,"High",""))</f>
        <v/>
      </c>
      <c r="K2104" s="6" t="str">
        <f aca="false">IF(C2104&lt;Outliers!$E$8,"Low",IF(C2104&gt;Outliers!$F$8,"High",""))</f>
        <v/>
      </c>
      <c r="L2104" s="6" t="str">
        <f aca="false">A2104&amp;";"&amp;B2104&amp;";"&amp;C2104</f>
        <v>25.70822684;136.7325092;11.5788412580023</v>
      </c>
      <c r="M2104" s="6" t="n">
        <f aca="false">IF(COUNTIF($L$2:$L$2201,L2104)&gt;1,1,0)</f>
        <v>0</v>
      </c>
      <c r="N2104" s="6" t="str">
        <f aca="false">IF(AND(C2104&lt;Assumptions!$B$9,B2104&lt;Assumptions!$B$10),"Irrigate Now",IF(AND(C2104&gt;=Assumptions!$B$11,B2104&gt;=Assumptions!$B$12),"No Irrigation Needed","Monitor"))</f>
        <v>Monitor</v>
      </c>
      <c r="O2104" s="6" t="n">
        <f aca="false">IF(N2104=G2104,1,0)</f>
        <v>1</v>
      </c>
    </row>
    <row r="2105" customFormat="false" ht="15" hidden="false" customHeight="false" outlineLevel="0" collapsed="false">
      <c r="A2105" s="16" t="n">
        <v>24.12832546</v>
      </c>
      <c r="B2105" s="16" t="n">
        <v>147.2757818</v>
      </c>
      <c r="C2105" s="16" t="n">
        <v>13.4335452487942</v>
      </c>
      <c r="D2105" s="6" t="s">
        <v>57</v>
      </c>
      <c r="E2105" s="6" t="s">
        <v>57</v>
      </c>
      <c r="F2105" s="6" t="s">
        <v>24</v>
      </c>
      <c r="G2105" s="6" t="s">
        <v>61</v>
      </c>
      <c r="H2105" s="6" t="s">
        <v>63</v>
      </c>
      <c r="I2105" s="6" t="str">
        <f aca="false">IF(A2105&lt;Outliers!$E$6,"Low",IF(A2105&gt;Outliers!$F$6,"High",""))</f>
        <v/>
      </c>
      <c r="J2105" s="6" t="str">
        <f aca="false">IF(B2105&lt;Outliers!$E$7,"Low",IF(B2105&gt;Outliers!$F$7,"High",""))</f>
        <v/>
      </c>
      <c r="K2105" s="6" t="str">
        <f aca="false">IF(C2105&lt;Outliers!$E$8,"Low",IF(C2105&gt;Outliers!$F$8,"High",""))</f>
        <v/>
      </c>
      <c r="L2105" s="6" t="str">
        <f aca="false">A2105&amp;";"&amp;B2105&amp;";"&amp;C2105</f>
        <v>24.12832546;147.2757818;13.4335452487942</v>
      </c>
      <c r="M2105" s="6" t="n">
        <f aca="false">IF(COUNTIF($L$2:$L$2201,L2105)&gt;1,1,0)</f>
        <v>0</v>
      </c>
      <c r="N2105" s="6" t="str">
        <f aca="false">IF(AND(C2105&lt;Assumptions!$B$9,B2105&lt;Assumptions!$B$10),"Irrigate Now",IF(AND(C2105&gt;=Assumptions!$B$11,B2105&gt;=Assumptions!$B$12),"No Irrigation Needed","Monitor"))</f>
        <v>Monitor</v>
      </c>
      <c r="O2105" s="6" t="n">
        <f aca="false">IF(N2105=G2105,1,0)</f>
        <v>1</v>
      </c>
    </row>
    <row r="2106" customFormat="false" ht="15" hidden="false" customHeight="false" outlineLevel="0" collapsed="false">
      <c r="A2106" s="16" t="n">
        <v>23.44372334</v>
      </c>
      <c r="B2106" s="16" t="n">
        <v>122.2103248</v>
      </c>
      <c r="C2106" s="16" t="n">
        <v>23.8302962797671</v>
      </c>
      <c r="D2106" s="6" t="s">
        <v>57</v>
      </c>
      <c r="E2106" s="6" t="s">
        <v>57</v>
      </c>
      <c r="F2106" s="6" t="s">
        <v>23</v>
      </c>
      <c r="G2106" s="6" t="s">
        <v>61</v>
      </c>
      <c r="H2106" s="6" t="s">
        <v>63</v>
      </c>
      <c r="I2106" s="6" t="str">
        <f aca="false">IF(A2106&lt;Outliers!$E$6,"Low",IF(A2106&gt;Outliers!$F$6,"High",""))</f>
        <v/>
      </c>
      <c r="J2106" s="6" t="str">
        <f aca="false">IF(B2106&lt;Outliers!$E$7,"Low",IF(B2106&gt;Outliers!$F$7,"High",""))</f>
        <v/>
      </c>
      <c r="K2106" s="6" t="str">
        <f aca="false">IF(C2106&lt;Outliers!$E$8,"Low",IF(C2106&gt;Outliers!$F$8,"High",""))</f>
        <v/>
      </c>
      <c r="L2106" s="6" t="str">
        <f aca="false">A2106&amp;";"&amp;B2106&amp;";"&amp;C2106</f>
        <v>23.44372334;122.2103248;23.8302962797671</v>
      </c>
      <c r="M2106" s="6" t="n">
        <f aca="false">IF(COUNTIF($L$2:$L$2201,L2106)&gt;1,1,0)</f>
        <v>0</v>
      </c>
      <c r="N2106" s="6" t="str">
        <f aca="false">IF(AND(C2106&lt;Assumptions!$B$9,B2106&lt;Assumptions!$B$10),"Irrigate Now",IF(AND(C2106&gt;=Assumptions!$B$11,B2106&gt;=Assumptions!$B$12),"No Irrigation Needed","Monitor"))</f>
        <v>Monitor</v>
      </c>
      <c r="O2106" s="6" t="n">
        <f aca="false">IF(N2106=G2106,1,0)</f>
        <v>1</v>
      </c>
    </row>
    <row r="2107" customFormat="false" ht="15" hidden="false" customHeight="false" outlineLevel="0" collapsed="false">
      <c r="A2107" s="16" t="n">
        <v>23.4123707</v>
      </c>
      <c r="B2107" s="16" t="n">
        <v>139.3670753</v>
      </c>
      <c r="C2107" s="16" t="n">
        <v>26.8687618494947</v>
      </c>
      <c r="D2107" s="6" t="s">
        <v>57</v>
      </c>
      <c r="E2107" s="6" t="s">
        <v>57</v>
      </c>
      <c r="F2107" s="6" t="s">
        <v>23</v>
      </c>
      <c r="G2107" s="6" t="s">
        <v>58</v>
      </c>
      <c r="H2107" s="6" t="s">
        <v>59</v>
      </c>
      <c r="I2107" s="6" t="str">
        <f aca="false">IF(A2107&lt;Outliers!$E$6,"Low",IF(A2107&gt;Outliers!$F$6,"High",""))</f>
        <v/>
      </c>
      <c r="J2107" s="6" t="str">
        <f aca="false">IF(B2107&lt;Outliers!$E$7,"Low",IF(B2107&gt;Outliers!$F$7,"High",""))</f>
        <v/>
      </c>
      <c r="K2107" s="6" t="str">
        <f aca="false">IF(C2107&lt;Outliers!$E$8,"Low",IF(C2107&gt;Outliers!$F$8,"High",""))</f>
        <v/>
      </c>
      <c r="L2107" s="6" t="str">
        <f aca="false">A2107&amp;";"&amp;B2107&amp;";"&amp;C2107</f>
        <v>23.4123707;139.3670753;26.8687618494947</v>
      </c>
      <c r="M2107" s="6" t="n">
        <f aca="false">IF(COUNTIF($L$2:$L$2201,L2107)&gt;1,1,0)</f>
        <v>0</v>
      </c>
      <c r="N2107" s="6" t="str">
        <f aca="false">IF(AND(C2107&lt;Assumptions!$B$9,B2107&lt;Assumptions!$B$10),"Irrigate Now",IF(AND(C2107&gt;=Assumptions!$B$11,B2107&gt;=Assumptions!$B$12),"No Irrigation Needed","Monitor"))</f>
        <v>No Irrigation Needed</v>
      </c>
      <c r="O2107" s="6" t="n">
        <f aca="false">IF(N2107=G2107,1,0)</f>
        <v>1</v>
      </c>
    </row>
    <row r="2108" customFormat="false" ht="15" hidden="false" customHeight="false" outlineLevel="0" collapsed="false">
      <c r="A2108" s="16" t="n">
        <v>23.05951896</v>
      </c>
      <c r="B2108" s="16" t="n">
        <v>164.4971875</v>
      </c>
      <c r="C2108" s="16" t="n">
        <v>17.166957263083</v>
      </c>
      <c r="D2108" s="6" t="s">
        <v>57</v>
      </c>
      <c r="E2108" s="6" t="s">
        <v>24</v>
      </c>
      <c r="F2108" s="6" t="s">
        <v>60</v>
      </c>
      <c r="G2108" s="6" t="s">
        <v>61</v>
      </c>
      <c r="H2108" s="6" t="s">
        <v>62</v>
      </c>
      <c r="I2108" s="6" t="str">
        <f aca="false">IF(A2108&lt;Outliers!$E$6,"Low",IF(A2108&gt;Outliers!$F$6,"High",""))</f>
        <v/>
      </c>
      <c r="J2108" s="6" t="str">
        <f aca="false">IF(B2108&lt;Outliers!$E$7,"Low",IF(B2108&gt;Outliers!$F$7,"High",""))</f>
        <v/>
      </c>
      <c r="K2108" s="6" t="str">
        <f aca="false">IF(C2108&lt;Outliers!$E$8,"Low",IF(C2108&gt;Outliers!$F$8,"High",""))</f>
        <v/>
      </c>
      <c r="L2108" s="6" t="str">
        <f aca="false">A2108&amp;";"&amp;B2108&amp;";"&amp;C2108</f>
        <v>23.05951896;164.4971875;17.166957263083</v>
      </c>
      <c r="M2108" s="6" t="n">
        <f aca="false">IF(COUNTIF($L$2:$L$2201,L2108)&gt;1,1,0)</f>
        <v>0</v>
      </c>
      <c r="N2108" s="6" t="str">
        <f aca="false">IF(AND(C2108&lt;Assumptions!$B$9,B2108&lt;Assumptions!$B$10),"Irrigate Now",IF(AND(C2108&gt;=Assumptions!$B$11,B2108&gt;=Assumptions!$B$12),"No Irrigation Needed","Monitor"))</f>
        <v>Monitor</v>
      </c>
      <c r="O2108" s="6" t="n">
        <f aca="false">IF(N2108=G2108,1,0)</f>
        <v>1</v>
      </c>
    </row>
    <row r="2109" customFormat="false" ht="15" hidden="false" customHeight="false" outlineLevel="0" collapsed="false">
      <c r="A2109" s="16" t="n">
        <v>23.07895447</v>
      </c>
      <c r="B2109" s="16" t="n">
        <v>129.8765443</v>
      </c>
      <c r="C2109" s="16" t="n">
        <v>19.4459918502984</v>
      </c>
      <c r="D2109" s="6" t="s">
        <v>57</v>
      </c>
      <c r="E2109" s="6" t="s">
        <v>57</v>
      </c>
      <c r="F2109" s="6" t="s">
        <v>60</v>
      </c>
      <c r="G2109" s="6" t="s">
        <v>61</v>
      </c>
      <c r="H2109" s="6" t="s">
        <v>63</v>
      </c>
      <c r="I2109" s="6" t="str">
        <f aca="false">IF(A2109&lt;Outliers!$E$6,"Low",IF(A2109&gt;Outliers!$F$6,"High",""))</f>
        <v/>
      </c>
      <c r="J2109" s="6" t="str">
        <f aca="false">IF(B2109&lt;Outliers!$E$7,"Low",IF(B2109&gt;Outliers!$F$7,"High",""))</f>
        <v/>
      </c>
      <c r="K2109" s="6" t="str">
        <f aca="false">IF(C2109&lt;Outliers!$E$8,"Low",IF(C2109&gt;Outliers!$F$8,"High",""))</f>
        <v/>
      </c>
      <c r="L2109" s="6" t="str">
        <f aca="false">A2109&amp;";"&amp;B2109&amp;";"&amp;C2109</f>
        <v>23.07895447;129.8765443;19.4459918502984</v>
      </c>
      <c r="M2109" s="6" t="n">
        <f aca="false">IF(COUNTIF($L$2:$L$2201,L2109)&gt;1,1,0)</f>
        <v>0</v>
      </c>
      <c r="N2109" s="6" t="str">
        <f aca="false">IF(AND(C2109&lt;Assumptions!$B$9,B2109&lt;Assumptions!$B$10),"Irrigate Now",IF(AND(C2109&gt;=Assumptions!$B$11,B2109&gt;=Assumptions!$B$12),"No Irrigation Needed","Monitor"))</f>
        <v>Monitor</v>
      </c>
      <c r="O2109" s="6" t="n">
        <f aca="false">IF(N2109=G2109,1,0)</f>
        <v>1</v>
      </c>
    </row>
    <row r="2110" customFormat="false" ht="15" hidden="false" customHeight="false" outlineLevel="0" collapsed="false">
      <c r="A2110" s="16" t="n">
        <v>27.6496114</v>
      </c>
      <c r="B2110" s="16" t="n">
        <v>122.8392822</v>
      </c>
      <c r="C2110" s="16" t="n">
        <v>12.8669657314683</v>
      </c>
      <c r="D2110" s="6" t="s">
        <v>57</v>
      </c>
      <c r="E2110" s="6" t="s">
        <v>57</v>
      </c>
      <c r="F2110" s="6" t="s">
        <v>24</v>
      </c>
      <c r="G2110" s="6" t="s">
        <v>61</v>
      </c>
      <c r="H2110" s="6" t="s">
        <v>63</v>
      </c>
      <c r="I2110" s="6" t="str">
        <f aca="false">IF(A2110&lt;Outliers!$E$6,"Low",IF(A2110&gt;Outliers!$F$6,"High",""))</f>
        <v/>
      </c>
      <c r="J2110" s="6" t="str">
        <f aca="false">IF(B2110&lt;Outliers!$E$7,"Low",IF(B2110&gt;Outliers!$F$7,"High",""))</f>
        <v/>
      </c>
      <c r="K2110" s="6" t="str">
        <f aca="false">IF(C2110&lt;Outliers!$E$8,"Low",IF(C2110&gt;Outliers!$F$8,"High",""))</f>
        <v/>
      </c>
      <c r="L2110" s="6" t="str">
        <f aca="false">A2110&amp;";"&amp;B2110&amp;";"&amp;C2110</f>
        <v>27.6496114;122.8392822;12.8669657314683</v>
      </c>
      <c r="M2110" s="6" t="n">
        <f aca="false">IF(COUNTIF($L$2:$L$2201,L2110)&gt;1,1,0)</f>
        <v>0</v>
      </c>
      <c r="N2110" s="6" t="str">
        <f aca="false">IF(AND(C2110&lt;Assumptions!$B$9,B2110&lt;Assumptions!$B$10),"Irrigate Now",IF(AND(C2110&gt;=Assumptions!$B$11,B2110&gt;=Assumptions!$B$12),"No Irrigation Needed","Monitor"))</f>
        <v>Monitor</v>
      </c>
      <c r="O2110" s="6" t="n">
        <f aca="false">IF(N2110=G2110,1,0)</f>
        <v>1</v>
      </c>
    </row>
    <row r="2111" customFormat="false" ht="15" hidden="false" customHeight="false" outlineLevel="0" collapsed="false">
      <c r="A2111" s="16" t="n">
        <v>25.46743689</v>
      </c>
      <c r="B2111" s="16" t="n">
        <v>171.3764462</v>
      </c>
      <c r="C2111" s="16" t="n">
        <v>26.4238803661884</v>
      </c>
      <c r="D2111" s="6" t="s">
        <v>57</v>
      </c>
      <c r="E2111" s="6" t="s">
        <v>24</v>
      </c>
      <c r="F2111" s="6" t="s">
        <v>23</v>
      </c>
      <c r="G2111" s="6" t="s">
        <v>58</v>
      </c>
      <c r="H2111" s="6" t="s">
        <v>59</v>
      </c>
      <c r="I2111" s="6" t="str">
        <f aca="false">IF(A2111&lt;Outliers!$E$6,"Low",IF(A2111&gt;Outliers!$F$6,"High",""))</f>
        <v/>
      </c>
      <c r="J2111" s="6" t="str">
        <f aca="false">IF(B2111&lt;Outliers!$E$7,"Low",IF(B2111&gt;Outliers!$F$7,"High",""))</f>
        <v/>
      </c>
      <c r="K2111" s="6" t="str">
        <f aca="false">IF(C2111&lt;Outliers!$E$8,"Low",IF(C2111&gt;Outliers!$F$8,"High",""))</f>
        <v/>
      </c>
      <c r="L2111" s="6" t="str">
        <f aca="false">A2111&amp;";"&amp;B2111&amp;";"&amp;C2111</f>
        <v>25.46743689;171.3764462;26.4238803661884</v>
      </c>
      <c r="M2111" s="6" t="n">
        <f aca="false">IF(COUNTIF($L$2:$L$2201,L2111)&gt;1,1,0)</f>
        <v>0</v>
      </c>
      <c r="N2111" s="6" t="str">
        <f aca="false">IF(AND(C2111&lt;Assumptions!$B$9,B2111&lt;Assumptions!$B$10),"Irrigate Now",IF(AND(C2111&gt;=Assumptions!$B$11,B2111&gt;=Assumptions!$B$12),"No Irrigation Needed","Monitor"))</f>
        <v>No Irrigation Needed</v>
      </c>
      <c r="O2111" s="6" t="n">
        <f aca="false">IF(N2111=G2111,1,0)</f>
        <v>1</v>
      </c>
    </row>
    <row r="2112" customFormat="false" ht="15" hidden="false" customHeight="false" outlineLevel="0" collapsed="false">
      <c r="A2112" s="16" t="n">
        <v>26.7350622</v>
      </c>
      <c r="B2112" s="16" t="n">
        <v>140.6305213</v>
      </c>
      <c r="C2112" s="16" t="n">
        <v>25.9348706084202</v>
      </c>
      <c r="D2112" s="6" t="s">
        <v>57</v>
      </c>
      <c r="E2112" s="6" t="s">
        <v>57</v>
      </c>
      <c r="F2112" s="6" t="s">
        <v>23</v>
      </c>
      <c r="G2112" s="6" t="s">
        <v>58</v>
      </c>
      <c r="H2112" s="6" t="s">
        <v>59</v>
      </c>
      <c r="I2112" s="6" t="str">
        <f aca="false">IF(A2112&lt;Outliers!$E$6,"Low",IF(A2112&gt;Outliers!$F$6,"High",""))</f>
        <v/>
      </c>
      <c r="J2112" s="6" t="str">
        <f aca="false">IF(B2112&lt;Outliers!$E$7,"Low",IF(B2112&gt;Outliers!$F$7,"High",""))</f>
        <v/>
      </c>
      <c r="K2112" s="6" t="str">
        <f aca="false">IF(C2112&lt;Outliers!$E$8,"Low",IF(C2112&gt;Outliers!$F$8,"High",""))</f>
        <v/>
      </c>
      <c r="L2112" s="6" t="str">
        <f aca="false">A2112&amp;";"&amp;B2112&amp;";"&amp;C2112</f>
        <v>26.7350622;140.6305213;25.9348706084202</v>
      </c>
      <c r="M2112" s="6" t="n">
        <f aca="false">IF(COUNTIF($L$2:$L$2201,L2112)&gt;1,1,0)</f>
        <v>0</v>
      </c>
      <c r="N2112" s="6" t="str">
        <f aca="false">IF(AND(C2112&lt;Assumptions!$B$9,B2112&lt;Assumptions!$B$10),"Irrigate Now",IF(AND(C2112&gt;=Assumptions!$B$11,B2112&gt;=Assumptions!$B$12),"No Irrigation Needed","Monitor"))</f>
        <v>No Irrigation Needed</v>
      </c>
      <c r="O2112" s="6" t="n">
        <f aca="false">IF(N2112=G2112,1,0)</f>
        <v>1</v>
      </c>
    </row>
    <row r="2113" customFormat="false" ht="15" hidden="false" customHeight="false" outlineLevel="0" collapsed="false">
      <c r="A2113" s="16" t="n">
        <v>26.20811417</v>
      </c>
      <c r="B2113" s="16" t="n">
        <v>189.0944824</v>
      </c>
      <c r="C2113" s="16" t="n">
        <v>26.9163674334876</v>
      </c>
      <c r="D2113" s="6" t="s">
        <v>57</v>
      </c>
      <c r="E2113" s="6" t="s">
        <v>24</v>
      </c>
      <c r="F2113" s="6" t="s">
        <v>23</v>
      </c>
      <c r="G2113" s="6" t="s">
        <v>58</v>
      </c>
      <c r="H2113" s="6" t="s">
        <v>59</v>
      </c>
      <c r="I2113" s="6" t="str">
        <f aca="false">IF(A2113&lt;Outliers!$E$6,"Low",IF(A2113&gt;Outliers!$F$6,"High",""))</f>
        <v/>
      </c>
      <c r="J2113" s="6" t="str">
        <f aca="false">IF(B2113&lt;Outliers!$E$7,"Low",IF(B2113&gt;Outliers!$F$7,"High",""))</f>
        <v/>
      </c>
      <c r="K2113" s="6" t="str">
        <f aca="false">IF(C2113&lt;Outliers!$E$8,"Low",IF(C2113&gt;Outliers!$F$8,"High",""))</f>
        <v/>
      </c>
      <c r="L2113" s="6" t="str">
        <f aca="false">A2113&amp;";"&amp;B2113&amp;";"&amp;C2113</f>
        <v>26.20811417;189.0944824;26.9163674334876</v>
      </c>
      <c r="M2113" s="6" t="n">
        <f aca="false">IF(COUNTIF($L$2:$L$2201,L2113)&gt;1,1,0)</f>
        <v>0</v>
      </c>
      <c r="N2113" s="6" t="str">
        <f aca="false">IF(AND(C2113&lt;Assumptions!$B$9,B2113&lt;Assumptions!$B$10),"Irrigate Now",IF(AND(C2113&gt;=Assumptions!$B$11,B2113&gt;=Assumptions!$B$12),"No Irrigation Needed","Monitor"))</f>
        <v>No Irrigation Needed</v>
      </c>
      <c r="O2113" s="6" t="n">
        <f aca="false">IF(N2113=G2113,1,0)</f>
        <v>1</v>
      </c>
    </row>
    <row r="2114" customFormat="false" ht="15" hidden="false" customHeight="false" outlineLevel="0" collapsed="false">
      <c r="A2114" s="16" t="n">
        <v>27.0424167</v>
      </c>
      <c r="B2114" s="16" t="n">
        <v>165.6872119</v>
      </c>
      <c r="C2114" s="16" t="n">
        <v>16.9423830040344</v>
      </c>
      <c r="D2114" s="6" t="s">
        <v>57</v>
      </c>
      <c r="E2114" s="6" t="s">
        <v>24</v>
      </c>
      <c r="F2114" s="6" t="s">
        <v>60</v>
      </c>
      <c r="G2114" s="6" t="s">
        <v>61</v>
      </c>
      <c r="H2114" s="6" t="s">
        <v>62</v>
      </c>
      <c r="I2114" s="6" t="str">
        <f aca="false">IF(A2114&lt;Outliers!$E$6,"Low",IF(A2114&gt;Outliers!$F$6,"High",""))</f>
        <v/>
      </c>
      <c r="J2114" s="6" t="str">
        <f aca="false">IF(B2114&lt;Outliers!$E$7,"Low",IF(B2114&gt;Outliers!$F$7,"High",""))</f>
        <v/>
      </c>
      <c r="K2114" s="6" t="str">
        <f aca="false">IF(C2114&lt;Outliers!$E$8,"Low",IF(C2114&gt;Outliers!$F$8,"High",""))</f>
        <v/>
      </c>
      <c r="L2114" s="6" t="str">
        <f aca="false">A2114&amp;";"&amp;B2114&amp;";"&amp;C2114</f>
        <v>27.0424167;165.6872119;16.9423830040344</v>
      </c>
      <c r="M2114" s="6" t="n">
        <f aca="false">IF(COUNTIF($L$2:$L$2201,L2114)&gt;1,1,0)</f>
        <v>0</v>
      </c>
      <c r="N2114" s="6" t="str">
        <f aca="false">IF(AND(C2114&lt;Assumptions!$B$9,B2114&lt;Assumptions!$B$10),"Irrigate Now",IF(AND(C2114&gt;=Assumptions!$B$11,B2114&gt;=Assumptions!$B$12),"No Irrigation Needed","Monitor"))</f>
        <v>Monitor</v>
      </c>
      <c r="O2114" s="6" t="n">
        <f aca="false">IF(N2114=G2114,1,0)</f>
        <v>1</v>
      </c>
    </row>
    <row r="2115" customFormat="false" ht="15" hidden="false" customHeight="false" outlineLevel="0" collapsed="false">
      <c r="A2115" s="16" t="n">
        <v>24.65090184</v>
      </c>
      <c r="B2115" s="16" t="n">
        <v>135.1386537</v>
      </c>
      <c r="C2115" s="16" t="n">
        <v>22.0334897989491</v>
      </c>
      <c r="D2115" s="6" t="s">
        <v>57</v>
      </c>
      <c r="E2115" s="6" t="s">
        <v>57</v>
      </c>
      <c r="F2115" s="6" t="s">
        <v>23</v>
      </c>
      <c r="G2115" s="6" t="s">
        <v>61</v>
      </c>
      <c r="H2115" s="6" t="s">
        <v>63</v>
      </c>
      <c r="I2115" s="6" t="str">
        <f aca="false">IF(A2115&lt;Outliers!$E$6,"Low",IF(A2115&gt;Outliers!$F$6,"High",""))</f>
        <v/>
      </c>
      <c r="J2115" s="6" t="str">
        <f aca="false">IF(B2115&lt;Outliers!$E$7,"Low",IF(B2115&gt;Outliers!$F$7,"High",""))</f>
        <v/>
      </c>
      <c r="K2115" s="6" t="str">
        <f aca="false">IF(C2115&lt;Outliers!$E$8,"Low",IF(C2115&gt;Outliers!$F$8,"High",""))</f>
        <v/>
      </c>
      <c r="L2115" s="6" t="str">
        <f aca="false">A2115&amp;";"&amp;B2115&amp;";"&amp;C2115</f>
        <v>24.65090184;135.1386537;22.0334897989491</v>
      </c>
      <c r="M2115" s="6" t="n">
        <f aca="false">IF(COUNTIF($L$2:$L$2201,L2115)&gt;1,1,0)</f>
        <v>0</v>
      </c>
      <c r="N2115" s="6" t="str">
        <f aca="false">IF(AND(C2115&lt;Assumptions!$B$9,B2115&lt;Assumptions!$B$10),"Irrigate Now",IF(AND(C2115&gt;=Assumptions!$B$11,B2115&gt;=Assumptions!$B$12),"No Irrigation Needed","Monitor"))</f>
        <v>Monitor</v>
      </c>
      <c r="O2115" s="6" t="n">
        <f aca="false">IF(N2115=G2115,1,0)</f>
        <v>1</v>
      </c>
    </row>
    <row r="2116" customFormat="false" ht="15" hidden="false" customHeight="false" outlineLevel="0" collapsed="false">
      <c r="A2116" s="16" t="n">
        <v>27.35152643</v>
      </c>
      <c r="B2116" s="16" t="n">
        <v>148.9812525</v>
      </c>
      <c r="C2116" s="16" t="n">
        <v>25.9753177699141</v>
      </c>
      <c r="D2116" s="6" t="s">
        <v>57</v>
      </c>
      <c r="E2116" s="6" t="s">
        <v>57</v>
      </c>
      <c r="F2116" s="6" t="s">
        <v>23</v>
      </c>
      <c r="G2116" s="6" t="s">
        <v>58</v>
      </c>
      <c r="H2116" s="6" t="s">
        <v>59</v>
      </c>
      <c r="I2116" s="6" t="str">
        <f aca="false">IF(A2116&lt;Outliers!$E$6,"Low",IF(A2116&gt;Outliers!$F$6,"High",""))</f>
        <v/>
      </c>
      <c r="J2116" s="6" t="str">
        <f aca="false">IF(B2116&lt;Outliers!$E$7,"Low",IF(B2116&gt;Outliers!$F$7,"High",""))</f>
        <v/>
      </c>
      <c r="K2116" s="6" t="str">
        <f aca="false">IF(C2116&lt;Outliers!$E$8,"Low",IF(C2116&gt;Outliers!$F$8,"High",""))</f>
        <v/>
      </c>
      <c r="L2116" s="6" t="str">
        <f aca="false">A2116&amp;";"&amp;B2116&amp;";"&amp;C2116</f>
        <v>27.35152643;148.9812525;25.9753177699141</v>
      </c>
      <c r="M2116" s="6" t="n">
        <f aca="false">IF(COUNTIF($L$2:$L$2201,L2116)&gt;1,1,0)</f>
        <v>0</v>
      </c>
      <c r="N2116" s="6" t="str">
        <f aca="false">IF(AND(C2116&lt;Assumptions!$B$9,B2116&lt;Assumptions!$B$10),"Irrigate Now",IF(AND(C2116&gt;=Assumptions!$B$11,B2116&gt;=Assumptions!$B$12),"No Irrigation Needed","Monitor"))</f>
        <v>No Irrigation Needed</v>
      </c>
      <c r="O2116" s="6" t="n">
        <f aca="false">IF(N2116=G2116,1,0)</f>
        <v>1</v>
      </c>
    </row>
    <row r="2117" customFormat="false" ht="15" hidden="false" customHeight="false" outlineLevel="0" collapsed="false">
      <c r="A2117" s="16" t="n">
        <v>25.17787724</v>
      </c>
      <c r="B2117" s="16" t="n">
        <v>135.0119649</v>
      </c>
      <c r="C2117" s="16" t="n">
        <v>24.8250856239721</v>
      </c>
      <c r="D2117" s="6" t="s">
        <v>57</v>
      </c>
      <c r="E2117" s="6" t="s">
        <v>57</v>
      </c>
      <c r="F2117" s="6" t="s">
        <v>23</v>
      </c>
      <c r="G2117" s="6" t="s">
        <v>61</v>
      </c>
      <c r="H2117" s="6" t="s">
        <v>63</v>
      </c>
      <c r="I2117" s="6" t="str">
        <f aca="false">IF(A2117&lt;Outliers!$E$6,"Low",IF(A2117&gt;Outliers!$F$6,"High",""))</f>
        <v/>
      </c>
      <c r="J2117" s="6" t="str">
        <f aca="false">IF(B2117&lt;Outliers!$E$7,"Low",IF(B2117&gt;Outliers!$F$7,"High",""))</f>
        <v/>
      </c>
      <c r="K2117" s="6" t="str">
        <f aca="false">IF(C2117&lt;Outliers!$E$8,"Low",IF(C2117&gt;Outliers!$F$8,"High",""))</f>
        <v/>
      </c>
      <c r="L2117" s="6" t="str">
        <f aca="false">A2117&amp;";"&amp;B2117&amp;";"&amp;C2117</f>
        <v>25.17787724;135.0119649;24.8250856239721</v>
      </c>
      <c r="M2117" s="6" t="n">
        <f aca="false">IF(COUNTIF($L$2:$L$2201,L2117)&gt;1,1,0)</f>
        <v>0</v>
      </c>
      <c r="N2117" s="6" t="str">
        <f aca="false">IF(AND(C2117&lt;Assumptions!$B$9,B2117&lt;Assumptions!$B$10),"Irrigate Now",IF(AND(C2117&gt;=Assumptions!$B$11,B2117&gt;=Assumptions!$B$12),"No Irrigation Needed","Monitor"))</f>
        <v>Monitor</v>
      </c>
      <c r="O2117" s="6" t="n">
        <f aca="false">IF(N2117=G2117,1,0)</f>
        <v>1</v>
      </c>
    </row>
    <row r="2118" customFormat="false" ht="15" hidden="false" customHeight="false" outlineLevel="0" collapsed="false">
      <c r="A2118" s="16" t="n">
        <v>23.11438731</v>
      </c>
      <c r="B2118" s="16" t="n">
        <v>161.8944624</v>
      </c>
      <c r="C2118" s="16" t="n">
        <v>25.9200817111195</v>
      </c>
      <c r="D2118" s="6" t="s">
        <v>57</v>
      </c>
      <c r="E2118" s="6" t="s">
        <v>24</v>
      </c>
      <c r="F2118" s="6" t="s">
        <v>23</v>
      </c>
      <c r="G2118" s="6" t="s">
        <v>58</v>
      </c>
      <c r="H2118" s="6" t="s">
        <v>59</v>
      </c>
      <c r="I2118" s="6" t="str">
        <f aca="false">IF(A2118&lt;Outliers!$E$6,"Low",IF(A2118&gt;Outliers!$F$6,"High",""))</f>
        <v/>
      </c>
      <c r="J2118" s="6" t="str">
        <f aca="false">IF(B2118&lt;Outliers!$E$7,"Low",IF(B2118&gt;Outliers!$F$7,"High",""))</f>
        <v/>
      </c>
      <c r="K2118" s="6" t="str">
        <f aca="false">IF(C2118&lt;Outliers!$E$8,"Low",IF(C2118&gt;Outliers!$F$8,"High",""))</f>
        <v/>
      </c>
      <c r="L2118" s="6" t="str">
        <f aca="false">A2118&amp;";"&amp;B2118&amp;";"&amp;C2118</f>
        <v>23.11438731;161.8944624;25.9200817111195</v>
      </c>
      <c r="M2118" s="6" t="n">
        <f aca="false">IF(COUNTIF($L$2:$L$2201,L2118)&gt;1,1,0)</f>
        <v>0</v>
      </c>
      <c r="N2118" s="6" t="str">
        <f aca="false">IF(AND(C2118&lt;Assumptions!$B$9,B2118&lt;Assumptions!$B$10),"Irrigate Now",IF(AND(C2118&gt;=Assumptions!$B$11,B2118&gt;=Assumptions!$B$12),"No Irrigation Needed","Monitor"))</f>
        <v>No Irrigation Needed</v>
      </c>
      <c r="O2118" s="6" t="n">
        <f aca="false">IF(N2118=G2118,1,0)</f>
        <v>1</v>
      </c>
    </row>
    <row r="2119" customFormat="false" ht="15" hidden="false" customHeight="false" outlineLevel="0" collapsed="false">
      <c r="A2119" s="16" t="n">
        <v>27.22783677</v>
      </c>
      <c r="B2119" s="16" t="n">
        <v>175.7260273</v>
      </c>
      <c r="C2119" s="16" t="n">
        <v>14.8787318232053</v>
      </c>
      <c r="D2119" s="6" t="s">
        <v>57</v>
      </c>
      <c r="E2119" s="6" t="s">
        <v>24</v>
      </c>
      <c r="F2119" s="6" t="s">
        <v>60</v>
      </c>
      <c r="G2119" s="6" t="s">
        <v>61</v>
      </c>
      <c r="H2119" s="6" t="s">
        <v>62</v>
      </c>
      <c r="I2119" s="6" t="str">
        <f aca="false">IF(A2119&lt;Outliers!$E$6,"Low",IF(A2119&gt;Outliers!$F$6,"High",""))</f>
        <v/>
      </c>
      <c r="J2119" s="6" t="str">
        <f aca="false">IF(B2119&lt;Outliers!$E$7,"Low",IF(B2119&gt;Outliers!$F$7,"High",""))</f>
        <v/>
      </c>
      <c r="K2119" s="6" t="str">
        <f aca="false">IF(C2119&lt;Outliers!$E$8,"Low",IF(C2119&gt;Outliers!$F$8,"High",""))</f>
        <v/>
      </c>
      <c r="L2119" s="6" t="str">
        <f aca="false">A2119&amp;";"&amp;B2119&amp;";"&amp;C2119</f>
        <v>27.22783677;175.7260273;14.8787318232053</v>
      </c>
      <c r="M2119" s="6" t="n">
        <f aca="false">IF(COUNTIF($L$2:$L$2201,L2119)&gt;1,1,0)</f>
        <v>0</v>
      </c>
      <c r="N2119" s="6" t="str">
        <f aca="false">IF(AND(C2119&lt;Assumptions!$B$9,B2119&lt;Assumptions!$B$10),"Irrigate Now",IF(AND(C2119&gt;=Assumptions!$B$11,B2119&gt;=Assumptions!$B$12),"No Irrigation Needed","Monitor"))</f>
        <v>Monitor</v>
      </c>
      <c r="O2119" s="6" t="n">
        <f aca="false">IF(N2119=G2119,1,0)</f>
        <v>1</v>
      </c>
    </row>
    <row r="2120" customFormat="false" ht="15" hidden="false" customHeight="false" outlineLevel="0" collapsed="false">
      <c r="A2120" s="16" t="n">
        <v>23.26316991</v>
      </c>
      <c r="B2120" s="16" t="n">
        <v>194.1755471</v>
      </c>
      <c r="C2120" s="16" t="n">
        <v>18.1258236395293</v>
      </c>
      <c r="D2120" s="6" t="s">
        <v>57</v>
      </c>
      <c r="E2120" s="6" t="s">
        <v>24</v>
      </c>
      <c r="F2120" s="6" t="s">
        <v>60</v>
      </c>
      <c r="G2120" s="6" t="s">
        <v>61</v>
      </c>
      <c r="H2120" s="6" t="s">
        <v>62</v>
      </c>
      <c r="I2120" s="6" t="str">
        <f aca="false">IF(A2120&lt;Outliers!$E$6,"Low",IF(A2120&gt;Outliers!$F$6,"High",""))</f>
        <v/>
      </c>
      <c r="J2120" s="6" t="str">
        <f aca="false">IF(B2120&lt;Outliers!$E$7,"Low",IF(B2120&gt;Outliers!$F$7,"High",""))</f>
        <v/>
      </c>
      <c r="K2120" s="6" t="str">
        <f aca="false">IF(C2120&lt;Outliers!$E$8,"Low",IF(C2120&gt;Outliers!$F$8,"High",""))</f>
        <v/>
      </c>
      <c r="L2120" s="6" t="str">
        <f aca="false">A2120&amp;";"&amp;B2120&amp;";"&amp;C2120</f>
        <v>23.26316991;194.1755471;18.1258236395293</v>
      </c>
      <c r="M2120" s="6" t="n">
        <f aca="false">IF(COUNTIF($L$2:$L$2201,L2120)&gt;1,1,0)</f>
        <v>0</v>
      </c>
      <c r="N2120" s="6" t="str">
        <f aca="false">IF(AND(C2120&lt;Assumptions!$B$9,B2120&lt;Assumptions!$B$10),"Irrigate Now",IF(AND(C2120&gt;=Assumptions!$B$11,B2120&gt;=Assumptions!$B$12),"No Irrigation Needed","Monitor"))</f>
        <v>Monitor</v>
      </c>
      <c r="O2120" s="6" t="n">
        <f aca="false">IF(N2120=G2120,1,0)</f>
        <v>1</v>
      </c>
    </row>
    <row r="2121" customFormat="false" ht="15" hidden="false" customHeight="false" outlineLevel="0" collapsed="false">
      <c r="A2121" s="16" t="n">
        <v>25.234661</v>
      </c>
      <c r="B2121" s="16" t="n">
        <v>124.2261737</v>
      </c>
      <c r="C2121" s="16" t="n">
        <v>23.4887393910311</v>
      </c>
      <c r="D2121" s="6" t="s">
        <v>57</v>
      </c>
      <c r="E2121" s="6" t="s">
        <v>57</v>
      </c>
      <c r="F2121" s="6" t="s">
        <v>23</v>
      </c>
      <c r="G2121" s="6" t="s">
        <v>61</v>
      </c>
      <c r="H2121" s="6" t="s">
        <v>63</v>
      </c>
      <c r="I2121" s="6" t="str">
        <f aca="false">IF(A2121&lt;Outliers!$E$6,"Low",IF(A2121&gt;Outliers!$F$6,"High",""))</f>
        <v/>
      </c>
      <c r="J2121" s="6" t="str">
        <f aca="false">IF(B2121&lt;Outliers!$E$7,"Low",IF(B2121&gt;Outliers!$F$7,"High",""))</f>
        <v/>
      </c>
      <c r="K2121" s="6" t="str">
        <f aca="false">IF(C2121&lt;Outliers!$E$8,"Low",IF(C2121&gt;Outliers!$F$8,"High",""))</f>
        <v/>
      </c>
      <c r="L2121" s="6" t="str">
        <f aca="false">A2121&amp;";"&amp;B2121&amp;";"&amp;C2121</f>
        <v>25.234661;124.2261737;23.4887393910311</v>
      </c>
      <c r="M2121" s="6" t="n">
        <f aca="false">IF(COUNTIF($L$2:$L$2201,L2121)&gt;1,1,0)</f>
        <v>0</v>
      </c>
      <c r="N2121" s="6" t="str">
        <f aca="false">IF(AND(C2121&lt;Assumptions!$B$9,B2121&lt;Assumptions!$B$10),"Irrigate Now",IF(AND(C2121&gt;=Assumptions!$B$11,B2121&gt;=Assumptions!$B$12),"No Irrigation Needed","Monitor"))</f>
        <v>Monitor</v>
      </c>
      <c r="O2121" s="6" t="n">
        <f aca="false">IF(N2121=G2121,1,0)</f>
        <v>1</v>
      </c>
    </row>
    <row r="2122" customFormat="false" ht="15" hidden="false" customHeight="false" outlineLevel="0" collapsed="false">
      <c r="A2122" s="16" t="n">
        <v>25.59535262</v>
      </c>
      <c r="B2122" s="16" t="n">
        <v>195.7733251</v>
      </c>
      <c r="C2122" s="16" t="n">
        <v>23.6427651782715</v>
      </c>
      <c r="D2122" s="6" t="s">
        <v>57</v>
      </c>
      <c r="E2122" s="6" t="s">
        <v>24</v>
      </c>
      <c r="F2122" s="6" t="s">
        <v>23</v>
      </c>
      <c r="G2122" s="6" t="s">
        <v>61</v>
      </c>
      <c r="H2122" s="6" t="s">
        <v>62</v>
      </c>
      <c r="I2122" s="6" t="str">
        <f aca="false">IF(A2122&lt;Outliers!$E$6,"Low",IF(A2122&gt;Outliers!$F$6,"High",""))</f>
        <v/>
      </c>
      <c r="J2122" s="6" t="str">
        <f aca="false">IF(B2122&lt;Outliers!$E$7,"Low",IF(B2122&gt;Outliers!$F$7,"High",""))</f>
        <v/>
      </c>
      <c r="K2122" s="6" t="str">
        <f aca="false">IF(C2122&lt;Outliers!$E$8,"Low",IF(C2122&gt;Outliers!$F$8,"High",""))</f>
        <v/>
      </c>
      <c r="L2122" s="6" t="str">
        <f aca="false">A2122&amp;";"&amp;B2122&amp;";"&amp;C2122</f>
        <v>25.59535262;195.7733251;23.6427651782715</v>
      </c>
      <c r="M2122" s="6" t="n">
        <f aca="false">IF(COUNTIF($L$2:$L$2201,L2122)&gt;1,1,0)</f>
        <v>0</v>
      </c>
      <c r="N2122" s="6" t="str">
        <f aca="false">IF(AND(C2122&lt;Assumptions!$B$9,B2122&lt;Assumptions!$B$10),"Irrigate Now",IF(AND(C2122&gt;=Assumptions!$B$11,B2122&gt;=Assumptions!$B$12),"No Irrigation Needed","Monitor"))</f>
        <v>Monitor</v>
      </c>
      <c r="O2122" s="6" t="n">
        <f aca="false">IF(N2122=G2122,1,0)</f>
        <v>1</v>
      </c>
    </row>
    <row r="2123" customFormat="false" ht="15" hidden="false" customHeight="false" outlineLevel="0" collapsed="false">
      <c r="A2123" s="16" t="n">
        <v>25.5674832</v>
      </c>
      <c r="B2123" s="16" t="n">
        <v>190.2257843</v>
      </c>
      <c r="C2123" s="16" t="n">
        <v>20.1711196338321</v>
      </c>
      <c r="D2123" s="6" t="s">
        <v>57</v>
      </c>
      <c r="E2123" s="6" t="s">
        <v>24</v>
      </c>
      <c r="F2123" s="6" t="s">
        <v>23</v>
      </c>
      <c r="G2123" s="6" t="s">
        <v>61</v>
      </c>
      <c r="H2123" s="6" t="s">
        <v>62</v>
      </c>
      <c r="I2123" s="6" t="str">
        <f aca="false">IF(A2123&lt;Outliers!$E$6,"Low",IF(A2123&gt;Outliers!$F$6,"High",""))</f>
        <v/>
      </c>
      <c r="J2123" s="6" t="str">
        <f aca="false">IF(B2123&lt;Outliers!$E$7,"Low",IF(B2123&gt;Outliers!$F$7,"High",""))</f>
        <v/>
      </c>
      <c r="K2123" s="6" t="str">
        <f aca="false">IF(C2123&lt;Outliers!$E$8,"Low",IF(C2123&gt;Outliers!$F$8,"High",""))</f>
        <v/>
      </c>
      <c r="L2123" s="6" t="str">
        <f aca="false">A2123&amp;";"&amp;B2123&amp;";"&amp;C2123</f>
        <v>25.5674832;190.2257843;20.1711196338321</v>
      </c>
      <c r="M2123" s="6" t="n">
        <f aca="false">IF(COUNTIF($L$2:$L$2201,L2123)&gt;1,1,0)</f>
        <v>0</v>
      </c>
      <c r="N2123" s="6" t="str">
        <f aca="false">IF(AND(C2123&lt;Assumptions!$B$9,B2123&lt;Assumptions!$B$10),"Irrigate Now",IF(AND(C2123&gt;=Assumptions!$B$11,B2123&gt;=Assumptions!$B$12),"No Irrigation Needed","Monitor"))</f>
        <v>Monitor</v>
      </c>
      <c r="O2123" s="6" t="n">
        <f aca="false">IF(N2123=G2123,1,0)</f>
        <v>1</v>
      </c>
    </row>
    <row r="2124" customFormat="false" ht="15" hidden="false" customHeight="false" outlineLevel="0" collapsed="false">
      <c r="A2124" s="16" t="n">
        <v>25.67324193</v>
      </c>
      <c r="B2124" s="16" t="n">
        <v>196.2736367</v>
      </c>
      <c r="C2124" s="16" t="n">
        <v>21.9823786652037</v>
      </c>
      <c r="D2124" s="6" t="s">
        <v>57</v>
      </c>
      <c r="E2124" s="6" t="s">
        <v>24</v>
      </c>
      <c r="F2124" s="6" t="s">
        <v>23</v>
      </c>
      <c r="G2124" s="6" t="s">
        <v>61</v>
      </c>
      <c r="H2124" s="6" t="s">
        <v>62</v>
      </c>
      <c r="I2124" s="6" t="str">
        <f aca="false">IF(A2124&lt;Outliers!$E$6,"Low",IF(A2124&gt;Outliers!$F$6,"High",""))</f>
        <v/>
      </c>
      <c r="J2124" s="6" t="str">
        <f aca="false">IF(B2124&lt;Outliers!$E$7,"Low",IF(B2124&gt;Outliers!$F$7,"High",""))</f>
        <v/>
      </c>
      <c r="K2124" s="6" t="str">
        <f aca="false">IF(C2124&lt;Outliers!$E$8,"Low",IF(C2124&gt;Outliers!$F$8,"High",""))</f>
        <v/>
      </c>
      <c r="L2124" s="6" t="str">
        <f aca="false">A2124&amp;";"&amp;B2124&amp;";"&amp;C2124</f>
        <v>25.67324193;196.2736367;21.9823786652037</v>
      </c>
      <c r="M2124" s="6" t="n">
        <f aca="false">IF(COUNTIF($L$2:$L$2201,L2124)&gt;1,1,0)</f>
        <v>0</v>
      </c>
      <c r="N2124" s="6" t="str">
        <f aca="false">IF(AND(C2124&lt;Assumptions!$B$9,B2124&lt;Assumptions!$B$10),"Irrigate Now",IF(AND(C2124&gt;=Assumptions!$B$11,B2124&gt;=Assumptions!$B$12),"No Irrigation Needed","Monitor"))</f>
        <v>Monitor</v>
      </c>
      <c r="O2124" s="6" t="n">
        <f aca="false">IF(N2124=G2124,1,0)</f>
        <v>1</v>
      </c>
    </row>
    <row r="2125" customFormat="false" ht="15" hidden="false" customHeight="false" outlineLevel="0" collapsed="false">
      <c r="A2125" s="16" t="n">
        <v>24.40726724</v>
      </c>
      <c r="B2125" s="16" t="n">
        <v>148.6977358</v>
      </c>
      <c r="C2125" s="16" t="n">
        <v>20.852509534876</v>
      </c>
      <c r="D2125" s="6" t="s">
        <v>57</v>
      </c>
      <c r="E2125" s="6" t="s">
        <v>57</v>
      </c>
      <c r="F2125" s="6" t="s">
        <v>60</v>
      </c>
      <c r="G2125" s="6" t="s">
        <v>61</v>
      </c>
      <c r="H2125" s="6" t="s">
        <v>63</v>
      </c>
      <c r="I2125" s="6" t="str">
        <f aca="false">IF(A2125&lt;Outliers!$E$6,"Low",IF(A2125&gt;Outliers!$F$6,"High",""))</f>
        <v/>
      </c>
      <c r="J2125" s="6" t="str">
        <f aca="false">IF(B2125&lt;Outliers!$E$7,"Low",IF(B2125&gt;Outliers!$F$7,"High",""))</f>
        <v/>
      </c>
      <c r="K2125" s="6" t="str">
        <f aca="false">IF(C2125&lt;Outliers!$E$8,"Low",IF(C2125&gt;Outliers!$F$8,"High",""))</f>
        <v/>
      </c>
      <c r="L2125" s="6" t="str">
        <f aca="false">A2125&amp;";"&amp;B2125&amp;";"&amp;C2125</f>
        <v>24.40726724;148.6977358;20.852509534876</v>
      </c>
      <c r="M2125" s="6" t="n">
        <f aca="false">IF(COUNTIF($L$2:$L$2201,L2125)&gt;1,1,0)</f>
        <v>0</v>
      </c>
      <c r="N2125" s="6" t="str">
        <f aca="false">IF(AND(C2125&lt;Assumptions!$B$9,B2125&lt;Assumptions!$B$10),"Irrigate Now",IF(AND(C2125&gt;=Assumptions!$B$11,B2125&gt;=Assumptions!$B$12),"No Irrigation Needed","Monitor"))</f>
        <v>Monitor</v>
      </c>
      <c r="O2125" s="6" t="n">
        <f aca="false">IF(N2125=G2125,1,0)</f>
        <v>1</v>
      </c>
    </row>
    <row r="2126" customFormat="false" ht="15" hidden="false" customHeight="false" outlineLevel="0" collapsed="false">
      <c r="A2126" s="16" t="n">
        <v>23.69287069</v>
      </c>
      <c r="B2126" s="16" t="n">
        <v>144.6576424</v>
      </c>
      <c r="C2126" s="16" t="n">
        <v>17.9596925285868</v>
      </c>
      <c r="D2126" s="6" t="s">
        <v>57</v>
      </c>
      <c r="E2126" s="6" t="s">
        <v>57</v>
      </c>
      <c r="F2126" s="6" t="s">
        <v>60</v>
      </c>
      <c r="G2126" s="6" t="s">
        <v>61</v>
      </c>
      <c r="H2126" s="6" t="s">
        <v>63</v>
      </c>
      <c r="I2126" s="6" t="str">
        <f aca="false">IF(A2126&lt;Outliers!$E$6,"Low",IF(A2126&gt;Outliers!$F$6,"High",""))</f>
        <v/>
      </c>
      <c r="J2126" s="6" t="str">
        <f aca="false">IF(B2126&lt;Outliers!$E$7,"Low",IF(B2126&gt;Outliers!$F$7,"High",""))</f>
        <v/>
      </c>
      <c r="K2126" s="6" t="str">
        <f aca="false">IF(C2126&lt;Outliers!$E$8,"Low",IF(C2126&gt;Outliers!$F$8,"High",""))</f>
        <v/>
      </c>
      <c r="L2126" s="6" t="str">
        <f aca="false">A2126&amp;";"&amp;B2126&amp;";"&amp;C2126</f>
        <v>23.69287069;144.6576424;17.9596925285868</v>
      </c>
      <c r="M2126" s="6" t="n">
        <f aca="false">IF(COUNTIF($L$2:$L$2201,L2126)&gt;1,1,0)</f>
        <v>0</v>
      </c>
      <c r="N2126" s="6" t="str">
        <f aca="false">IF(AND(C2126&lt;Assumptions!$B$9,B2126&lt;Assumptions!$B$10),"Irrigate Now",IF(AND(C2126&gt;=Assumptions!$B$11,B2126&gt;=Assumptions!$B$12),"No Irrigation Needed","Monitor"))</f>
        <v>Monitor</v>
      </c>
      <c r="O2126" s="6" t="n">
        <f aca="false">IF(N2126=G2126,1,0)</f>
        <v>1</v>
      </c>
    </row>
    <row r="2127" customFormat="false" ht="15" hidden="false" customHeight="false" outlineLevel="0" collapsed="false">
      <c r="A2127" s="16" t="n">
        <v>24.53460016</v>
      </c>
      <c r="B2127" s="16" t="n">
        <v>180.5059257</v>
      </c>
      <c r="C2127" s="16" t="n">
        <v>29.2050154101134</v>
      </c>
      <c r="D2127" s="6" t="s">
        <v>57</v>
      </c>
      <c r="E2127" s="6" t="s">
        <v>24</v>
      </c>
      <c r="F2127" s="6" t="s">
        <v>23</v>
      </c>
      <c r="G2127" s="6" t="s">
        <v>58</v>
      </c>
      <c r="H2127" s="6" t="s">
        <v>59</v>
      </c>
      <c r="I2127" s="6" t="str">
        <f aca="false">IF(A2127&lt;Outliers!$E$6,"Low",IF(A2127&gt;Outliers!$F$6,"High",""))</f>
        <v/>
      </c>
      <c r="J2127" s="6" t="str">
        <f aca="false">IF(B2127&lt;Outliers!$E$7,"Low",IF(B2127&gt;Outliers!$F$7,"High",""))</f>
        <v/>
      </c>
      <c r="K2127" s="6" t="str">
        <f aca="false">IF(C2127&lt;Outliers!$E$8,"Low",IF(C2127&gt;Outliers!$F$8,"High",""))</f>
        <v/>
      </c>
      <c r="L2127" s="6" t="str">
        <f aca="false">A2127&amp;";"&amp;B2127&amp;";"&amp;C2127</f>
        <v>24.53460016;180.5059257;29.2050154101134</v>
      </c>
      <c r="M2127" s="6" t="n">
        <f aca="false">IF(COUNTIF($L$2:$L$2201,L2127)&gt;1,1,0)</f>
        <v>0</v>
      </c>
      <c r="N2127" s="6" t="str">
        <f aca="false">IF(AND(C2127&lt;Assumptions!$B$9,B2127&lt;Assumptions!$B$10),"Irrigate Now",IF(AND(C2127&gt;=Assumptions!$B$11,B2127&gt;=Assumptions!$B$12),"No Irrigation Needed","Monitor"))</f>
        <v>No Irrigation Needed</v>
      </c>
      <c r="O2127" s="6" t="n">
        <f aca="false">IF(N2127=G2127,1,0)</f>
        <v>1</v>
      </c>
    </row>
    <row r="2128" customFormat="false" ht="15" hidden="false" customHeight="false" outlineLevel="0" collapsed="false">
      <c r="A2128" s="16" t="n">
        <v>27.13140403</v>
      </c>
      <c r="B2128" s="16" t="n">
        <v>192.4280381</v>
      </c>
      <c r="C2128" s="16" t="n">
        <v>17.6181013164138</v>
      </c>
      <c r="D2128" s="6" t="s">
        <v>57</v>
      </c>
      <c r="E2128" s="6" t="s">
        <v>24</v>
      </c>
      <c r="F2128" s="6" t="s">
        <v>60</v>
      </c>
      <c r="G2128" s="6" t="s">
        <v>61</v>
      </c>
      <c r="H2128" s="6" t="s">
        <v>62</v>
      </c>
      <c r="I2128" s="6" t="str">
        <f aca="false">IF(A2128&lt;Outliers!$E$6,"Low",IF(A2128&gt;Outliers!$F$6,"High",""))</f>
        <v/>
      </c>
      <c r="J2128" s="6" t="str">
        <f aca="false">IF(B2128&lt;Outliers!$E$7,"Low",IF(B2128&gt;Outliers!$F$7,"High",""))</f>
        <v/>
      </c>
      <c r="K2128" s="6" t="str">
        <f aca="false">IF(C2128&lt;Outliers!$E$8,"Low",IF(C2128&gt;Outliers!$F$8,"High",""))</f>
        <v/>
      </c>
      <c r="L2128" s="6" t="str">
        <f aca="false">A2128&amp;";"&amp;B2128&amp;";"&amp;C2128</f>
        <v>27.13140403;192.4280381;17.6181013164138</v>
      </c>
      <c r="M2128" s="6" t="n">
        <f aca="false">IF(COUNTIF($L$2:$L$2201,L2128)&gt;1,1,0)</f>
        <v>0</v>
      </c>
      <c r="N2128" s="6" t="str">
        <f aca="false">IF(AND(C2128&lt;Assumptions!$B$9,B2128&lt;Assumptions!$B$10),"Irrigate Now",IF(AND(C2128&gt;=Assumptions!$B$11,B2128&gt;=Assumptions!$B$12),"No Irrigation Needed","Monitor"))</f>
        <v>Monitor</v>
      </c>
      <c r="O2128" s="6" t="n">
        <f aca="false">IF(N2128=G2128,1,0)</f>
        <v>1</v>
      </c>
    </row>
    <row r="2129" customFormat="false" ht="15" hidden="false" customHeight="false" outlineLevel="0" collapsed="false">
      <c r="A2129" s="16" t="n">
        <v>27.56088634</v>
      </c>
      <c r="B2129" s="16" t="n">
        <v>167.4358075</v>
      </c>
      <c r="C2129" s="16" t="n">
        <v>17.4741985705138</v>
      </c>
      <c r="D2129" s="6" t="s">
        <v>57</v>
      </c>
      <c r="E2129" s="6" t="s">
        <v>24</v>
      </c>
      <c r="F2129" s="6" t="s">
        <v>60</v>
      </c>
      <c r="G2129" s="6" t="s">
        <v>61</v>
      </c>
      <c r="H2129" s="6" t="s">
        <v>62</v>
      </c>
      <c r="I2129" s="6" t="str">
        <f aca="false">IF(A2129&lt;Outliers!$E$6,"Low",IF(A2129&gt;Outliers!$F$6,"High",""))</f>
        <v/>
      </c>
      <c r="J2129" s="6" t="str">
        <f aca="false">IF(B2129&lt;Outliers!$E$7,"Low",IF(B2129&gt;Outliers!$F$7,"High",""))</f>
        <v/>
      </c>
      <c r="K2129" s="6" t="str">
        <f aca="false">IF(C2129&lt;Outliers!$E$8,"Low",IF(C2129&gt;Outliers!$F$8,"High",""))</f>
        <v/>
      </c>
      <c r="L2129" s="6" t="str">
        <f aca="false">A2129&amp;";"&amp;B2129&amp;";"&amp;C2129</f>
        <v>27.56088634;167.4358075;17.4741985705138</v>
      </c>
      <c r="M2129" s="6" t="n">
        <f aca="false">IF(COUNTIF($L$2:$L$2201,L2129)&gt;1,1,0)</f>
        <v>0</v>
      </c>
      <c r="N2129" s="6" t="str">
        <f aca="false">IF(AND(C2129&lt;Assumptions!$B$9,B2129&lt;Assumptions!$B$10),"Irrigate Now",IF(AND(C2129&gt;=Assumptions!$B$11,B2129&gt;=Assumptions!$B$12),"No Irrigation Needed","Monitor"))</f>
        <v>Monitor</v>
      </c>
      <c r="O2129" s="6" t="n">
        <f aca="false">IF(N2129=G2129,1,0)</f>
        <v>1</v>
      </c>
    </row>
    <row r="2130" customFormat="false" ht="15" hidden="false" customHeight="false" outlineLevel="0" collapsed="false">
      <c r="A2130" s="16" t="n">
        <v>23.59302313</v>
      </c>
      <c r="B2130" s="16" t="n">
        <v>191.3980675</v>
      </c>
      <c r="C2130" s="16" t="n">
        <v>27.9154037774538</v>
      </c>
      <c r="D2130" s="6" t="s">
        <v>57</v>
      </c>
      <c r="E2130" s="6" t="s">
        <v>24</v>
      </c>
      <c r="F2130" s="6" t="s">
        <v>23</v>
      </c>
      <c r="G2130" s="6" t="s">
        <v>58</v>
      </c>
      <c r="H2130" s="6" t="s">
        <v>59</v>
      </c>
      <c r="I2130" s="6" t="str">
        <f aca="false">IF(A2130&lt;Outliers!$E$6,"Low",IF(A2130&gt;Outliers!$F$6,"High",""))</f>
        <v/>
      </c>
      <c r="J2130" s="6" t="str">
        <f aca="false">IF(B2130&lt;Outliers!$E$7,"Low",IF(B2130&gt;Outliers!$F$7,"High",""))</f>
        <v/>
      </c>
      <c r="K2130" s="6" t="str">
        <f aca="false">IF(C2130&lt;Outliers!$E$8,"Low",IF(C2130&gt;Outliers!$F$8,"High",""))</f>
        <v/>
      </c>
      <c r="L2130" s="6" t="str">
        <f aca="false">A2130&amp;";"&amp;B2130&amp;";"&amp;C2130</f>
        <v>23.59302313;191.3980675;27.9154037774538</v>
      </c>
      <c r="M2130" s="6" t="n">
        <f aca="false">IF(COUNTIF($L$2:$L$2201,L2130)&gt;1,1,0)</f>
        <v>0</v>
      </c>
      <c r="N2130" s="6" t="str">
        <f aca="false">IF(AND(C2130&lt;Assumptions!$B$9,B2130&lt;Assumptions!$B$10),"Irrigate Now",IF(AND(C2130&gt;=Assumptions!$B$11,B2130&gt;=Assumptions!$B$12),"No Irrigation Needed","Monitor"))</f>
        <v>No Irrigation Needed</v>
      </c>
      <c r="O2130" s="6" t="n">
        <f aca="false">IF(N2130=G2130,1,0)</f>
        <v>1</v>
      </c>
    </row>
    <row r="2131" customFormat="false" ht="15" hidden="false" customHeight="false" outlineLevel="0" collapsed="false">
      <c r="A2131" s="16" t="n">
        <v>23.17714381</v>
      </c>
      <c r="B2131" s="16" t="n">
        <v>117.3113562</v>
      </c>
      <c r="C2131" s="16" t="n">
        <v>18.6984520078106</v>
      </c>
      <c r="D2131" s="6" t="s">
        <v>57</v>
      </c>
      <c r="E2131" s="6" t="s">
        <v>57</v>
      </c>
      <c r="F2131" s="6" t="s">
        <v>60</v>
      </c>
      <c r="G2131" s="6" t="s">
        <v>61</v>
      </c>
      <c r="H2131" s="6" t="s">
        <v>63</v>
      </c>
      <c r="I2131" s="6" t="str">
        <f aca="false">IF(A2131&lt;Outliers!$E$6,"Low",IF(A2131&gt;Outliers!$F$6,"High",""))</f>
        <v/>
      </c>
      <c r="J2131" s="6" t="str">
        <f aca="false">IF(B2131&lt;Outliers!$E$7,"Low",IF(B2131&gt;Outliers!$F$7,"High",""))</f>
        <v/>
      </c>
      <c r="K2131" s="6" t="str">
        <f aca="false">IF(C2131&lt;Outliers!$E$8,"Low",IF(C2131&gt;Outliers!$F$8,"High",""))</f>
        <v/>
      </c>
      <c r="L2131" s="6" t="str">
        <f aca="false">A2131&amp;";"&amp;B2131&amp;";"&amp;C2131</f>
        <v>23.17714381;117.3113562;18.6984520078106</v>
      </c>
      <c r="M2131" s="6" t="n">
        <f aca="false">IF(COUNTIF($L$2:$L$2201,L2131)&gt;1,1,0)</f>
        <v>0</v>
      </c>
      <c r="N2131" s="6" t="str">
        <f aca="false">IF(AND(C2131&lt;Assumptions!$B$9,B2131&lt;Assumptions!$B$10),"Irrigate Now",IF(AND(C2131&gt;=Assumptions!$B$11,B2131&gt;=Assumptions!$B$12),"No Irrigation Needed","Monitor"))</f>
        <v>Monitor</v>
      </c>
      <c r="O2131" s="6" t="n">
        <f aca="false">IF(N2131=G2131,1,0)</f>
        <v>1</v>
      </c>
    </row>
    <row r="2132" customFormat="false" ht="15" hidden="false" customHeight="false" outlineLevel="0" collapsed="false">
      <c r="A2132" s="16" t="n">
        <v>24.71384065</v>
      </c>
      <c r="B2132" s="16" t="n">
        <v>197.6439711</v>
      </c>
      <c r="C2132" s="16" t="n">
        <v>17.6919162921374</v>
      </c>
      <c r="D2132" s="6" t="s">
        <v>57</v>
      </c>
      <c r="E2132" s="6" t="s">
        <v>24</v>
      </c>
      <c r="F2132" s="6" t="s">
        <v>60</v>
      </c>
      <c r="G2132" s="6" t="s">
        <v>61</v>
      </c>
      <c r="H2132" s="6" t="s">
        <v>62</v>
      </c>
      <c r="I2132" s="6" t="str">
        <f aca="false">IF(A2132&lt;Outliers!$E$6,"Low",IF(A2132&gt;Outliers!$F$6,"High",""))</f>
        <v/>
      </c>
      <c r="J2132" s="6" t="str">
        <f aca="false">IF(B2132&lt;Outliers!$E$7,"Low",IF(B2132&gt;Outliers!$F$7,"High",""))</f>
        <v/>
      </c>
      <c r="K2132" s="6" t="str">
        <f aca="false">IF(C2132&lt;Outliers!$E$8,"Low",IF(C2132&gt;Outliers!$F$8,"High",""))</f>
        <v/>
      </c>
      <c r="L2132" s="6" t="str">
        <f aca="false">A2132&amp;";"&amp;B2132&amp;";"&amp;C2132</f>
        <v>24.71384065;197.6439711;17.6919162921374</v>
      </c>
      <c r="M2132" s="6" t="n">
        <f aca="false">IF(COUNTIF($L$2:$L$2201,L2132)&gt;1,1,0)</f>
        <v>0</v>
      </c>
      <c r="N2132" s="6" t="str">
        <f aca="false">IF(AND(C2132&lt;Assumptions!$B$9,B2132&lt;Assumptions!$B$10),"Irrigate Now",IF(AND(C2132&gt;=Assumptions!$B$11,B2132&gt;=Assumptions!$B$12),"No Irrigation Needed","Monitor"))</f>
        <v>Monitor</v>
      </c>
      <c r="O2132" s="6" t="n">
        <f aca="false">IF(N2132=G2132,1,0)</f>
        <v>1</v>
      </c>
    </row>
    <row r="2133" customFormat="false" ht="15" hidden="false" customHeight="false" outlineLevel="0" collapsed="false">
      <c r="A2133" s="16" t="n">
        <v>24.38534644</v>
      </c>
      <c r="B2133" s="16" t="n">
        <v>119.6324109</v>
      </c>
      <c r="C2133" s="16" t="n">
        <v>26.0186408372024</v>
      </c>
      <c r="D2133" s="6" t="s">
        <v>57</v>
      </c>
      <c r="E2133" s="6" t="s">
        <v>57</v>
      </c>
      <c r="F2133" s="6" t="s">
        <v>23</v>
      </c>
      <c r="G2133" s="6" t="s">
        <v>58</v>
      </c>
      <c r="H2133" s="6" t="s">
        <v>59</v>
      </c>
      <c r="I2133" s="6" t="str">
        <f aca="false">IF(A2133&lt;Outliers!$E$6,"Low",IF(A2133&gt;Outliers!$F$6,"High",""))</f>
        <v/>
      </c>
      <c r="J2133" s="6" t="str">
        <f aca="false">IF(B2133&lt;Outliers!$E$7,"Low",IF(B2133&gt;Outliers!$F$7,"High",""))</f>
        <v/>
      </c>
      <c r="K2133" s="6" t="str">
        <f aca="false">IF(C2133&lt;Outliers!$E$8,"Low",IF(C2133&gt;Outliers!$F$8,"High",""))</f>
        <v/>
      </c>
      <c r="L2133" s="6" t="str">
        <f aca="false">A2133&amp;";"&amp;B2133&amp;";"&amp;C2133</f>
        <v>24.38534644;119.6324109;26.0186408372024</v>
      </c>
      <c r="M2133" s="6" t="n">
        <f aca="false">IF(COUNTIF($L$2:$L$2201,L2133)&gt;1,1,0)</f>
        <v>0</v>
      </c>
      <c r="N2133" s="6" t="str">
        <f aca="false">IF(AND(C2133&lt;Assumptions!$B$9,B2133&lt;Assumptions!$B$10),"Irrigate Now",IF(AND(C2133&gt;=Assumptions!$B$11,B2133&gt;=Assumptions!$B$12),"No Irrigation Needed","Monitor"))</f>
        <v>No Irrigation Needed</v>
      </c>
      <c r="O2133" s="6" t="n">
        <f aca="false">IF(N2133=G2133,1,0)</f>
        <v>1</v>
      </c>
    </row>
    <row r="2134" customFormat="false" ht="15" hidden="false" customHeight="false" outlineLevel="0" collapsed="false">
      <c r="A2134" s="16" t="n">
        <v>27.15998538</v>
      </c>
      <c r="B2134" s="16" t="n">
        <v>126.1752206</v>
      </c>
      <c r="C2134" s="16" t="n">
        <v>19.8178193512067</v>
      </c>
      <c r="D2134" s="6" t="s">
        <v>57</v>
      </c>
      <c r="E2134" s="6" t="s">
        <v>57</v>
      </c>
      <c r="F2134" s="6" t="s">
        <v>60</v>
      </c>
      <c r="G2134" s="6" t="s">
        <v>61</v>
      </c>
      <c r="H2134" s="6" t="s">
        <v>63</v>
      </c>
      <c r="I2134" s="6" t="str">
        <f aca="false">IF(A2134&lt;Outliers!$E$6,"Low",IF(A2134&gt;Outliers!$F$6,"High",""))</f>
        <v/>
      </c>
      <c r="J2134" s="6" t="str">
        <f aca="false">IF(B2134&lt;Outliers!$E$7,"Low",IF(B2134&gt;Outliers!$F$7,"High",""))</f>
        <v/>
      </c>
      <c r="K2134" s="6" t="str">
        <f aca="false">IF(C2134&lt;Outliers!$E$8,"Low",IF(C2134&gt;Outliers!$F$8,"High",""))</f>
        <v/>
      </c>
      <c r="L2134" s="6" t="str">
        <f aca="false">A2134&amp;";"&amp;B2134&amp;";"&amp;C2134</f>
        <v>27.15998538;126.1752206;19.8178193512067</v>
      </c>
      <c r="M2134" s="6" t="n">
        <f aca="false">IF(COUNTIF($L$2:$L$2201,L2134)&gt;1,1,0)</f>
        <v>0</v>
      </c>
      <c r="N2134" s="6" t="str">
        <f aca="false">IF(AND(C2134&lt;Assumptions!$B$9,B2134&lt;Assumptions!$B$10),"Irrigate Now",IF(AND(C2134&gt;=Assumptions!$B$11,B2134&gt;=Assumptions!$B$12),"No Irrigation Needed","Monitor"))</f>
        <v>Monitor</v>
      </c>
      <c r="O2134" s="6" t="n">
        <f aca="false">IF(N2134=G2134,1,0)</f>
        <v>1</v>
      </c>
    </row>
    <row r="2135" customFormat="false" ht="15" hidden="false" customHeight="false" outlineLevel="0" collapsed="false">
      <c r="A2135" s="16" t="n">
        <v>26.53543168</v>
      </c>
      <c r="B2135" s="16" t="n">
        <v>120.6494434</v>
      </c>
      <c r="C2135" s="16" t="n">
        <v>28.9551318763802</v>
      </c>
      <c r="D2135" s="6" t="s">
        <v>57</v>
      </c>
      <c r="E2135" s="6" t="s">
        <v>57</v>
      </c>
      <c r="F2135" s="6" t="s">
        <v>23</v>
      </c>
      <c r="G2135" s="6" t="s">
        <v>58</v>
      </c>
      <c r="H2135" s="6" t="s">
        <v>59</v>
      </c>
      <c r="I2135" s="6" t="str">
        <f aca="false">IF(A2135&lt;Outliers!$E$6,"Low",IF(A2135&gt;Outliers!$F$6,"High",""))</f>
        <v/>
      </c>
      <c r="J2135" s="6" t="str">
        <f aca="false">IF(B2135&lt;Outliers!$E$7,"Low",IF(B2135&gt;Outliers!$F$7,"High",""))</f>
        <v/>
      </c>
      <c r="K2135" s="6" t="str">
        <f aca="false">IF(C2135&lt;Outliers!$E$8,"Low",IF(C2135&gt;Outliers!$F$8,"High",""))</f>
        <v/>
      </c>
      <c r="L2135" s="6" t="str">
        <f aca="false">A2135&amp;";"&amp;B2135&amp;";"&amp;C2135</f>
        <v>26.53543168;120.6494434;28.9551318763802</v>
      </c>
      <c r="M2135" s="6" t="n">
        <f aca="false">IF(COUNTIF($L$2:$L$2201,L2135)&gt;1,1,0)</f>
        <v>0</v>
      </c>
      <c r="N2135" s="6" t="str">
        <f aca="false">IF(AND(C2135&lt;Assumptions!$B$9,B2135&lt;Assumptions!$B$10),"Irrigate Now",IF(AND(C2135&gt;=Assumptions!$B$11,B2135&gt;=Assumptions!$B$12),"No Irrigation Needed","Monitor"))</f>
        <v>No Irrigation Needed</v>
      </c>
      <c r="O2135" s="6" t="n">
        <f aca="false">IF(N2135=G2135,1,0)</f>
        <v>1</v>
      </c>
    </row>
    <row r="2136" customFormat="false" ht="15" hidden="false" customHeight="false" outlineLevel="0" collapsed="false">
      <c r="A2136" s="16" t="n">
        <v>27.01207284</v>
      </c>
      <c r="B2136" s="16" t="n">
        <v>191.4508931</v>
      </c>
      <c r="C2136" s="16" t="n">
        <v>10.888763363026</v>
      </c>
      <c r="D2136" s="6" t="s">
        <v>57</v>
      </c>
      <c r="E2136" s="6" t="s">
        <v>24</v>
      </c>
      <c r="F2136" s="6" t="s">
        <v>24</v>
      </c>
      <c r="G2136" s="6" t="s">
        <v>61</v>
      </c>
      <c r="H2136" s="6" t="s">
        <v>62</v>
      </c>
      <c r="I2136" s="6" t="str">
        <f aca="false">IF(A2136&lt;Outliers!$E$6,"Low",IF(A2136&gt;Outliers!$F$6,"High",""))</f>
        <v/>
      </c>
      <c r="J2136" s="6" t="str">
        <f aca="false">IF(B2136&lt;Outliers!$E$7,"Low",IF(B2136&gt;Outliers!$F$7,"High",""))</f>
        <v/>
      </c>
      <c r="K2136" s="6" t="str">
        <f aca="false">IF(C2136&lt;Outliers!$E$8,"Low",IF(C2136&gt;Outliers!$F$8,"High",""))</f>
        <v/>
      </c>
      <c r="L2136" s="6" t="str">
        <f aca="false">A2136&amp;";"&amp;B2136&amp;";"&amp;C2136</f>
        <v>27.01207284;191.4508931;10.888763363026</v>
      </c>
      <c r="M2136" s="6" t="n">
        <f aca="false">IF(COUNTIF($L$2:$L$2201,L2136)&gt;1,1,0)</f>
        <v>0</v>
      </c>
      <c r="N2136" s="6" t="str">
        <f aca="false">IF(AND(C2136&lt;Assumptions!$B$9,B2136&lt;Assumptions!$B$10),"Irrigate Now",IF(AND(C2136&gt;=Assumptions!$B$11,B2136&gt;=Assumptions!$B$12),"No Irrigation Needed","Monitor"))</f>
        <v>Monitor</v>
      </c>
      <c r="O2136" s="6" t="n">
        <f aca="false">IF(N2136=G2136,1,0)</f>
        <v>1</v>
      </c>
    </row>
    <row r="2137" customFormat="false" ht="15" hidden="false" customHeight="false" outlineLevel="0" collapsed="false">
      <c r="A2137" s="16" t="n">
        <v>27.55906475</v>
      </c>
      <c r="B2137" s="16" t="n">
        <v>117.9389993</v>
      </c>
      <c r="C2137" s="16" t="n">
        <v>23.3358473248319</v>
      </c>
      <c r="D2137" s="6" t="s">
        <v>57</v>
      </c>
      <c r="E2137" s="6" t="s">
        <v>57</v>
      </c>
      <c r="F2137" s="6" t="s">
        <v>23</v>
      </c>
      <c r="G2137" s="6" t="s">
        <v>61</v>
      </c>
      <c r="H2137" s="6" t="s">
        <v>63</v>
      </c>
      <c r="I2137" s="6" t="str">
        <f aca="false">IF(A2137&lt;Outliers!$E$6,"Low",IF(A2137&gt;Outliers!$F$6,"High",""))</f>
        <v/>
      </c>
      <c r="J2137" s="6" t="str">
        <f aca="false">IF(B2137&lt;Outliers!$E$7,"Low",IF(B2137&gt;Outliers!$F$7,"High",""))</f>
        <v/>
      </c>
      <c r="K2137" s="6" t="str">
        <f aca="false">IF(C2137&lt;Outliers!$E$8,"Low",IF(C2137&gt;Outliers!$F$8,"High",""))</f>
        <v/>
      </c>
      <c r="L2137" s="6" t="str">
        <f aca="false">A2137&amp;";"&amp;B2137&amp;";"&amp;C2137</f>
        <v>27.55906475;117.9389993;23.3358473248319</v>
      </c>
      <c r="M2137" s="6" t="n">
        <f aca="false">IF(COUNTIF($L$2:$L$2201,L2137)&gt;1,1,0)</f>
        <v>0</v>
      </c>
      <c r="N2137" s="6" t="str">
        <f aca="false">IF(AND(C2137&lt;Assumptions!$B$9,B2137&lt;Assumptions!$B$10),"Irrigate Now",IF(AND(C2137&gt;=Assumptions!$B$11,B2137&gt;=Assumptions!$B$12),"No Irrigation Needed","Monitor"))</f>
        <v>Monitor</v>
      </c>
      <c r="O2137" s="6" t="n">
        <f aca="false">IF(N2137=G2137,1,0)</f>
        <v>1</v>
      </c>
    </row>
    <row r="2138" customFormat="false" ht="15" hidden="false" customHeight="false" outlineLevel="0" collapsed="false">
      <c r="A2138" s="16" t="n">
        <v>23.32293161</v>
      </c>
      <c r="B2138" s="16" t="n">
        <v>168.2644287</v>
      </c>
      <c r="C2138" s="16" t="n">
        <v>12.4610346442352</v>
      </c>
      <c r="D2138" s="6" t="s">
        <v>57</v>
      </c>
      <c r="E2138" s="6" t="s">
        <v>24</v>
      </c>
      <c r="F2138" s="6" t="s">
        <v>24</v>
      </c>
      <c r="G2138" s="6" t="s">
        <v>61</v>
      </c>
      <c r="H2138" s="6" t="s">
        <v>62</v>
      </c>
      <c r="I2138" s="6" t="str">
        <f aca="false">IF(A2138&lt;Outliers!$E$6,"Low",IF(A2138&gt;Outliers!$F$6,"High",""))</f>
        <v/>
      </c>
      <c r="J2138" s="6" t="str">
        <f aca="false">IF(B2138&lt;Outliers!$E$7,"Low",IF(B2138&gt;Outliers!$F$7,"High",""))</f>
        <v/>
      </c>
      <c r="K2138" s="6" t="str">
        <f aca="false">IF(C2138&lt;Outliers!$E$8,"Low",IF(C2138&gt;Outliers!$F$8,"High",""))</f>
        <v/>
      </c>
      <c r="L2138" s="6" t="str">
        <f aca="false">A2138&amp;";"&amp;B2138&amp;";"&amp;C2138</f>
        <v>23.32293161;168.2644287;12.4610346442352</v>
      </c>
      <c r="M2138" s="6" t="n">
        <f aca="false">IF(COUNTIF($L$2:$L$2201,L2138)&gt;1,1,0)</f>
        <v>0</v>
      </c>
      <c r="N2138" s="6" t="str">
        <f aca="false">IF(AND(C2138&lt;Assumptions!$B$9,B2138&lt;Assumptions!$B$10),"Irrigate Now",IF(AND(C2138&gt;=Assumptions!$B$11,B2138&gt;=Assumptions!$B$12),"No Irrigation Needed","Monitor"))</f>
        <v>Monitor</v>
      </c>
      <c r="O2138" s="6" t="n">
        <f aca="false">IF(N2138=G2138,1,0)</f>
        <v>1</v>
      </c>
    </row>
    <row r="2139" customFormat="false" ht="15" hidden="false" customHeight="false" outlineLevel="0" collapsed="false">
      <c r="A2139" s="16" t="n">
        <v>24.23850608</v>
      </c>
      <c r="B2139" s="16" t="n">
        <v>115.1564012</v>
      </c>
      <c r="C2139" s="16" t="n">
        <v>18.5620321541561</v>
      </c>
      <c r="D2139" s="6" t="s">
        <v>57</v>
      </c>
      <c r="E2139" s="6" t="s">
        <v>57</v>
      </c>
      <c r="F2139" s="6" t="s">
        <v>60</v>
      </c>
      <c r="G2139" s="6" t="s">
        <v>61</v>
      </c>
      <c r="H2139" s="6" t="s">
        <v>63</v>
      </c>
      <c r="I2139" s="6" t="str">
        <f aca="false">IF(A2139&lt;Outliers!$E$6,"Low",IF(A2139&gt;Outliers!$F$6,"High",""))</f>
        <v/>
      </c>
      <c r="J2139" s="6" t="str">
        <f aca="false">IF(B2139&lt;Outliers!$E$7,"Low",IF(B2139&gt;Outliers!$F$7,"High",""))</f>
        <v/>
      </c>
      <c r="K2139" s="6" t="str">
        <f aca="false">IF(C2139&lt;Outliers!$E$8,"Low",IF(C2139&gt;Outliers!$F$8,"High",""))</f>
        <v/>
      </c>
      <c r="L2139" s="6" t="str">
        <f aca="false">A2139&amp;";"&amp;B2139&amp;";"&amp;C2139</f>
        <v>24.23850608;115.1564012;18.5620321541561</v>
      </c>
      <c r="M2139" s="6" t="n">
        <f aca="false">IF(COUNTIF($L$2:$L$2201,L2139)&gt;1,1,0)</f>
        <v>0</v>
      </c>
      <c r="N2139" s="6" t="str">
        <f aca="false">IF(AND(C2139&lt;Assumptions!$B$9,B2139&lt;Assumptions!$B$10),"Irrigate Now",IF(AND(C2139&gt;=Assumptions!$B$11,B2139&gt;=Assumptions!$B$12),"No Irrigation Needed","Monitor"))</f>
        <v>Monitor</v>
      </c>
      <c r="O2139" s="6" t="n">
        <f aca="false">IF(N2139=G2139,1,0)</f>
        <v>1</v>
      </c>
    </row>
    <row r="2140" customFormat="false" ht="15" hidden="false" customHeight="false" outlineLevel="0" collapsed="false">
      <c r="A2140" s="16" t="n">
        <v>23.42611644</v>
      </c>
      <c r="B2140" s="16" t="n">
        <v>122.6847408</v>
      </c>
      <c r="C2140" s="16" t="n">
        <v>19.8044194494489</v>
      </c>
      <c r="D2140" s="6" t="s">
        <v>57</v>
      </c>
      <c r="E2140" s="6" t="s">
        <v>57</v>
      </c>
      <c r="F2140" s="6" t="s">
        <v>60</v>
      </c>
      <c r="G2140" s="6" t="s">
        <v>61</v>
      </c>
      <c r="H2140" s="6" t="s">
        <v>63</v>
      </c>
      <c r="I2140" s="6" t="str">
        <f aca="false">IF(A2140&lt;Outliers!$E$6,"Low",IF(A2140&gt;Outliers!$F$6,"High",""))</f>
        <v/>
      </c>
      <c r="J2140" s="6" t="str">
        <f aca="false">IF(B2140&lt;Outliers!$E$7,"Low",IF(B2140&gt;Outliers!$F$7,"High",""))</f>
        <v/>
      </c>
      <c r="K2140" s="6" t="str">
        <f aca="false">IF(C2140&lt;Outliers!$E$8,"Low",IF(C2140&gt;Outliers!$F$8,"High",""))</f>
        <v/>
      </c>
      <c r="L2140" s="6" t="str">
        <f aca="false">A2140&amp;";"&amp;B2140&amp;";"&amp;C2140</f>
        <v>23.42611644;122.6847408;19.8044194494489</v>
      </c>
      <c r="M2140" s="6" t="n">
        <f aca="false">IF(COUNTIF($L$2:$L$2201,L2140)&gt;1,1,0)</f>
        <v>0</v>
      </c>
      <c r="N2140" s="6" t="str">
        <f aca="false">IF(AND(C2140&lt;Assumptions!$B$9,B2140&lt;Assumptions!$B$10),"Irrigate Now",IF(AND(C2140&gt;=Assumptions!$B$11,B2140&gt;=Assumptions!$B$12),"No Irrigation Needed","Monitor"))</f>
        <v>Monitor</v>
      </c>
      <c r="O2140" s="6" t="n">
        <f aca="false">IF(N2140=G2140,1,0)</f>
        <v>1</v>
      </c>
    </row>
    <row r="2141" customFormat="false" ht="15" hidden="false" customHeight="false" outlineLevel="0" collapsed="false">
      <c r="A2141" s="16" t="n">
        <v>26.02241444</v>
      </c>
      <c r="B2141" s="16" t="n">
        <v>176.9020924</v>
      </c>
      <c r="C2141" s="16" t="n">
        <v>18.4656417180854</v>
      </c>
      <c r="D2141" s="6" t="s">
        <v>57</v>
      </c>
      <c r="E2141" s="6" t="s">
        <v>24</v>
      </c>
      <c r="F2141" s="6" t="s">
        <v>60</v>
      </c>
      <c r="G2141" s="6" t="s">
        <v>61</v>
      </c>
      <c r="H2141" s="6" t="s">
        <v>62</v>
      </c>
      <c r="I2141" s="6" t="str">
        <f aca="false">IF(A2141&lt;Outliers!$E$6,"Low",IF(A2141&gt;Outliers!$F$6,"High",""))</f>
        <v/>
      </c>
      <c r="J2141" s="6" t="str">
        <f aca="false">IF(B2141&lt;Outliers!$E$7,"Low",IF(B2141&gt;Outliers!$F$7,"High",""))</f>
        <v/>
      </c>
      <c r="K2141" s="6" t="str">
        <f aca="false">IF(C2141&lt;Outliers!$E$8,"Low",IF(C2141&gt;Outliers!$F$8,"High",""))</f>
        <v/>
      </c>
      <c r="L2141" s="6" t="str">
        <f aca="false">A2141&amp;";"&amp;B2141&amp;";"&amp;C2141</f>
        <v>26.02241444;176.9020924;18.4656417180854</v>
      </c>
      <c r="M2141" s="6" t="n">
        <f aca="false">IF(COUNTIF($L$2:$L$2201,L2141)&gt;1,1,0)</f>
        <v>0</v>
      </c>
      <c r="N2141" s="6" t="str">
        <f aca="false">IF(AND(C2141&lt;Assumptions!$B$9,B2141&lt;Assumptions!$B$10),"Irrigate Now",IF(AND(C2141&gt;=Assumptions!$B$11,B2141&gt;=Assumptions!$B$12),"No Irrigation Needed","Monitor"))</f>
        <v>Monitor</v>
      </c>
      <c r="O2141" s="6" t="n">
        <f aca="false">IF(N2141=G2141,1,0)</f>
        <v>1</v>
      </c>
    </row>
    <row r="2142" customFormat="false" ht="15" hidden="false" customHeight="false" outlineLevel="0" collapsed="false">
      <c r="A2142" s="16" t="n">
        <v>24.83846178</v>
      </c>
      <c r="B2142" s="16" t="n">
        <v>124.4135035</v>
      </c>
      <c r="C2142" s="16" t="n">
        <v>13.9426800962997</v>
      </c>
      <c r="D2142" s="6" t="s">
        <v>57</v>
      </c>
      <c r="E2142" s="6" t="s">
        <v>57</v>
      </c>
      <c r="F2142" s="6" t="s">
        <v>24</v>
      </c>
      <c r="G2142" s="6" t="s">
        <v>61</v>
      </c>
      <c r="H2142" s="6" t="s">
        <v>63</v>
      </c>
      <c r="I2142" s="6" t="str">
        <f aca="false">IF(A2142&lt;Outliers!$E$6,"Low",IF(A2142&gt;Outliers!$F$6,"High",""))</f>
        <v/>
      </c>
      <c r="J2142" s="6" t="str">
        <f aca="false">IF(B2142&lt;Outliers!$E$7,"Low",IF(B2142&gt;Outliers!$F$7,"High",""))</f>
        <v/>
      </c>
      <c r="K2142" s="6" t="str">
        <f aca="false">IF(C2142&lt;Outliers!$E$8,"Low",IF(C2142&gt;Outliers!$F$8,"High",""))</f>
        <v/>
      </c>
      <c r="L2142" s="6" t="str">
        <f aca="false">A2142&amp;";"&amp;B2142&amp;";"&amp;C2142</f>
        <v>24.83846178;124.4135035;13.9426800962997</v>
      </c>
      <c r="M2142" s="6" t="n">
        <f aca="false">IF(COUNTIF($L$2:$L$2201,L2142)&gt;1,1,0)</f>
        <v>0</v>
      </c>
      <c r="N2142" s="6" t="str">
        <f aca="false">IF(AND(C2142&lt;Assumptions!$B$9,B2142&lt;Assumptions!$B$10),"Irrigate Now",IF(AND(C2142&gt;=Assumptions!$B$11,B2142&gt;=Assumptions!$B$12),"No Irrigation Needed","Monitor"))</f>
        <v>Monitor</v>
      </c>
      <c r="O2142" s="6" t="n">
        <f aca="false">IF(N2142=G2142,1,0)</f>
        <v>1</v>
      </c>
    </row>
    <row r="2143" customFormat="false" ht="15" hidden="false" customHeight="false" outlineLevel="0" collapsed="false">
      <c r="A2143" s="16" t="n">
        <v>26.24092174</v>
      </c>
      <c r="B2143" s="16" t="n">
        <v>148.3771202</v>
      </c>
      <c r="C2143" s="16" t="n">
        <v>17.7407764266038</v>
      </c>
      <c r="D2143" s="6" t="s">
        <v>57</v>
      </c>
      <c r="E2143" s="6" t="s">
        <v>57</v>
      </c>
      <c r="F2143" s="6" t="s">
        <v>60</v>
      </c>
      <c r="G2143" s="6" t="s">
        <v>61</v>
      </c>
      <c r="H2143" s="6" t="s">
        <v>63</v>
      </c>
      <c r="I2143" s="6" t="str">
        <f aca="false">IF(A2143&lt;Outliers!$E$6,"Low",IF(A2143&gt;Outliers!$F$6,"High",""))</f>
        <v/>
      </c>
      <c r="J2143" s="6" t="str">
        <f aca="false">IF(B2143&lt;Outliers!$E$7,"Low",IF(B2143&gt;Outliers!$F$7,"High",""))</f>
        <v/>
      </c>
      <c r="K2143" s="6" t="str">
        <f aca="false">IF(C2143&lt;Outliers!$E$8,"Low",IF(C2143&gt;Outliers!$F$8,"High",""))</f>
        <v/>
      </c>
      <c r="L2143" s="6" t="str">
        <f aca="false">A2143&amp;";"&amp;B2143&amp;";"&amp;C2143</f>
        <v>26.24092174;148.3771202;17.7407764266038</v>
      </c>
      <c r="M2143" s="6" t="n">
        <f aca="false">IF(COUNTIF($L$2:$L$2201,L2143)&gt;1,1,0)</f>
        <v>0</v>
      </c>
      <c r="N2143" s="6" t="str">
        <f aca="false">IF(AND(C2143&lt;Assumptions!$B$9,B2143&lt;Assumptions!$B$10),"Irrigate Now",IF(AND(C2143&gt;=Assumptions!$B$11,B2143&gt;=Assumptions!$B$12),"No Irrigation Needed","Monitor"))</f>
        <v>Monitor</v>
      </c>
      <c r="O2143" s="6" t="n">
        <f aca="false">IF(N2143=G2143,1,0)</f>
        <v>1</v>
      </c>
    </row>
    <row r="2144" customFormat="false" ht="15" hidden="false" customHeight="false" outlineLevel="0" collapsed="false">
      <c r="A2144" s="16" t="n">
        <v>24.43011925</v>
      </c>
      <c r="B2144" s="16" t="n">
        <v>181.6368274</v>
      </c>
      <c r="C2144" s="16" t="n">
        <v>26.4542422124975</v>
      </c>
      <c r="D2144" s="6" t="s">
        <v>57</v>
      </c>
      <c r="E2144" s="6" t="s">
        <v>24</v>
      </c>
      <c r="F2144" s="6" t="s">
        <v>23</v>
      </c>
      <c r="G2144" s="6" t="s">
        <v>58</v>
      </c>
      <c r="H2144" s="6" t="s">
        <v>59</v>
      </c>
      <c r="I2144" s="6" t="str">
        <f aca="false">IF(A2144&lt;Outliers!$E$6,"Low",IF(A2144&gt;Outliers!$F$6,"High",""))</f>
        <v/>
      </c>
      <c r="J2144" s="6" t="str">
        <f aca="false">IF(B2144&lt;Outliers!$E$7,"Low",IF(B2144&gt;Outliers!$F$7,"High",""))</f>
        <v/>
      </c>
      <c r="K2144" s="6" t="str">
        <f aca="false">IF(C2144&lt;Outliers!$E$8,"Low",IF(C2144&gt;Outliers!$F$8,"High",""))</f>
        <v/>
      </c>
      <c r="L2144" s="6" t="str">
        <f aca="false">A2144&amp;";"&amp;B2144&amp;";"&amp;C2144</f>
        <v>24.43011925;181.6368274;26.4542422124975</v>
      </c>
      <c r="M2144" s="6" t="n">
        <f aca="false">IF(COUNTIF($L$2:$L$2201,L2144)&gt;1,1,0)</f>
        <v>0</v>
      </c>
      <c r="N2144" s="6" t="str">
        <f aca="false">IF(AND(C2144&lt;Assumptions!$B$9,B2144&lt;Assumptions!$B$10),"Irrigate Now",IF(AND(C2144&gt;=Assumptions!$B$11,B2144&gt;=Assumptions!$B$12),"No Irrigation Needed","Monitor"))</f>
        <v>No Irrigation Needed</v>
      </c>
      <c r="O2144" s="6" t="n">
        <f aca="false">IF(N2144=G2144,1,0)</f>
        <v>1</v>
      </c>
    </row>
    <row r="2145" customFormat="false" ht="15" hidden="false" customHeight="false" outlineLevel="0" collapsed="false">
      <c r="A2145" s="16" t="n">
        <v>26.00373964</v>
      </c>
      <c r="B2145" s="16" t="n">
        <v>153.477776</v>
      </c>
      <c r="C2145" s="16" t="n">
        <v>13.8056977591043</v>
      </c>
      <c r="D2145" s="6" t="s">
        <v>57</v>
      </c>
      <c r="E2145" s="6" t="s">
        <v>24</v>
      </c>
      <c r="F2145" s="6" t="s">
        <v>24</v>
      </c>
      <c r="G2145" s="6" t="s">
        <v>61</v>
      </c>
      <c r="H2145" s="6" t="s">
        <v>62</v>
      </c>
      <c r="I2145" s="6" t="str">
        <f aca="false">IF(A2145&lt;Outliers!$E$6,"Low",IF(A2145&gt;Outliers!$F$6,"High",""))</f>
        <v/>
      </c>
      <c r="J2145" s="6" t="str">
        <f aca="false">IF(B2145&lt;Outliers!$E$7,"Low",IF(B2145&gt;Outliers!$F$7,"High",""))</f>
        <v/>
      </c>
      <c r="K2145" s="6" t="str">
        <f aca="false">IF(C2145&lt;Outliers!$E$8,"Low",IF(C2145&gt;Outliers!$F$8,"High",""))</f>
        <v/>
      </c>
      <c r="L2145" s="6" t="str">
        <f aca="false">A2145&amp;";"&amp;B2145&amp;";"&amp;C2145</f>
        <v>26.00373964;153.477776;13.8056977591043</v>
      </c>
      <c r="M2145" s="6" t="n">
        <f aca="false">IF(COUNTIF($L$2:$L$2201,L2145)&gt;1,1,0)</f>
        <v>0</v>
      </c>
      <c r="N2145" s="6" t="str">
        <f aca="false">IF(AND(C2145&lt;Assumptions!$B$9,B2145&lt;Assumptions!$B$10),"Irrigate Now",IF(AND(C2145&gt;=Assumptions!$B$11,B2145&gt;=Assumptions!$B$12),"No Irrigation Needed","Monitor"))</f>
        <v>Monitor</v>
      </c>
      <c r="O2145" s="6" t="n">
        <f aca="false">IF(N2145=G2145,1,0)</f>
        <v>1</v>
      </c>
    </row>
    <row r="2146" customFormat="false" ht="15" hidden="false" customHeight="false" outlineLevel="0" collapsed="false">
      <c r="A2146" s="16" t="n">
        <v>26.22367404</v>
      </c>
      <c r="B2146" s="16" t="n">
        <v>193.7461968</v>
      </c>
      <c r="C2146" s="16" t="n">
        <v>10.9873553110736</v>
      </c>
      <c r="D2146" s="6" t="s">
        <v>57</v>
      </c>
      <c r="E2146" s="6" t="s">
        <v>24</v>
      </c>
      <c r="F2146" s="6" t="s">
        <v>24</v>
      </c>
      <c r="G2146" s="6" t="s">
        <v>61</v>
      </c>
      <c r="H2146" s="6" t="s">
        <v>62</v>
      </c>
      <c r="I2146" s="6" t="str">
        <f aca="false">IF(A2146&lt;Outliers!$E$6,"Low",IF(A2146&gt;Outliers!$F$6,"High",""))</f>
        <v/>
      </c>
      <c r="J2146" s="6" t="str">
        <f aca="false">IF(B2146&lt;Outliers!$E$7,"Low",IF(B2146&gt;Outliers!$F$7,"High",""))</f>
        <v/>
      </c>
      <c r="K2146" s="6" t="str">
        <f aca="false">IF(C2146&lt;Outliers!$E$8,"Low",IF(C2146&gt;Outliers!$F$8,"High",""))</f>
        <v/>
      </c>
      <c r="L2146" s="6" t="str">
        <f aca="false">A2146&amp;";"&amp;B2146&amp;";"&amp;C2146</f>
        <v>26.22367404;193.7461968;10.9873553110736</v>
      </c>
      <c r="M2146" s="6" t="n">
        <f aca="false">IF(COUNTIF($L$2:$L$2201,L2146)&gt;1,1,0)</f>
        <v>0</v>
      </c>
      <c r="N2146" s="6" t="str">
        <f aca="false">IF(AND(C2146&lt;Assumptions!$B$9,B2146&lt;Assumptions!$B$10),"Irrigate Now",IF(AND(C2146&gt;=Assumptions!$B$11,B2146&gt;=Assumptions!$B$12),"No Irrigation Needed","Monitor"))</f>
        <v>Monitor</v>
      </c>
      <c r="O2146" s="6" t="n">
        <f aca="false">IF(N2146=G2146,1,0)</f>
        <v>1</v>
      </c>
    </row>
    <row r="2147" customFormat="false" ht="15" hidden="false" customHeight="false" outlineLevel="0" collapsed="false">
      <c r="A2147" s="16" t="n">
        <v>27.09617155</v>
      </c>
      <c r="B2147" s="16" t="n">
        <v>190.2440566</v>
      </c>
      <c r="C2147" s="16" t="n">
        <v>26.8667605830191</v>
      </c>
      <c r="D2147" s="6" t="s">
        <v>57</v>
      </c>
      <c r="E2147" s="6" t="s">
        <v>24</v>
      </c>
      <c r="F2147" s="6" t="s">
        <v>23</v>
      </c>
      <c r="G2147" s="6" t="s">
        <v>58</v>
      </c>
      <c r="H2147" s="6" t="s">
        <v>59</v>
      </c>
      <c r="I2147" s="6" t="str">
        <f aca="false">IF(A2147&lt;Outliers!$E$6,"Low",IF(A2147&gt;Outliers!$F$6,"High",""))</f>
        <v/>
      </c>
      <c r="J2147" s="6" t="str">
        <f aca="false">IF(B2147&lt;Outliers!$E$7,"Low",IF(B2147&gt;Outliers!$F$7,"High",""))</f>
        <v/>
      </c>
      <c r="K2147" s="6" t="str">
        <f aca="false">IF(C2147&lt;Outliers!$E$8,"Low",IF(C2147&gt;Outliers!$F$8,"High",""))</f>
        <v/>
      </c>
      <c r="L2147" s="6" t="str">
        <f aca="false">A2147&amp;";"&amp;B2147&amp;";"&amp;C2147</f>
        <v>27.09617155;190.2440566;26.8667605830191</v>
      </c>
      <c r="M2147" s="6" t="n">
        <f aca="false">IF(COUNTIF($L$2:$L$2201,L2147)&gt;1,1,0)</f>
        <v>0</v>
      </c>
      <c r="N2147" s="6" t="str">
        <f aca="false">IF(AND(C2147&lt;Assumptions!$B$9,B2147&lt;Assumptions!$B$10),"Irrigate Now",IF(AND(C2147&gt;=Assumptions!$B$11,B2147&gt;=Assumptions!$B$12),"No Irrigation Needed","Monitor"))</f>
        <v>No Irrigation Needed</v>
      </c>
      <c r="O2147" s="6" t="n">
        <f aca="false">IF(N2147=G2147,1,0)</f>
        <v>1</v>
      </c>
    </row>
    <row r="2148" customFormat="false" ht="15" hidden="false" customHeight="false" outlineLevel="0" collapsed="false">
      <c r="A2148" s="16" t="n">
        <v>25.64004392</v>
      </c>
      <c r="B2148" s="16" t="n">
        <v>199.4735636</v>
      </c>
      <c r="C2148" s="16" t="n">
        <v>14.9647460866055</v>
      </c>
      <c r="D2148" s="6" t="s">
        <v>57</v>
      </c>
      <c r="E2148" s="6" t="s">
        <v>24</v>
      </c>
      <c r="F2148" s="6" t="s">
        <v>60</v>
      </c>
      <c r="G2148" s="6" t="s">
        <v>61</v>
      </c>
      <c r="H2148" s="6" t="s">
        <v>62</v>
      </c>
      <c r="I2148" s="6" t="str">
        <f aca="false">IF(A2148&lt;Outliers!$E$6,"Low",IF(A2148&gt;Outliers!$F$6,"High",""))</f>
        <v/>
      </c>
      <c r="J2148" s="6" t="str">
        <f aca="false">IF(B2148&lt;Outliers!$E$7,"Low",IF(B2148&gt;Outliers!$F$7,"High",""))</f>
        <v/>
      </c>
      <c r="K2148" s="6" t="str">
        <f aca="false">IF(C2148&lt;Outliers!$E$8,"Low",IF(C2148&gt;Outliers!$F$8,"High",""))</f>
        <v/>
      </c>
      <c r="L2148" s="6" t="str">
        <f aca="false">A2148&amp;";"&amp;B2148&amp;";"&amp;C2148</f>
        <v>25.64004392;199.4735636;14.9647460866055</v>
      </c>
      <c r="M2148" s="6" t="n">
        <f aca="false">IF(COUNTIF($L$2:$L$2201,L2148)&gt;1,1,0)</f>
        <v>0</v>
      </c>
      <c r="N2148" s="6" t="str">
        <f aca="false">IF(AND(C2148&lt;Assumptions!$B$9,B2148&lt;Assumptions!$B$10),"Irrigate Now",IF(AND(C2148&gt;=Assumptions!$B$11,B2148&gt;=Assumptions!$B$12),"No Irrigation Needed","Monitor"))</f>
        <v>Monitor</v>
      </c>
      <c r="O2148" s="6" t="n">
        <f aca="false">IF(N2148=G2148,1,0)</f>
        <v>1</v>
      </c>
    </row>
    <row r="2149" customFormat="false" ht="15" hidden="false" customHeight="false" outlineLevel="0" collapsed="false">
      <c r="A2149" s="16" t="n">
        <v>27.74576987</v>
      </c>
      <c r="B2149" s="16" t="n">
        <v>139.8619431</v>
      </c>
      <c r="C2149" s="16" t="n">
        <v>18.2719433764681</v>
      </c>
      <c r="D2149" s="6" t="s">
        <v>57</v>
      </c>
      <c r="E2149" s="6" t="s">
        <v>57</v>
      </c>
      <c r="F2149" s="6" t="s">
        <v>60</v>
      </c>
      <c r="G2149" s="6" t="s">
        <v>61</v>
      </c>
      <c r="H2149" s="6" t="s">
        <v>63</v>
      </c>
      <c r="I2149" s="6" t="str">
        <f aca="false">IF(A2149&lt;Outliers!$E$6,"Low",IF(A2149&gt;Outliers!$F$6,"High",""))</f>
        <v/>
      </c>
      <c r="J2149" s="6" t="str">
        <f aca="false">IF(B2149&lt;Outliers!$E$7,"Low",IF(B2149&gt;Outliers!$F$7,"High",""))</f>
        <v/>
      </c>
      <c r="K2149" s="6" t="str">
        <f aca="false">IF(C2149&lt;Outliers!$E$8,"Low",IF(C2149&gt;Outliers!$F$8,"High",""))</f>
        <v/>
      </c>
      <c r="L2149" s="6" t="str">
        <f aca="false">A2149&amp;";"&amp;B2149&amp;";"&amp;C2149</f>
        <v>27.74576987;139.8619431;18.2719433764681</v>
      </c>
      <c r="M2149" s="6" t="n">
        <f aca="false">IF(COUNTIF($L$2:$L$2201,L2149)&gt;1,1,0)</f>
        <v>0</v>
      </c>
      <c r="N2149" s="6" t="str">
        <f aca="false">IF(AND(C2149&lt;Assumptions!$B$9,B2149&lt;Assumptions!$B$10),"Irrigate Now",IF(AND(C2149&gt;=Assumptions!$B$11,B2149&gt;=Assumptions!$B$12),"No Irrigation Needed","Monitor"))</f>
        <v>Monitor</v>
      </c>
      <c r="O2149" s="6" t="n">
        <f aca="false">IF(N2149=G2149,1,0)</f>
        <v>1</v>
      </c>
    </row>
    <row r="2150" customFormat="false" ht="15" hidden="false" customHeight="false" outlineLevel="0" collapsed="false">
      <c r="A2150" s="16" t="n">
        <v>26.24928198</v>
      </c>
      <c r="B2150" s="16" t="n">
        <v>133.1120232</v>
      </c>
      <c r="C2150" s="16" t="n">
        <v>15.1812469277857</v>
      </c>
      <c r="D2150" s="6" t="s">
        <v>57</v>
      </c>
      <c r="E2150" s="6" t="s">
        <v>57</v>
      </c>
      <c r="F2150" s="6" t="s">
        <v>24</v>
      </c>
      <c r="G2150" s="6" t="s">
        <v>61</v>
      </c>
      <c r="H2150" s="6" t="s">
        <v>63</v>
      </c>
      <c r="I2150" s="6" t="str">
        <f aca="false">IF(A2150&lt;Outliers!$E$6,"Low",IF(A2150&gt;Outliers!$F$6,"High",""))</f>
        <v/>
      </c>
      <c r="J2150" s="6" t="str">
        <f aca="false">IF(B2150&lt;Outliers!$E$7,"Low",IF(B2150&gt;Outliers!$F$7,"High",""))</f>
        <v/>
      </c>
      <c r="K2150" s="6" t="str">
        <f aca="false">IF(C2150&lt;Outliers!$E$8,"Low",IF(C2150&gt;Outliers!$F$8,"High",""))</f>
        <v/>
      </c>
      <c r="L2150" s="6" t="str">
        <f aca="false">A2150&amp;";"&amp;B2150&amp;";"&amp;C2150</f>
        <v>26.24928198;133.1120232;15.1812469277857</v>
      </c>
      <c r="M2150" s="6" t="n">
        <f aca="false">IF(COUNTIF($L$2:$L$2201,L2150)&gt;1,1,0)</f>
        <v>0</v>
      </c>
      <c r="N2150" s="6" t="str">
        <f aca="false">IF(AND(C2150&lt;Assumptions!$B$9,B2150&lt;Assumptions!$B$10),"Irrigate Now",IF(AND(C2150&gt;=Assumptions!$B$11,B2150&gt;=Assumptions!$B$12),"No Irrigation Needed","Monitor"))</f>
        <v>Monitor</v>
      </c>
      <c r="O2150" s="6" t="n">
        <f aca="false">IF(N2150=G2150,1,0)</f>
        <v>1</v>
      </c>
    </row>
    <row r="2151" customFormat="false" ht="15" hidden="false" customHeight="false" outlineLevel="0" collapsed="false">
      <c r="A2151" s="16" t="n">
        <v>26.67377159</v>
      </c>
      <c r="B2151" s="16" t="n">
        <v>156.1543898</v>
      </c>
      <c r="C2151" s="16" t="n">
        <v>20.3605422737727</v>
      </c>
      <c r="D2151" s="6" t="s">
        <v>57</v>
      </c>
      <c r="E2151" s="6" t="s">
        <v>24</v>
      </c>
      <c r="F2151" s="6" t="s">
        <v>60</v>
      </c>
      <c r="G2151" s="6" t="s">
        <v>61</v>
      </c>
      <c r="H2151" s="6" t="s">
        <v>62</v>
      </c>
      <c r="I2151" s="6" t="str">
        <f aca="false">IF(A2151&lt;Outliers!$E$6,"Low",IF(A2151&gt;Outliers!$F$6,"High",""))</f>
        <v/>
      </c>
      <c r="J2151" s="6" t="str">
        <f aca="false">IF(B2151&lt;Outliers!$E$7,"Low",IF(B2151&gt;Outliers!$F$7,"High",""))</f>
        <v/>
      </c>
      <c r="K2151" s="6" t="str">
        <f aca="false">IF(C2151&lt;Outliers!$E$8,"Low",IF(C2151&gt;Outliers!$F$8,"High",""))</f>
        <v/>
      </c>
      <c r="L2151" s="6" t="str">
        <f aca="false">A2151&amp;";"&amp;B2151&amp;";"&amp;C2151</f>
        <v>26.67377159;156.1543898;20.3605422737727</v>
      </c>
      <c r="M2151" s="6" t="n">
        <f aca="false">IF(COUNTIF($L$2:$L$2201,L2151)&gt;1,1,0)</f>
        <v>0</v>
      </c>
      <c r="N2151" s="6" t="str">
        <f aca="false">IF(AND(C2151&lt;Assumptions!$B$9,B2151&lt;Assumptions!$B$10),"Irrigate Now",IF(AND(C2151&gt;=Assumptions!$B$11,B2151&gt;=Assumptions!$B$12),"No Irrigation Needed","Monitor"))</f>
        <v>Monitor</v>
      </c>
      <c r="O2151" s="6" t="n">
        <f aca="false">IF(N2151=G2151,1,0)</f>
        <v>1</v>
      </c>
    </row>
    <row r="2152" customFormat="false" ht="15" hidden="false" customHeight="false" outlineLevel="0" collapsed="false">
      <c r="A2152" s="16" t="n">
        <v>27.10210397</v>
      </c>
      <c r="B2152" s="16" t="n">
        <v>139.5013171</v>
      </c>
      <c r="C2152" s="16" t="n">
        <v>15.5779288812065</v>
      </c>
      <c r="D2152" s="6" t="s">
        <v>57</v>
      </c>
      <c r="E2152" s="6" t="s">
        <v>57</v>
      </c>
      <c r="F2152" s="6" t="s">
        <v>60</v>
      </c>
      <c r="G2152" s="6" t="s">
        <v>61</v>
      </c>
      <c r="H2152" s="6" t="s">
        <v>63</v>
      </c>
      <c r="I2152" s="6" t="str">
        <f aca="false">IF(A2152&lt;Outliers!$E$6,"Low",IF(A2152&gt;Outliers!$F$6,"High",""))</f>
        <v/>
      </c>
      <c r="J2152" s="6" t="str">
        <f aca="false">IF(B2152&lt;Outliers!$E$7,"Low",IF(B2152&gt;Outliers!$F$7,"High",""))</f>
        <v/>
      </c>
      <c r="K2152" s="6" t="str">
        <f aca="false">IF(C2152&lt;Outliers!$E$8,"Low",IF(C2152&gt;Outliers!$F$8,"High",""))</f>
        <v/>
      </c>
      <c r="L2152" s="6" t="str">
        <f aca="false">A2152&amp;";"&amp;B2152&amp;";"&amp;C2152</f>
        <v>27.10210397;139.5013171;15.5779288812065</v>
      </c>
      <c r="M2152" s="6" t="n">
        <f aca="false">IF(COUNTIF($L$2:$L$2201,L2152)&gt;1,1,0)</f>
        <v>0</v>
      </c>
      <c r="N2152" s="6" t="str">
        <f aca="false">IF(AND(C2152&lt;Assumptions!$B$9,B2152&lt;Assumptions!$B$10),"Irrigate Now",IF(AND(C2152&gt;=Assumptions!$B$11,B2152&gt;=Assumptions!$B$12),"No Irrigation Needed","Monitor"))</f>
        <v>Monitor</v>
      </c>
      <c r="O2152" s="6" t="n">
        <f aca="false">IF(N2152=G2152,1,0)</f>
        <v>1</v>
      </c>
    </row>
    <row r="2153" customFormat="false" ht="15" hidden="false" customHeight="false" outlineLevel="0" collapsed="false">
      <c r="A2153" s="16" t="n">
        <v>27.62975458</v>
      </c>
      <c r="B2153" s="16" t="n">
        <v>196.6492664</v>
      </c>
      <c r="C2153" s="16" t="n">
        <v>23.6293494226783</v>
      </c>
      <c r="D2153" s="6" t="s">
        <v>57</v>
      </c>
      <c r="E2153" s="6" t="s">
        <v>24</v>
      </c>
      <c r="F2153" s="6" t="s">
        <v>23</v>
      </c>
      <c r="G2153" s="6" t="s">
        <v>61</v>
      </c>
      <c r="H2153" s="6" t="s">
        <v>62</v>
      </c>
      <c r="I2153" s="6" t="str">
        <f aca="false">IF(A2153&lt;Outliers!$E$6,"Low",IF(A2153&gt;Outliers!$F$6,"High",""))</f>
        <v/>
      </c>
      <c r="J2153" s="6" t="str">
        <f aca="false">IF(B2153&lt;Outliers!$E$7,"Low",IF(B2153&gt;Outliers!$F$7,"High",""))</f>
        <v/>
      </c>
      <c r="K2153" s="6" t="str">
        <f aca="false">IF(C2153&lt;Outliers!$E$8,"Low",IF(C2153&gt;Outliers!$F$8,"High",""))</f>
        <v/>
      </c>
      <c r="L2153" s="6" t="str">
        <f aca="false">A2153&amp;";"&amp;B2153&amp;";"&amp;C2153</f>
        <v>27.62975458;196.6492664;23.6293494226783</v>
      </c>
      <c r="M2153" s="6" t="n">
        <f aca="false">IF(COUNTIF($L$2:$L$2201,L2153)&gt;1,1,0)</f>
        <v>0</v>
      </c>
      <c r="N2153" s="6" t="str">
        <f aca="false">IF(AND(C2153&lt;Assumptions!$B$9,B2153&lt;Assumptions!$B$10),"Irrigate Now",IF(AND(C2153&gt;=Assumptions!$B$11,B2153&gt;=Assumptions!$B$12),"No Irrigation Needed","Monitor"))</f>
        <v>Monitor</v>
      </c>
      <c r="O2153" s="6" t="n">
        <f aca="false">IF(N2153=G2153,1,0)</f>
        <v>1</v>
      </c>
    </row>
    <row r="2154" customFormat="false" ht="15" hidden="false" customHeight="false" outlineLevel="0" collapsed="false">
      <c r="A2154" s="16" t="n">
        <v>27.5364547</v>
      </c>
      <c r="B2154" s="16" t="n">
        <v>130.6377143</v>
      </c>
      <c r="C2154" s="16" t="n">
        <v>24.574820971758</v>
      </c>
      <c r="D2154" s="6" t="s">
        <v>57</v>
      </c>
      <c r="E2154" s="6" t="s">
        <v>57</v>
      </c>
      <c r="F2154" s="6" t="s">
        <v>23</v>
      </c>
      <c r="G2154" s="6" t="s">
        <v>61</v>
      </c>
      <c r="H2154" s="6" t="s">
        <v>63</v>
      </c>
      <c r="I2154" s="6" t="str">
        <f aca="false">IF(A2154&lt;Outliers!$E$6,"Low",IF(A2154&gt;Outliers!$F$6,"High",""))</f>
        <v/>
      </c>
      <c r="J2154" s="6" t="str">
        <f aca="false">IF(B2154&lt;Outliers!$E$7,"Low",IF(B2154&gt;Outliers!$F$7,"High",""))</f>
        <v/>
      </c>
      <c r="K2154" s="6" t="str">
        <f aca="false">IF(C2154&lt;Outliers!$E$8,"Low",IF(C2154&gt;Outliers!$F$8,"High",""))</f>
        <v/>
      </c>
      <c r="L2154" s="6" t="str">
        <f aca="false">A2154&amp;";"&amp;B2154&amp;";"&amp;C2154</f>
        <v>27.5364547;130.6377143;24.574820971758</v>
      </c>
      <c r="M2154" s="6" t="n">
        <f aca="false">IF(COUNTIF($L$2:$L$2201,L2154)&gt;1,1,0)</f>
        <v>0</v>
      </c>
      <c r="N2154" s="6" t="str">
        <f aca="false">IF(AND(C2154&lt;Assumptions!$B$9,B2154&lt;Assumptions!$B$10),"Irrigate Now",IF(AND(C2154&gt;=Assumptions!$B$11,B2154&gt;=Assumptions!$B$12),"No Irrigation Needed","Monitor"))</f>
        <v>Monitor</v>
      </c>
      <c r="O2154" s="6" t="n">
        <f aca="false">IF(N2154=G2154,1,0)</f>
        <v>1</v>
      </c>
    </row>
    <row r="2155" customFormat="false" ht="15" hidden="false" customHeight="false" outlineLevel="0" collapsed="false">
      <c r="A2155" s="16" t="n">
        <v>23.56960509</v>
      </c>
      <c r="B2155" s="16" t="n">
        <v>130.3797119</v>
      </c>
      <c r="C2155" s="16" t="n">
        <v>21.863339690009</v>
      </c>
      <c r="D2155" s="6" t="s">
        <v>57</v>
      </c>
      <c r="E2155" s="6" t="s">
        <v>57</v>
      </c>
      <c r="F2155" s="6" t="s">
        <v>60</v>
      </c>
      <c r="G2155" s="6" t="s">
        <v>61</v>
      </c>
      <c r="H2155" s="6" t="s">
        <v>63</v>
      </c>
      <c r="I2155" s="6" t="str">
        <f aca="false">IF(A2155&lt;Outliers!$E$6,"Low",IF(A2155&gt;Outliers!$F$6,"High",""))</f>
        <v/>
      </c>
      <c r="J2155" s="6" t="str">
        <f aca="false">IF(B2155&lt;Outliers!$E$7,"Low",IF(B2155&gt;Outliers!$F$7,"High",""))</f>
        <v/>
      </c>
      <c r="K2155" s="6" t="str">
        <f aca="false">IF(C2155&lt;Outliers!$E$8,"Low",IF(C2155&gt;Outliers!$F$8,"High",""))</f>
        <v/>
      </c>
      <c r="L2155" s="6" t="str">
        <f aca="false">A2155&amp;";"&amp;B2155&amp;";"&amp;C2155</f>
        <v>23.56960509;130.3797119;21.863339690009</v>
      </c>
      <c r="M2155" s="6" t="n">
        <f aca="false">IF(COUNTIF($L$2:$L$2201,L2155)&gt;1,1,0)</f>
        <v>0</v>
      </c>
      <c r="N2155" s="6" t="str">
        <f aca="false">IF(AND(C2155&lt;Assumptions!$B$9,B2155&lt;Assumptions!$B$10),"Irrigate Now",IF(AND(C2155&gt;=Assumptions!$B$11,B2155&gt;=Assumptions!$B$12),"No Irrigation Needed","Monitor"))</f>
        <v>Monitor</v>
      </c>
      <c r="O2155" s="6" t="n">
        <f aca="false">IF(N2155=G2155,1,0)</f>
        <v>1</v>
      </c>
    </row>
    <row r="2156" customFormat="false" ht="15" hidden="false" customHeight="false" outlineLevel="0" collapsed="false">
      <c r="A2156" s="16" t="n">
        <v>24.99451759</v>
      </c>
      <c r="B2156" s="16" t="n">
        <v>192.8736822</v>
      </c>
      <c r="C2156" s="16" t="n">
        <v>19.0286584127108</v>
      </c>
      <c r="D2156" s="6" t="s">
        <v>57</v>
      </c>
      <c r="E2156" s="6" t="s">
        <v>24</v>
      </c>
      <c r="F2156" s="6" t="s">
        <v>60</v>
      </c>
      <c r="G2156" s="6" t="s">
        <v>61</v>
      </c>
      <c r="H2156" s="6" t="s">
        <v>62</v>
      </c>
      <c r="I2156" s="6" t="str">
        <f aca="false">IF(A2156&lt;Outliers!$E$6,"Low",IF(A2156&gt;Outliers!$F$6,"High",""))</f>
        <v/>
      </c>
      <c r="J2156" s="6" t="str">
        <f aca="false">IF(B2156&lt;Outliers!$E$7,"Low",IF(B2156&gt;Outliers!$F$7,"High",""))</f>
        <v/>
      </c>
      <c r="K2156" s="6" t="str">
        <f aca="false">IF(C2156&lt;Outliers!$E$8,"Low",IF(C2156&gt;Outliers!$F$8,"High",""))</f>
        <v/>
      </c>
      <c r="L2156" s="6" t="str">
        <f aca="false">A2156&amp;";"&amp;B2156&amp;";"&amp;C2156</f>
        <v>24.99451759;192.8736822;19.0286584127108</v>
      </c>
      <c r="M2156" s="6" t="n">
        <f aca="false">IF(COUNTIF($L$2:$L$2201,L2156)&gt;1,1,0)</f>
        <v>0</v>
      </c>
      <c r="N2156" s="6" t="str">
        <f aca="false">IF(AND(C2156&lt;Assumptions!$B$9,B2156&lt;Assumptions!$B$10),"Irrigate Now",IF(AND(C2156&gt;=Assumptions!$B$11,B2156&gt;=Assumptions!$B$12),"No Irrigation Needed","Monitor"))</f>
        <v>Monitor</v>
      </c>
      <c r="O2156" s="6" t="n">
        <f aca="false">IF(N2156=G2156,1,0)</f>
        <v>1</v>
      </c>
    </row>
    <row r="2157" customFormat="false" ht="15" hidden="false" customHeight="false" outlineLevel="0" collapsed="false">
      <c r="A2157" s="16" t="n">
        <v>27.56441788</v>
      </c>
      <c r="B2157" s="16" t="n">
        <v>177.816092</v>
      </c>
      <c r="C2157" s="16" t="n">
        <v>22.4427200083029</v>
      </c>
      <c r="D2157" s="6" t="s">
        <v>57</v>
      </c>
      <c r="E2157" s="6" t="s">
        <v>24</v>
      </c>
      <c r="F2157" s="6" t="s">
        <v>23</v>
      </c>
      <c r="G2157" s="6" t="s">
        <v>61</v>
      </c>
      <c r="H2157" s="6" t="s">
        <v>62</v>
      </c>
      <c r="I2157" s="6" t="str">
        <f aca="false">IF(A2157&lt;Outliers!$E$6,"Low",IF(A2157&gt;Outliers!$F$6,"High",""))</f>
        <v/>
      </c>
      <c r="J2157" s="6" t="str">
        <f aca="false">IF(B2157&lt;Outliers!$E$7,"Low",IF(B2157&gt;Outliers!$F$7,"High",""))</f>
        <v/>
      </c>
      <c r="K2157" s="6" t="str">
        <f aca="false">IF(C2157&lt;Outliers!$E$8,"Low",IF(C2157&gt;Outliers!$F$8,"High",""))</f>
        <v/>
      </c>
      <c r="L2157" s="6" t="str">
        <f aca="false">A2157&amp;";"&amp;B2157&amp;";"&amp;C2157</f>
        <v>27.56441788;177.816092;22.4427200083029</v>
      </c>
      <c r="M2157" s="6" t="n">
        <f aca="false">IF(COUNTIF($L$2:$L$2201,L2157)&gt;1,1,0)</f>
        <v>0</v>
      </c>
      <c r="N2157" s="6" t="str">
        <f aca="false">IF(AND(C2157&lt;Assumptions!$B$9,B2157&lt;Assumptions!$B$10),"Irrigate Now",IF(AND(C2157&gt;=Assumptions!$B$11,B2157&gt;=Assumptions!$B$12),"No Irrigation Needed","Monitor"))</f>
        <v>Monitor</v>
      </c>
      <c r="O2157" s="6" t="n">
        <f aca="false">IF(N2157=G2157,1,0)</f>
        <v>1</v>
      </c>
    </row>
    <row r="2158" customFormat="false" ht="15" hidden="false" customHeight="false" outlineLevel="0" collapsed="false">
      <c r="A2158" s="16" t="n">
        <v>23.98143338</v>
      </c>
      <c r="B2158" s="16" t="n">
        <v>161.5279095</v>
      </c>
      <c r="C2158" s="16" t="n">
        <v>14.4467482887316</v>
      </c>
      <c r="D2158" s="6" t="s">
        <v>57</v>
      </c>
      <c r="E2158" s="6" t="s">
        <v>24</v>
      </c>
      <c r="F2158" s="6" t="s">
        <v>60</v>
      </c>
      <c r="G2158" s="6" t="s">
        <v>61</v>
      </c>
      <c r="H2158" s="6" t="s">
        <v>62</v>
      </c>
      <c r="I2158" s="6" t="str">
        <f aca="false">IF(A2158&lt;Outliers!$E$6,"Low",IF(A2158&gt;Outliers!$F$6,"High",""))</f>
        <v/>
      </c>
      <c r="J2158" s="6" t="str">
        <f aca="false">IF(B2158&lt;Outliers!$E$7,"Low",IF(B2158&gt;Outliers!$F$7,"High",""))</f>
        <v/>
      </c>
      <c r="K2158" s="6" t="str">
        <f aca="false">IF(C2158&lt;Outliers!$E$8,"Low",IF(C2158&gt;Outliers!$F$8,"High",""))</f>
        <v/>
      </c>
      <c r="L2158" s="6" t="str">
        <f aca="false">A2158&amp;";"&amp;B2158&amp;";"&amp;C2158</f>
        <v>23.98143338;161.5279095;14.4467482887316</v>
      </c>
      <c r="M2158" s="6" t="n">
        <f aca="false">IF(COUNTIF($L$2:$L$2201,L2158)&gt;1,1,0)</f>
        <v>0</v>
      </c>
      <c r="N2158" s="6" t="str">
        <f aca="false">IF(AND(C2158&lt;Assumptions!$B$9,B2158&lt;Assumptions!$B$10),"Irrigate Now",IF(AND(C2158&gt;=Assumptions!$B$11,B2158&gt;=Assumptions!$B$12),"No Irrigation Needed","Monitor"))</f>
        <v>Monitor</v>
      </c>
      <c r="O2158" s="6" t="n">
        <f aca="false">IF(N2158=G2158,1,0)</f>
        <v>1</v>
      </c>
    </row>
    <row r="2159" customFormat="false" ht="15" hidden="false" customHeight="false" outlineLevel="0" collapsed="false">
      <c r="A2159" s="16" t="n">
        <v>24.22984659</v>
      </c>
      <c r="B2159" s="16" t="n">
        <v>122.4073418</v>
      </c>
      <c r="C2159" s="16" t="n">
        <v>26.4075600037946</v>
      </c>
      <c r="D2159" s="6" t="s">
        <v>57</v>
      </c>
      <c r="E2159" s="6" t="s">
        <v>57</v>
      </c>
      <c r="F2159" s="6" t="s">
        <v>23</v>
      </c>
      <c r="G2159" s="6" t="s">
        <v>58</v>
      </c>
      <c r="H2159" s="6" t="s">
        <v>59</v>
      </c>
      <c r="I2159" s="6" t="str">
        <f aca="false">IF(A2159&lt;Outliers!$E$6,"Low",IF(A2159&gt;Outliers!$F$6,"High",""))</f>
        <v/>
      </c>
      <c r="J2159" s="6" t="str">
        <f aca="false">IF(B2159&lt;Outliers!$E$7,"Low",IF(B2159&gt;Outliers!$F$7,"High",""))</f>
        <v/>
      </c>
      <c r="K2159" s="6" t="str">
        <f aca="false">IF(C2159&lt;Outliers!$E$8,"Low",IF(C2159&gt;Outliers!$F$8,"High",""))</f>
        <v/>
      </c>
      <c r="L2159" s="6" t="str">
        <f aca="false">A2159&amp;";"&amp;B2159&amp;";"&amp;C2159</f>
        <v>24.22984659;122.4073418;26.4075600037946</v>
      </c>
      <c r="M2159" s="6" t="n">
        <f aca="false">IF(COUNTIF($L$2:$L$2201,L2159)&gt;1,1,0)</f>
        <v>0</v>
      </c>
      <c r="N2159" s="6" t="str">
        <f aca="false">IF(AND(C2159&lt;Assumptions!$B$9,B2159&lt;Assumptions!$B$10),"Irrigate Now",IF(AND(C2159&gt;=Assumptions!$B$11,B2159&gt;=Assumptions!$B$12),"No Irrigation Needed","Monitor"))</f>
        <v>No Irrigation Needed</v>
      </c>
      <c r="O2159" s="6" t="n">
        <f aca="false">IF(N2159=G2159,1,0)</f>
        <v>1</v>
      </c>
    </row>
    <row r="2160" customFormat="false" ht="15" hidden="false" customHeight="false" outlineLevel="0" collapsed="false">
      <c r="A2160" s="16" t="n">
        <v>25.60153969</v>
      </c>
      <c r="B2160" s="16" t="n">
        <v>168.8383605</v>
      </c>
      <c r="C2160" s="16" t="n">
        <v>13.8815534049637</v>
      </c>
      <c r="D2160" s="6" t="s">
        <v>57</v>
      </c>
      <c r="E2160" s="6" t="s">
        <v>24</v>
      </c>
      <c r="F2160" s="6" t="s">
        <v>60</v>
      </c>
      <c r="G2160" s="6" t="s">
        <v>61</v>
      </c>
      <c r="H2160" s="6" t="s">
        <v>62</v>
      </c>
      <c r="I2160" s="6" t="str">
        <f aca="false">IF(A2160&lt;Outliers!$E$6,"Low",IF(A2160&gt;Outliers!$F$6,"High",""))</f>
        <v/>
      </c>
      <c r="J2160" s="6" t="str">
        <f aca="false">IF(B2160&lt;Outliers!$E$7,"Low",IF(B2160&gt;Outliers!$F$7,"High",""))</f>
        <v/>
      </c>
      <c r="K2160" s="6" t="str">
        <f aca="false">IF(C2160&lt;Outliers!$E$8,"Low",IF(C2160&gt;Outliers!$F$8,"High",""))</f>
        <v/>
      </c>
      <c r="L2160" s="6" t="str">
        <f aca="false">A2160&amp;";"&amp;B2160&amp;";"&amp;C2160</f>
        <v>25.60153969;168.8383605;13.8815534049637</v>
      </c>
      <c r="M2160" s="6" t="n">
        <f aca="false">IF(COUNTIF($L$2:$L$2201,L2160)&gt;1,1,0)</f>
        <v>0</v>
      </c>
      <c r="N2160" s="6" t="str">
        <f aca="false">IF(AND(C2160&lt;Assumptions!$B$9,B2160&lt;Assumptions!$B$10),"Irrigate Now",IF(AND(C2160&gt;=Assumptions!$B$11,B2160&gt;=Assumptions!$B$12),"No Irrigation Needed","Monitor"))</f>
        <v>Monitor</v>
      </c>
      <c r="O2160" s="6" t="n">
        <f aca="false">IF(N2160=G2160,1,0)</f>
        <v>1</v>
      </c>
    </row>
    <row r="2161" customFormat="false" ht="15" hidden="false" customHeight="false" outlineLevel="0" collapsed="false">
      <c r="A2161" s="16" t="n">
        <v>24.31274458</v>
      </c>
      <c r="B2161" s="16" t="n">
        <v>184.4103931</v>
      </c>
      <c r="C2161" s="16" t="n">
        <v>13.6274103651818</v>
      </c>
      <c r="D2161" s="6" t="s">
        <v>57</v>
      </c>
      <c r="E2161" s="6" t="s">
        <v>24</v>
      </c>
      <c r="F2161" s="6" t="s">
        <v>60</v>
      </c>
      <c r="G2161" s="6" t="s">
        <v>61</v>
      </c>
      <c r="H2161" s="6" t="s">
        <v>62</v>
      </c>
      <c r="I2161" s="6" t="str">
        <f aca="false">IF(A2161&lt;Outliers!$E$6,"Low",IF(A2161&gt;Outliers!$F$6,"High",""))</f>
        <v/>
      </c>
      <c r="J2161" s="6" t="str">
        <f aca="false">IF(B2161&lt;Outliers!$E$7,"Low",IF(B2161&gt;Outliers!$F$7,"High",""))</f>
        <v/>
      </c>
      <c r="K2161" s="6" t="str">
        <f aca="false">IF(C2161&lt;Outliers!$E$8,"Low",IF(C2161&gt;Outliers!$F$8,"High",""))</f>
        <v/>
      </c>
      <c r="L2161" s="6" t="str">
        <f aca="false">A2161&amp;";"&amp;B2161&amp;";"&amp;C2161</f>
        <v>24.31274458;184.4103931;13.6274103651818</v>
      </c>
      <c r="M2161" s="6" t="n">
        <f aca="false">IF(COUNTIF($L$2:$L$2201,L2161)&gt;1,1,0)</f>
        <v>0</v>
      </c>
      <c r="N2161" s="6" t="str">
        <f aca="false">IF(AND(C2161&lt;Assumptions!$B$9,B2161&lt;Assumptions!$B$10),"Irrigate Now",IF(AND(C2161&gt;=Assumptions!$B$11,B2161&gt;=Assumptions!$B$12),"No Irrigation Needed","Monitor"))</f>
        <v>Monitor</v>
      </c>
      <c r="O2161" s="6" t="n">
        <f aca="false">IF(N2161=G2161,1,0)</f>
        <v>1</v>
      </c>
    </row>
    <row r="2162" customFormat="false" ht="15" hidden="false" customHeight="false" outlineLevel="0" collapsed="false">
      <c r="A2162" s="16" t="n">
        <v>26.36629861</v>
      </c>
      <c r="B2162" s="16" t="n">
        <v>177.3176161</v>
      </c>
      <c r="C2162" s="16" t="n">
        <v>14.9249205351535</v>
      </c>
      <c r="D2162" s="6" t="s">
        <v>57</v>
      </c>
      <c r="E2162" s="6" t="s">
        <v>24</v>
      </c>
      <c r="F2162" s="6" t="s">
        <v>60</v>
      </c>
      <c r="G2162" s="6" t="s">
        <v>61</v>
      </c>
      <c r="H2162" s="6" t="s">
        <v>62</v>
      </c>
      <c r="I2162" s="6" t="str">
        <f aca="false">IF(A2162&lt;Outliers!$E$6,"Low",IF(A2162&gt;Outliers!$F$6,"High",""))</f>
        <v/>
      </c>
      <c r="J2162" s="6" t="str">
        <f aca="false">IF(B2162&lt;Outliers!$E$7,"Low",IF(B2162&gt;Outliers!$F$7,"High",""))</f>
        <v/>
      </c>
      <c r="K2162" s="6" t="str">
        <f aca="false">IF(C2162&lt;Outliers!$E$8,"Low",IF(C2162&gt;Outliers!$F$8,"High",""))</f>
        <v/>
      </c>
      <c r="L2162" s="6" t="str">
        <f aca="false">A2162&amp;";"&amp;B2162&amp;";"&amp;C2162</f>
        <v>26.36629861;177.3176161;14.9249205351535</v>
      </c>
      <c r="M2162" s="6" t="n">
        <f aca="false">IF(COUNTIF($L$2:$L$2201,L2162)&gt;1,1,0)</f>
        <v>0</v>
      </c>
      <c r="N2162" s="6" t="str">
        <f aca="false">IF(AND(C2162&lt;Assumptions!$B$9,B2162&lt;Assumptions!$B$10),"Irrigate Now",IF(AND(C2162&gt;=Assumptions!$B$11,B2162&gt;=Assumptions!$B$12),"No Irrigation Needed","Monitor"))</f>
        <v>Monitor</v>
      </c>
      <c r="O2162" s="6" t="n">
        <f aca="false">IF(N2162=G2162,1,0)</f>
        <v>1</v>
      </c>
    </row>
    <row r="2163" customFormat="false" ht="15" hidden="false" customHeight="false" outlineLevel="0" collapsed="false">
      <c r="A2163" s="16" t="n">
        <v>26.5602777</v>
      </c>
      <c r="B2163" s="16" t="n">
        <v>152.0616227</v>
      </c>
      <c r="C2163" s="16" t="n">
        <v>28.3382787589742</v>
      </c>
      <c r="D2163" s="6" t="s">
        <v>57</v>
      </c>
      <c r="E2163" s="6" t="s">
        <v>24</v>
      </c>
      <c r="F2163" s="6" t="s">
        <v>23</v>
      </c>
      <c r="G2163" s="6" t="s">
        <v>58</v>
      </c>
      <c r="H2163" s="6" t="s">
        <v>59</v>
      </c>
      <c r="I2163" s="6" t="str">
        <f aca="false">IF(A2163&lt;Outliers!$E$6,"Low",IF(A2163&gt;Outliers!$F$6,"High",""))</f>
        <v/>
      </c>
      <c r="J2163" s="6" t="str">
        <f aca="false">IF(B2163&lt;Outliers!$E$7,"Low",IF(B2163&gt;Outliers!$F$7,"High",""))</f>
        <v/>
      </c>
      <c r="K2163" s="6" t="str">
        <f aca="false">IF(C2163&lt;Outliers!$E$8,"Low",IF(C2163&gt;Outliers!$F$8,"High",""))</f>
        <v/>
      </c>
      <c r="L2163" s="6" t="str">
        <f aca="false">A2163&amp;";"&amp;B2163&amp;";"&amp;C2163</f>
        <v>26.5602777;152.0616227;28.3382787589742</v>
      </c>
      <c r="M2163" s="6" t="n">
        <f aca="false">IF(COUNTIF($L$2:$L$2201,L2163)&gt;1,1,0)</f>
        <v>0</v>
      </c>
      <c r="N2163" s="6" t="str">
        <f aca="false">IF(AND(C2163&lt;Assumptions!$B$9,B2163&lt;Assumptions!$B$10),"Irrigate Now",IF(AND(C2163&gt;=Assumptions!$B$11,B2163&gt;=Assumptions!$B$12),"No Irrigation Needed","Monitor"))</f>
        <v>No Irrigation Needed</v>
      </c>
      <c r="O2163" s="6" t="n">
        <f aca="false">IF(N2163=G2163,1,0)</f>
        <v>1</v>
      </c>
    </row>
    <row r="2164" customFormat="false" ht="15" hidden="false" customHeight="false" outlineLevel="0" collapsed="false">
      <c r="A2164" s="16" t="n">
        <v>26.35034208</v>
      </c>
      <c r="B2164" s="16" t="n">
        <v>121.5586297</v>
      </c>
      <c r="C2164" s="16" t="n">
        <v>10.5314766391759</v>
      </c>
      <c r="D2164" s="6" t="s">
        <v>57</v>
      </c>
      <c r="E2164" s="6" t="s">
        <v>57</v>
      </c>
      <c r="F2164" s="6" t="s">
        <v>24</v>
      </c>
      <c r="G2164" s="6" t="s">
        <v>61</v>
      </c>
      <c r="H2164" s="6" t="s">
        <v>63</v>
      </c>
      <c r="I2164" s="6" t="str">
        <f aca="false">IF(A2164&lt;Outliers!$E$6,"Low",IF(A2164&gt;Outliers!$F$6,"High",""))</f>
        <v/>
      </c>
      <c r="J2164" s="6" t="str">
        <f aca="false">IF(B2164&lt;Outliers!$E$7,"Low",IF(B2164&gt;Outliers!$F$7,"High",""))</f>
        <v/>
      </c>
      <c r="K2164" s="6" t="str">
        <f aca="false">IF(C2164&lt;Outliers!$E$8,"Low",IF(C2164&gt;Outliers!$F$8,"High",""))</f>
        <v/>
      </c>
      <c r="L2164" s="6" t="str">
        <f aca="false">A2164&amp;";"&amp;B2164&amp;";"&amp;C2164</f>
        <v>26.35034208;121.5586297;10.5314766391759</v>
      </c>
      <c r="M2164" s="6" t="n">
        <f aca="false">IF(COUNTIF($L$2:$L$2201,L2164)&gt;1,1,0)</f>
        <v>0</v>
      </c>
      <c r="N2164" s="6" t="str">
        <f aca="false">IF(AND(C2164&lt;Assumptions!$B$9,B2164&lt;Assumptions!$B$10),"Irrigate Now",IF(AND(C2164&gt;=Assumptions!$B$11,B2164&gt;=Assumptions!$B$12),"No Irrigation Needed","Monitor"))</f>
        <v>Monitor</v>
      </c>
      <c r="O2164" s="6" t="n">
        <f aca="false">IF(N2164=G2164,1,0)</f>
        <v>1</v>
      </c>
    </row>
    <row r="2165" customFormat="false" ht="15" hidden="false" customHeight="false" outlineLevel="0" collapsed="false">
      <c r="A2165" s="16" t="n">
        <v>25.20406808</v>
      </c>
      <c r="B2165" s="16" t="n">
        <v>156.1457255</v>
      </c>
      <c r="C2165" s="16" t="n">
        <v>27.7135559708281</v>
      </c>
      <c r="D2165" s="6" t="s">
        <v>57</v>
      </c>
      <c r="E2165" s="6" t="s">
        <v>24</v>
      </c>
      <c r="F2165" s="6" t="s">
        <v>23</v>
      </c>
      <c r="G2165" s="6" t="s">
        <v>58</v>
      </c>
      <c r="H2165" s="6" t="s">
        <v>59</v>
      </c>
      <c r="I2165" s="6" t="str">
        <f aca="false">IF(A2165&lt;Outliers!$E$6,"Low",IF(A2165&gt;Outliers!$F$6,"High",""))</f>
        <v/>
      </c>
      <c r="J2165" s="6" t="str">
        <f aca="false">IF(B2165&lt;Outliers!$E$7,"Low",IF(B2165&gt;Outliers!$F$7,"High",""))</f>
        <v/>
      </c>
      <c r="K2165" s="6" t="str">
        <f aca="false">IF(C2165&lt;Outliers!$E$8,"Low",IF(C2165&gt;Outliers!$F$8,"High",""))</f>
        <v/>
      </c>
      <c r="L2165" s="6" t="str">
        <f aca="false">A2165&amp;";"&amp;B2165&amp;";"&amp;C2165</f>
        <v>25.20406808;156.1457255;27.7135559708281</v>
      </c>
      <c r="M2165" s="6" t="n">
        <f aca="false">IF(COUNTIF($L$2:$L$2201,L2165)&gt;1,1,0)</f>
        <v>0</v>
      </c>
      <c r="N2165" s="6" t="str">
        <f aca="false">IF(AND(C2165&lt;Assumptions!$B$9,B2165&lt;Assumptions!$B$10),"Irrigate Now",IF(AND(C2165&gt;=Assumptions!$B$11,B2165&gt;=Assumptions!$B$12),"No Irrigation Needed","Monitor"))</f>
        <v>No Irrigation Needed</v>
      </c>
      <c r="O2165" s="6" t="n">
        <f aca="false">IF(N2165=G2165,1,0)</f>
        <v>1</v>
      </c>
    </row>
    <row r="2166" customFormat="false" ht="15" hidden="false" customHeight="false" outlineLevel="0" collapsed="false">
      <c r="A2166" s="16" t="n">
        <v>23.35723208</v>
      </c>
      <c r="B2166" s="16" t="n">
        <v>171.6976946</v>
      </c>
      <c r="C2166" s="16" t="n">
        <v>26.8611937283146</v>
      </c>
      <c r="D2166" s="6" t="s">
        <v>57</v>
      </c>
      <c r="E2166" s="6" t="s">
        <v>24</v>
      </c>
      <c r="F2166" s="6" t="s">
        <v>23</v>
      </c>
      <c r="G2166" s="6" t="s">
        <v>58</v>
      </c>
      <c r="H2166" s="6" t="s">
        <v>59</v>
      </c>
      <c r="I2166" s="6" t="str">
        <f aca="false">IF(A2166&lt;Outliers!$E$6,"Low",IF(A2166&gt;Outliers!$F$6,"High",""))</f>
        <v/>
      </c>
      <c r="J2166" s="6" t="str">
        <f aca="false">IF(B2166&lt;Outliers!$E$7,"Low",IF(B2166&gt;Outliers!$F$7,"High",""))</f>
        <v/>
      </c>
      <c r="K2166" s="6" t="str">
        <f aca="false">IF(C2166&lt;Outliers!$E$8,"Low",IF(C2166&gt;Outliers!$F$8,"High",""))</f>
        <v/>
      </c>
      <c r="L2166" s="6" t="str">
        <f aca="false">A2166&amp;";"&amp;B2166&amp;";"&amp;C2166</f>
        <v>23.35723208;171.6976946;26.8611937283146</v>
      </c>
      <c r="M2166" s="6" t="n">
        <f aca="false">IF(COUNTIF($L$2:$L$2201,L2166)&gt;1,1,0)</f>
        <v>0</v>
      </c>
      <c r="N2166" s="6" t="str">
        <f aca="false">IF(AND(C2166&lt;Assumptions!$B$9,B2166&lt;Assumptions!$B$10),"Irrigate Now",IF(AND(C2166&gt;=Assumptions!$B$11,B2166&gt;=Assumptions!$B$12),"No Irrigation Needed","Monitor"))</f>
        <v>No Irrigation Needed</v>
      </c>
      <c r="O2166" s="6" t="n">
        <f aca="false">IF(N2166=G2166,1,0)</f>
        <v>1</v>
      </c>
    </row>
    <row r="2167" customFormat="false" ht="15" hidden="false" customHeight="false" outlineLevel="0" collapsed="false">
      <c r="A2167" s="16" t="n">
        <v>23.60567546</v>
      </c>
      <c r="B2167" s="16" t="n">
        <v>185.1568059</v>
      </c>
      <c r="C2167" s="16" t="n">
        <v>12.6216666720399</v>
      </c>
      <c r="D2167" s="6" t="s">
        <v>57</v>
      </c>
      <c r="E2167" s="6" t="s">
        <v>24</v>
      </c>
      <c r="F2167" s="6" t="s">
        <v>24</v>
      </c>
      <c r="G2167" s="6" t="s">
        <v>61</v>
      </c>
      <c r="H2167" s="6" t="s">
        <v>62</v>
      </c>
      <c r="I2167" s="6" t="str">
        <f aca="false">IF(A2167&lt;Outliers!$E$6,"Low",IF(A2167&gt;Outliers!$F$6,"High",""))</f>
        <v/>
      </c>
      <c r="J2167" s="6" t="str">
        <f aca="false">IF(B2167&lt;Outliers!$E$7,"Low",IF(B2167&gt;Outliers!$F$7,"High",""))</f>
        <v/>
      </c>
      <c r="K2167" s="6" t="str">
        <f aca="false">IF(C2167&lt;Outliers!$E$8,"Low",IF(C2167&gt;Outliers!$F$8,"High",""))</f>
        <v/>
      </c>
      <c r="L2167" s="6" t="str">
        <f aca="false">A2167&amp;";"&amp;B2167&amp;";"&amp;C2167</f>
        <v>23.60567546;185.1568059;12.6216666720399</v>
      </c>
      <c r="M2167" s="6" t="n">
        <f aca="false">IF(COUNTIF($L$2:$L$2201,L2167)&gt;1,1,0)</f>
        <v>0</v>
      </c>
      <c r="N2167" s="6" t="str">
        <f aca="false">IF(AND(C2167&lt;Assumptions!$B$9,B2167&lt;Assumptions!$B$10),"Irrigate Now",IF(AND(C2167&gt;=Assumptions!$B$11,B2167&gt;=Assumptions!$B$12),"No Irrigation Needed","Monitor"))</f>
        <v>Monitor</v>
      </c>
      <c r="O2167" s="6" t="n">
        <f aca="false">IF(N2167=G2167,1,0)</f>
        <v>1</v>
      </c>
    </row>
    <row r="2168" customFormat="false" ht="15" hidden="false" customHeight="false" outlineLevel="0" collapsed="false">
      <c r="A2168" s="16" t="n">
        <v>24.18471151</v>
      </c>
      <c r="B2168" s="16" t="n">
        <v>163.2708732</v>
      </c>
      <c r="C2168" s="16" t="n">
        <v>28.3929446367152</v>
      </c>
      <c r="D2168" s="6" t="s">
        <v>57</v>
      </c>
      <c r="E2168" s="6" t="s">
        <v>24</v>
      </c>
      <c r="F2168" s="6" t="s">
        <v>23</v>
      </c>
      <c r="G2168" s="6" t="s">
        <v>58</v>
      </c>
      <c r="H2168" s="6" t="s">
        <v>59</v>
      </c>
      <c r="I2168" s="6" t="str">
        <f aca="false">IF(A2168&lt;Outliers!$E$6,"Low",IF(A2168&gt;Outliers!$F$6,"High",""))</f>
        <v/>
      </c>
      <c r="J2168" s="6" t="str">
        <f aca="false">IF(B2168&lt;Outliers!$E$7,"Low",IF(B2168&gt;Outliers!$F$7,"High",""))</f>
        <v/>
      </c>
      <c r="K2168" s="6" t="str">
        <f aca="false">IF(C2168&lt;Outliers!$E$8,"Low",IF(C2168&gt;Outliers!$F$8,"High",""))</f>
        <v/>
      </c>
      <c r="L2168" s="6" t="str">
        <f aca="false">A2168&amp;";"&amp;B2168&amp;";"&amp;C2168</f>
        <v>24.18471151;163.2708732;28.3929446367152</v>
      </c>
      <c r="M2168" s="6" t="n">
        <f aca="false">IF(COUNTIF($L$2:$L$2201,L2168)&gt;1,1,0)</f>
        <v>0</v>
      </c>
      <c r="N2168" s="6" t="str">
        <f aca="false">IF(AND(C2168&lt;Assumptions!$B$9,B2168&lt;Assumptions!$B$10),"Irrigate Now",IF(AND(C2168&gt;=Assumptions!$B$11,B2168&gt;=Assumptions!$B$12),"No Irrigation Needed","Monitor"))</f>
        <v>No Irrigation Needed</v>
      </c>
      <c r="O2168" s="6" t="n">
        <f aca="false">IF(N2168=G2168,1,0)</f>
        <v>1</v>
      </c>
    </row>
    <row r="2169" customFormat="false" ht="15" hidden="false" customHeight="false" outlineLevel="0" collapsed="false">
      <c r="A2169" s="16" t="n">
        <v>26.44414097</v>
      </c>
      <c r="B2169" s="16" t="n">
        <v>175.3723314</v>
      </c>
      <c r="C2169" s="16" t="n">
        <v>19.5017364998119</v>
      </c>
      <c r="D2169" s="6" t="s">
        <v>57</v>
      </c>
      <c r="E2169" s="6" t="s">
        <v>24</v>
      </c>
      <c r="F2169" s="6" t="s">
        <v>60</v>
      </c>
      <c r="G2169" s="6" t="s">
        <v>61</v>
      </c>
      <c r="H2169" s="6" t="s">
        <v>62</v>
      </c>
      <c r="I2169" s="6" t="str">
        <f aca="false">IF(A2169&lt;Outliers!$E$6,"Low",IF(A2169&gt;Outliers!$F$6,"High",""))</f>
        <v/>
      </c>
      <c r="J2169" s="6" t="str">
        <f aca="false">IF(B2169&lt;Outliers!$E$7,"Low",IF(B2169&gt;Outliers!$F$7,"High",""))</f>
        <v/>
      </c>
      <c r="K2169" s="6" t="str">
        <f aca="false">IF(C2169&lt;Outliers!$E$8,"Low",IF(C2169&gt;Outliers!$F$8,"High",""))</f>
        <v/>
      </c>
      <c r="L2169" s="6" t="str">
        <f aca="false">A2169&amp;";"&amp;B2169&amp;";"&amp;C2169</f>
        <v>26.44414097;175.3723314;19.5017364998119</v>
      </c>
      <c r="M2169" s="6" t="n">
        <f aca="false">IF(COUNTIF($L$2:$L$2201,L2169)&gt;1,1,0)</f>
        <v>0</v>
      </c>
      <c r="N2169" s="6" t="str">
        <f aca="false">IF(AND(C2169&lt;Assumptions!$B$9,B2169&lt;Assumptions!$B$10),"Irrigate Now",IF(AND(C2169&gt;=Assumptions!$B$11,B2169&gt;=Assumptions!$B$12),"No Irrigation Needed","Monitor"))</f>
        <v>Monitor</v>
      </c>
      <c r="O2169" s="6" t="n">
        <f aca="false">IF(N2169=G2169,1,0)</f>
        <v>1</v>
      </c>
    </row>
    <row r="2170" customFormat="false" ht="15" hidden="false" customHeight="false" outlineLevel="0" collapsed="false">
      <c r="A2170" s="16" t="n">
        <v>26.12492233</v>
      </c>
      <c r="B2170" s="16" t="n">
        <v>147.8035305</v>
      </c>
      <c r="C2170" s="16" t="n">
        <v>13.125280180932</v>
      </c>
      <c r="D2170" s="6" t="s">
        <v>57</v>
      </c>
      <c r="E2170" s="6" t="s">
        <v>57</v>
      </c>
      <c r="F2170" s="6" t="s">
        <v>24</v>
      </c>
      <c r="G2170" s="6" t="s">
        <v>61</v>
      </c>
      <c r="H2170" s="6" t="s">
        <v>63</v>
      </c>
      <c r="I2170" s="6" t="str">
        <f aca="false">IF(A2170&lt;Outliers!$E$6,"Low",IF(A2170&gt;Outliers!$F$6,"High",""))</f>
        <v/>
      </c>
      <c r="J2170" s="6" t="str">
        <f aca="false">IF(B2170&lt;Outliers!$E$7,"Low",IF(B2170&gt;Outliers!$F$7,"High",""))</f>
        <v/>
      </c>
      <c r="K2170" s="6" t="str">
        <f aca="false">IF(C2170&lt;Outliers!$E$8,"Low",IF(C2170&gt;Outliers!$F$8,"High",""))</f>
        <v/>
      </c>
      <c r="L2170" s="6" t="str">
        <f aca="false">A2170&amp;";"&amp;B2170&amp;";"&amp;C2170</f>
        <v>26.12492233;147.8035305;13.125280180932</v>
      </c>
      <c r="M2170" s="6" t="n">
        <f aca="false">IF(COUNTIF($L$2:$L$2201,L2170)&gt;1,1,0)</f>
        <v>0</v>
      </c>
      <c r="N2170" s="6" t="str">
        <f aca="false">IF(AND(C2170&lt;Assumptions!$B$9,B2170&lt;Assumptions!$B$10),"Irrigate Now",IF(AND(C2170&gt;=Assumptions!$B$11,B2170&gt;=Assumptions!$B$12),"No Irrigation Needed","Monitor"))</f>
        <v>Monitor</v>
      </c>
      <c r="O2170" s="6" t="n">
        <f aca="false">IF(N2170=G2170,1,0)</f>
        <v>1</v>
      </c>
    </row>
    <row r="2171" customFormat="false" ht="15" hidden="false" customHeight="false" outlineLevel="0" collapsed="false">
      <c r="A2171" s="16" t="n">
        <v>27.77363343</v>
      </c>
      <c r="B2171" s="16" t="n">
        <v>192.7121236</v>
      </c>
      <c r="C2171" s="16" t="n">
        <v>10.7016860709334</v>
      </c>
      <c r="D2171" s="6" t="s">
        <v>57</v>
      </c>
      <c r="E2171" s="6" t="s">
        <v>24</v>
      </c>
      <c r="F2171" s="6" t="s">
        <v>24</v>
      </c>
      <c r="G2171" s="6" t="s">
        <v>61</v>
      </c>
      <c r="H2171" s="6" t="s">
        <v>62</v>
      </c>
      <c r="I2171" s="6" t="str">
        <f aca="false">IF(A2171&lt;Outliers!$E$6,"Low",IF(A2171&gt;Outliers!$F$6,"High",""))</f>
        <v/>
      </c>
      <c r="J2171" s="6" t="str">
        <f aca="false">IF(B2171&lt;Outliers!$E$7,"Low",IF(B2171&gt;Outliers!$F$7,"High",""))</f>
        <v/>
      </c>
      <c r="K2171" s="6" t="str">
        <f aca="false">IF(C2171&lt;Outliers!$E$8,"Low",IF(C2171&gt;Outliers!$F$8,"High",""))</f>
        <v/>
      </c>
      <c r="L2171" s="6" t="str">
        <f aca="false">A2171&amp;";"&amp;B2171&amp;";"&amp;C2171</f>
        <v>27.77363343;192.7121236;10.7016860709334</v>
      </c>
      <c r="M2171" s="6" t="n">
        <f aca="false">IF(COUNTIF($L$2:$L$2201,L2171)&gt;1,1,0)</f>
        <v>0</v>
      </c>
      <c r="N2171" s="6" t="str">
        <f aca="false">IF(AND(C2171&lt;Assumptions!$B$9,B2171&lt;Assumptions!$B$10),"Irrigate Now",IF(AND(C2171&gt;=Assumptions!$B$11,B2171&gt;=Assumptions!$B$12),"No Irrigation Needed","Monitor"))</f>
        <v>Monitor</v>
      </c>
      <c r="O2171" s="6" t="n">
        <f aca="false">IF(N2171=G2171,1,0)</f>
        <v>1</v>
      </c>
    </row>
    <row r="2172" customFormat="false" ht="15" hidden="false" customHeight="false" outlineLevel="0" collapsed="false">
      <c r="A2172" s="16" t="n">
        <v>25.55656667</v>
      </c>
      <c r="B2172" s="16" t="n">
        <v>193.5866233</v>
      </c>
      <c r="C2172" s="16" t="n">
        <v>20.0811730442735</v>
      </c>
      <c r="D2172" s="6" t="s">
        <v>57</v>
      </c>
      <c r="E2172" s="6" t="s">
        <v>24</v>
      </c>
      <c r="F2172" s="6" t="s">
        <v>23</v>
      </c>
      <c r="G2172" s="6" t="s">
        <v>61</v>
      </c>
      <c r="H2172" s="6" t="s">
        <v>62</v>
      </c>
      <c r="I2172" s="6" t="str">
        <f aca="false">IF(A2172&lt;Outliers!$E$6,"Low",IF(A2172&gt;Outliers!$F$6,"High",""))</f>
        <v/>
      </c>
      <c r="J2172" s="6" t="str">
        <f aca="false">IF(B2172&lt;Outliers!$E$7,"Low",IF(B2172&gt;Outliers!$F$7,"High",""))</f>
        <v/>
      </c>
      <c r="K2172" s="6" t="str">
        <f aca="false">IF(C2172&lt;Outliers!$E$8,"Low",IF(C2172&gt;Outliers!$F$8,"High",""))</f>
        <v/>
      </c>
      <c r="L2172" s="6" t="str">
        <f aca="false">A2172&amp;";"&amp;B2172&amp;";"&amp;C2172</f>
        <v>25.55656667;193.5866233;20.0811730442735</v>
      </c>
      <c r="M2172" s="6" t="n">
        <f aca="false">IF(COUNTIF($L$2:$L$2201,L2172)&gt;1,1,0)</f>
        <v>0</v>
      </c>
      <c r="N2172" s="6" t="str">
        <f aca="false">IF(AND(C2172&lt;Assumptions!$B$9,B2172&lt;Assumptions!$B$10),"Irrigate Now",IF(AND(C2172&gt;=Assumptions!$B$11,B2172&gt;=Assumptions!$B$12),"No Irrigation Needed","Monitor"))</f>
        <v>Monitor</v>
      </c>
      <c r="O2172" s="6" t="n">
        <f aca="false">IF(N2172=G2172,1,0)</f>
        <v>1</v>
      </c>
    </row>
    <row r="2173" customFormat="false" ht="15" hidden="false" customHeight="false" outlineLevel="0" collapsed="false">
      <c r="A2173" s="16" t="n">
        <v>27.92374437</v>
      </c>
      <c r="B2173" s="16" t="n">
        <v>115.2325531</v>
      </c>
      <c r="C2173" s="16" t="n">
        <v>19.7426842624416</v>
      </c>
      <c r="D2173" s="6" t="s">
        <v>57</v>
      </c>
      <c r="E2173" s="6" t="s">
        <v>57</v>
      </c>
      <c r="F2173" s="6" t="s">
        <v>60</v>
      </c>
      <c r="G2173" s="6" t="s">
        <v>61</v>
      </c>
      <c r="H2173" s="6" t="s">
        <v>63</v>
      </c>
      <c r="I2173" s="6" t="str">
        <f aca="false">IF(A2173&lt;Outliers!$E$6,"Low",IF(A2173&gt;Outliers!$F$6,"High",""))</f>
        <v/>
      </c>
      <c r="J2173" s="6" t="str">
        <f aca="false">IF(B2173&lt;Outliers!$E$7,"Low",IF(B2173&gt;Outliers!$F$7,"High",""))</f>
        <v/>
      </c>
      <c r="K2173" s="6" t="str">
        <f aca="false">IF(C2173&lt;Outliers!$E$8,"Low",IF(C2173&gt;Outliers!$F$8,"High",""))</f>
        <v/>
      </c>
      <c r="L2173" s="6" t="str">
        <f aca="false">A2173&amp;";"&amp;B2173&amp;";"&amp;C2173</f>
        <v>27.92374437;115.2325531;19.7426842624416</v>
      </c>
      <c r="M2173" s="6" t="n">
        <f aca="false">IF(COUNTIF($L$2:$L$2201,L2173)&gt;1,1,0)</f>
        <v>0</v>
      </c>
      <c r="N2173" s="6" t="str">
        <f aca="false">IF(AND(C2173&lt;Assumptions!$B$9,B2173&lt;Assumptions!$B$10),"Irrigate Now",IF(AND(C2173&gt;=Assumptions!$B$11,B2173&gt;=Assumptions!$B$12),"No Irrigation Needed","Monitor"))</f>
        <v>Monitor</v>
      </c>
      <c r="O2173" s="6" t="n">
        <f aca="false">IF(N2173=G2173,1,0)</f>
        <v>1</v>
      </c>
    </row>
    <row r="2174" customFormat="false" ht="15" hidden="false" customHeight="false" outlineLevel="0" collapsed="false">
      <c r="A2174" s="16" t="n">
        <v>26.05968403</v>
      </c>
      <c r="B2174" s="16" t="n">
        <v>161.3432535</v>
      </c>
      <c r="C2174" s="16" t="n">
        <v>11.8293301269163</v>
      </c>
      <c r="D2174" s="6" t="s">
        <v>57</v>
      </c>
      <c r="E2174" s="6" t="s">
        <v>24</v>
      </c>
      <c r="F2174" s="6" t="s">
        <v>24</v>
      </c>
      <c r="G2174" s="6" t="s">
        <v>61</v>
      </c>
      <c r="H2174" s="6" t="s">
        <v>62</v>
      </c>
      <c r="I2174" s="6" t="str">
        <f aca="false">IF(A2174&lt;Outliers!$E$6,"Low",IF(A2174&gt;Outliers!$F$6,"High",""))</f>
        <v/>
      </c>
      <c r="J2174" s="6" t="str">
        <f aca="false">IF(B2174&lt;Outliers!$E$7,"Low",IF(B2174&gt;Outliers!$F$7,"High",""))</f>
        <v/>
      </c>
      <c r="K2174" s="6" t="str">
        <f aca="false">IF(C2174&lt;Outliers!$E$8,"Low",IF(C2174&gt;Outliers!$F$8,"High",""))</f>
        <v/>
      </c>
      <c r="L2174" s="6" t="str">
        <f aca="false">A2174&amp;";"&amp;B2174&amp;";"&amp;C2174</f>
        <v>26.05968403;161.3432535;11.8293301269163</v>
      </c>
      <c r="M2174" s="6" t="n">
        <f aca="false">IF(COUNTIF($L$2:$L$2201,L2174)&gt;1,1,0)</f>
        <v>0</v>
      </c>
      <c r="N2174" s="6" t="str">
        <f aca="false">IF(AND(C2174&lt;Assumptions!$B$9,B2174&lt;Assumptions!$B$10),"Irrigate Now",IF(AND(C2174&gt;=Assumptions!$B$11,B2174&gt;=Assumptions!$B$12),"No Irrigation Needed","Monitor"))</f>
        <v>Monitor</v>
      </c>
      <c r="O2174" s="6" t="n">
        <f aca="false">IF(N2174=G2174,1,0)</f>
        <v>1</v>
      </c>
    </row>
    <row r="2175" customFormat="false" ht="15" hidden="false" customHeight="false" outlineLevel="0" collapsed="false">
      <c r="A2175" s="16" t="n">
        <v>26.35770906</v>
      </c>
      <c r="B2175" s="16" t="n">
        <v>163.6269496</v>
      </c>
      <c r="C2175" s="16" t="n">
        <v>29.3121881077235</v>
      </c>
      <c r="D2175" s="6" t="s">
        <v>57</v>
      </c>
      <c r="E2175" s="6" t="s">
        <v>24</v>
      </c>
      <c r="F2175" s="6" t="s">
        <v>23</v>
      </c>
      <c r="G2175" s="6" t="s">
        <v>58</v>
      </c>
      <c r="H2175" s="6" t="s">
        <v>59</v>
      </c>
      <c r="I2175" s="6" t="str">
        <f aca="false">IF(A2175&lt;Outliers!$E$6,"Low",IF(A2175&gt;Outliers!$F$6,"High",""))</f>
        <v/>
      </c>
      <c r="J2175" s="6" t="str">
        <f aca="false">IF(B2175&lt;Outliers!$E$7,"Low",IF(B2175&gt;Outliers!$F$7,"High",""))</f>
        <v/>
      </c>
      <c r="K2175" s="6" t="str">
        <f aca="false">IF(C2175&lt;Outliers!$E$8,"Low",IF(C2175&gt;Outliers!$F$8,"High",""))</f>
        <v/>
      </c>
      <c r="L2175" s="6" t="str">
        <f aca="false">A2175&amp;";"&amp;B2175&amp;";"&amp;C2175</f>
        <v>26.35770906;163.6269496;29.3121881077235</v>
      </c>
      <c r="M2175" s="6" t="n">
        <f aca="false">IF(COUNTIF($L$2:$L$2201,L2175)&gt;1,1,0)</f>
        <v>0</v>
      </c>
      <c r="N2175" s="6" t="str">
        <f aca="false">IF(AND(C2175&lt;Assumptions!$B$9,B2175&lt;Assumptions!$B$10),"Irrigate Now",IF(AND(C2175&gt;=Assumptions!$B$11,B2175&gt;=Assumptions!$B$12),"No Irrigation Needed","Monitor"))</f>
        <v>No Irrigation Needed</v>
      </c>
      <c r="O2175" s="6" t="n">
        <f aca="false">IF(N2175=G2175,1,0)</f>
        <v>1</v>
      </c>
    </row>
    <row r="2176" customFormat="false" ht="15" hidden="false" customHeight="false" outlineLevel="0" collapsed="false">
      <c r="A2176" s="16" t="n">
        <v>24.91370487</v>
      </c>
      <c r="B2176" s="16" t="n">
        <v>129.5481144</v>
      </c>
      <c r="C2176" s="16" t="n">
        <v>10.2247010797951</v>
      </c>
      <c r="D2176" s="6" t="s">
        <v>57</v>
      </c>
      <c r="E2176" s="6" t="s">
        <v>57</v>
      </c>
      <c r="F2176" s="6" t="s">
        <v>24</v>
      </c>
      <c r="G2176" s="6" t="s">
        <v>61</v>
      </c>
      <c r="H2176" s="6" t="s">
        <v>63</v>
      </c>
      <c r="I2176" s="6" t="str">
        <f aca="false">IF(A2176&lt;Outliers!$E$6,"Low",IF(A2176&gt;Outliers!$F$6,"High",""))</f>
        <v/>
      </c>
      <c r="J2176" s="6" t="str">
        <f aca="false">IF(B2176&lt;Outliers!$E$7,"Low",IF(B2176&gt;Outliers!$F$7,"High",""))</f>
        <v/>
      </c>
      <c r="K2176" s="6" t="str">
        <f aca="false">IF(C2176&lt;Outliers!$E$8,"Low",IF(C2176&gt;Outliers!$F$8,"High",""))</f>
        <v/>
      </c>
      <c r="L2176" s="6" t="str">
        <f aca="false">A2176&amp;";"&amp;B2176&amp;";"&amp;C2176</f>
        <v>24.91370487;129.5481144;10.2247010797951</v>
      </c>
      <c r="M2176" s="6" t="n">
        <f aca="false">IF(COUNTIF($L$2:$L$2201,L2176)&gt;1,1,0)</f>
        <v>0</v>
      </c>
      <c r="N2176" s="6" t="str">
        <f aca="false">IF(AND(C2176&lt;Assumptions!$B$9,B2176&lt;Assumptions!$B$10),"Irrigate Now",IF(AND(C2176&gt;=Assumptions!$B$11,B2176&gt;=Assumptions!$B$12),"No Irrigation Needed","Monitor"))</f>
        <v>Monitor</v>
      </c>
      <c r="O2176" s="6" t="n">
        <f aca="false">IF(N2176=G2176,1,0)</f>
        <v>1</v>
      </c>
    </row>
    <row r="2177" customFormat="false" ht="15" hidden="false" customHeight="false" outlineLevel="0" collapsed="false">
      <c r="A2177" s="16" t="n">
        <v>27.31317116</v>
      </c>
      <c r="B2177" s="16" t="n">
        <v>192.4288139</v>
      </c>
      <c r="C2177" s="16" t="n">
        <v>18.1958603292339</v>
      </c>
      <c r="D2177" s="6" t="s">
        <v>57</v>
      </c>
      <c r="E2177" s="6" t="s">
        <v>24</v>
      </c>
      <c r="F2177" s="6" t="s">
        <v>60</v>
      </c>
      <c r="G2177" s="6" t="s">
        <v>61</v>
      </c>
      <c r="H2177" s="6" t="s">
        <v>62</v>
      </c>
      <c r="I2177" s="6" t="str">
        <f aca="false">IF(A2177&lt;Outliers!$E$6,"Low",IF(A2177&gt;Outliers!$F$6,"High",""))</f>
        <v/>
      </c>
      <c r="J2177" s="6" t="str">
        <f aca="false">IF(B2177&lt;Outliers!$E$7,"Low",IF(B2177&gt;Outliers!$F$7,"High",""))</f>
        <v/>
      </c>
      <c r="K2177" s="6" t="str">
        <f aca="false">IF(C2177&lt;Outliers!$E$8,"Low",IF(C2177&gt;Outliers!$F$8,"High",""))</f>
        <v/>
      </c>
      <c r="L2177" s="6" t="str">
        <f aca="false">A2177&amp;";"&amp;B2177&amp;";"&amp;C2177</f>
        <v>27.31317116;192.4288139;18.1958603292339</v>
      </c>
      <c r="M2177" s="6" t="n">
        <f aca="false">IF(COUNTIF($L$2:$L$2201,L2177)&gt;1,1,0)</f>
        <v>0</v>
      </c>
      <c r="N2177" s="6" t="str">
        <f aca="false">IF(AND(C2177&lt;Assumptions!$B$9,B2177&lt;Assumptions!$B$10),"Irrigate Now",IF(AND(C2177&gt;=Assumptions!$B$11,B2177&gt;=Assumptions!$B$12),"No Irrigation Needed","Monitor"))</f>
        <v>Monitor</v>
      </c>
      <c r="O2177" s="6" t="n">
        <f aca="false">IF(N2177=G2177,1,0)</f>
        <v>1</v>
      </c>
    </row>
    <row r="2178" customFormat="false" ht="15" hidden="false" customHeight="false" outlineLevel="0" collapsed="false">
      <c r="A2178" s="16" t="n">
        <v>26.1387869</v>
      </c>
      <c r="B2178" s="16" t="n">
        <v>136.3027766</v>
      </c>
      <c r="C2178" s="16" t="n">
        <v>26.4301332159836</v>
      </c>
      <c r="D2178" s="6" t="s">
        <v>57</v>
      </c>
      <c r="E2178" s="6" t="s">
        <v>57</v>
      </c>
      <c r="F2178" s="6" t="s">
        <v>23</v>
      </c>
      <c r="G2178" s="6" t="s">
        <v>58</v>
      </c>
      <c r="H2178" s="6" t="s">
        <v>59</v>
      </c>
      <c r="I2178" s="6" t="str">
        <f aca="false">IF(A2178&lt;Outliers!$E$6,"Low",IF(A2178&gt;Outliers!$F$6,"High",""))</f>
        <v/>
      </c>
      <c r="J2178" s="6" t="str">
        <f aca="false">IF(B2178&lt;Outliers!$E$7,"Low",IF(B2178&gt;Outliers!$F$7,"High",""))</f>
        <v/>
      </c>
      <c r="K2178" s="6" t="str">
        <f aca="false">IF(C2178&lt;Outliers!$E$8,"Low",IF(C2178&gt;Outliers!$F$8,"High",""))</f>
        <v/>
      </c>
      <c r="L2178" s="6" t="str">
        <f aca="false">A2178&amp;";"&amp;B2178&amp;";"&amp;C2178</f>
        <v>26.1387869;136.3027766;26.4301332159836</v>
      </c>
      <c r="M2178" s="6" t="n">
        <f aca="false">IF(COUNTIF($L$2:$L$2201,L2178)&gt;1,1,0)</f>
        <v>0</v>
      </c>
      <c r="N2178" s="6" t="str">
        <f aca="false">IF(AND(C2178&lt;Assumptions!$B$9,B2178&lt;Assumptions!$B$10),"Irrigate Now",IF(AND(C2178&gt;=Assumptions!$B$11,B2178&gt;=Assumptions!$B$12),"No Irrigation Needed","Monitor"))</f>
        <v>No Irrigation Needed</v>
      </c>
      <c r="O2178" s="6" t="n">
        <f aca="false">IF(N2178=G2178,1,0)</f>
        <v>1</v>
      </c>
    </row>
    <row r="2179" customFormat="false" ht="15" hidden="false" customHeight="false" outlineLevel="0" collapsed="false">
      <c r="A2179" s="16" t="n">
        <v>23.1069385</v>
      </c>
      <c r="B2179" s="16" t="n">
        <v>162.5769606</v>
      </c>
      <c r="C2179" s="16" t="n">
        <v>23.5774613061395</v>
      </c>
      <c r="D2179" s="6" t="s">
        <v>57</v>
      </c>
      <c r="E2179" s="6" t="s">
        <v>24</v>
      </c>
      <c r="F2179" s="6" t="s">
        <v>23</v>
      </c>
      <c r="G2179" s="6" t="s">
        <v>61</v>
      </c>
      <c r="H2179" s="6" t="s">
        <v>62</v>
      </c>
      <c r="I2179" s="6" t="str">
        <f aca="false">IF(A2179&lt;Outliers!$E$6,"Low",IF(A2179&gt;Outliers!$F$6,"High",""))</f>
        <v/>
      </c>
      <c r="J2179" s="6" t="str">
        <f aca="false">IF(B2179&lt;Outliers!$E$7,"Low",IF(B2179&gt;Outliers!$F$7,"High",""))</f>
        <v/>
      </c>
      <c r="K2179" s="6" t="str">
        <f aca="false">IF(C2179&lt;Outliers!$E$8,"Low",IF(C2179&gt;Outliers!$F$8,"High",""))</f>
        <v/>
      </c>
      <c r="L2179" s="6" t="str">
        <f aca="false">A2179&amp;";"&amp;B2179&amp;";"&amp;C2179</f>
        <v>23.1069385;162.5769606;23.5774613061395</v>
      </c>
      <c r="M2179" s="6" t="n">
        <f aca="false">IF(COUNTIF($L$2:$L$2201,L2179)&gt;1,1,0)</f>
        <v>0</v>
      </c>
      <c r="N2179" s="6" t="str">
        <f aca="false">IF(AND(C2179&lt;Assumptions!$B$9,B2179&lt;Assumptions!$B$10),"Irrigate Now",IF(AND(C2179&gt;=Assumptions!$B$11,B2179&gt;=Assumptions!$B$12),"No Irrigation Needed","Monitor"))</f>
        <v>Monitor</v>
      </c>
      <c r="O2179" s="6" t="n">
        <f aca="false">IF(N2179=G2179,1,0)</f>
        <v>1</v>
      </c>
    </row>
    <row r="2180" customFormat="false" ht="15" hidden="false" customHeight="false" outlineLevel="0" collapsed="false">
      <c r="A2180" s="16" t="n">
        <v>23.52648086</v>
      </c>
      <c r="B2180" s="16" t="n">
        <v>171.8839938</v>
      </c>
      <c r="C2180" s="16" t="n">
        <v>18.5171987975723</v>
      </c>
      <c r="D2180" s="6" t="s">
        <v>57</v>
      </c>
      <c r="E2180" s="6" t="s">
        <v>24</v>
      </c>
      <c r="F2180" s="6" t="s">
        <v>60</v>
      </c>
      <c r="G2180" s="6" t="s">
        <v>61</v>
      </c>
      <c r="H2180" s="6" t="s">
        <v>62</v>
      </c>
      <c r="I2180" s="6" t="str">
        <f aca="false">IF(A2180&lt;Outliers!$E$6,"Low",IF(A2180&gt;Outliers!$F$6,"High",""))</f>
        <v/>
      </c>
      <c r="J2180" s="6" t="str">
        <f aca="false">IF(B2180&lt;Outliers!$E$7,"Low",IF(B2180&gt;Outliers!$F$7,"High",""))</f>
        <v/>
      </c>
      <c r="K2180" s="6" t="str">
        <f aca="false">IF(C2180&lt;Outliers!$E$8,"Low",IF(C2180&gt;Outliers!$F$8,"High",""))</f>
        <v/>
      </c>
      <c r="L2180" s="6" t="str">
        <f aca="false">A2180&amp;";"&amp;B2180&amp;";"&amp;C2180</f>
        <v>23.52648086;171.8839938;18.5171987975723</v>
      </c>
      <c r="M2180" s="6" t="n">
        <f aca="false">IF(COUNTIF($L$2:$L$2201,L2180)&gt;1,1,0)</f>
        <v>0</v>
      </c>
      <c r="N2180" s="6" t="str">
        <f aca="false">IF(AND(C2180&lt;Assumptions!$B$9,B2180&lt;Assumptions!$B$10),"Irrigate Now",IF(AND(C2180&gt;=Assumptions!$B$11,B2180&gt;=Assumptions!$B$12),"No Irrigation Needed","Monitor"))</f>
        <v>Monitor</v>
      </c>
      <c r="O2180" s="6" t="n">
        <f aca="false">IF(N2180=G2180,1,0)</f>
        <v>1</v>
      </c>
    </row>
    <row r="2181" customFormat="false" ht="15" hidden="false" customHeight="false" outlineLevel="0" collapsed="false">
      <c r="A2181" s="16" t="n">
        <v>25.11711046</v>
      </c>
      <c r="B2181" s="16" t="n">
        <v>194.8773479</v>
      </c>
      <c r="C2181" s="16" t="n">
        <v>18.2162957298912</v>
      </c>
      <c r="D2181" s="6" t="s">
        <v>57</v>
      </c>
      <c r="E2181" s="6" t="s">
        <v>24</v>
      </c>
      <c r="F2181" s="6" t="s">
        <v>60</v>
      </c>
      <c r="G2181" s="6" t="s">
        <v>61</v>
      </c>
      <c r="H2181" s="6" t="s">
        <v>62</v>
      </c>
      <c r="I2181" s="6" t="str">
        <f aca="false">IF(A2181&lt;Outliers!$E$6,"Low",IF(A2181&gt;Outliers!$F$6,"High",""))</f>
        <v/>
      </c>
      <c r="J2181" s="6" t="str">
        <f aca="false">IF(B2181&lt;Outliers!$E$7,"Low",IF(B2181&gt;Outliers!$F$7,"High",""))</f>
        <v/>
      </c>
      <c r="K2181" s="6" t="str">
        <f aca="false">IF(C2181&lt;Outliers!$E$8,"Low",IF(C2181&gt;Outliers!$F$8,"High",""))</f>
        <v/>
      </c>
      <c r="L2181" s="6" t="str">
        <f aca="false">A2181&amp;";"&amp;B2181&amp;";"&amp;C2181</f>
        <v>25.11711046;194.8773479;18.2162957298912</v>
      </c>
      <c r="M2181" s="6" t="n">
        <f aca="false">IF(COUNTIF($L$2:$L$2201,L2181)&gt;1,1,0)</f>
        <v>0</v>
      </c>
      <c r="N2181" s="6" t="str">
        <f aca="false">IF(AND(C2181&lt;Assumptions!$B$9,B2181&lt;Assumptions!$B$10),"Irrigate Now",IF(AND(C2181&gt;=Assumptions!$B$11,B2181&gt;=Assumptions!$B$12),"No Irrigation Needed","Monitor"))</f>
        <v>Monitor</v>
      </c>
      <c r="O2181" s="6" t="n">
        <f aca="false">IF(N2181=G2181,1,0)</f>
        <v>1</v>
      </c>
    </row>
    <row r="2182" customFormat="false" ht="15" hidden="false" customHeight="false" outlineLevel="0" collapsed="false">
      <c r="A2182" s="16" t="n">
        <v>24.02952505</v>
      </c>
      <c r="B2182" s="16" t="n">
        <v>134.6803969</v>
      </c>
      <c r="C2182" s="16" t="n">
        <v>18.4383625968345</v>
      </c>
      <c r="D2182" s="6" t="s">
        <v>57</v>
      </c>
      <c r="E2182" s="6" t="s">
        <v>57</v>
      </c>
      <c r="F2182" s="6" t="s">
        <v>60</v>
      </c>
      <c r="G2182" s="6" t="s">
        <v>61</v>
      </c>
      <c r="H2182" s="6" t="s">
        <v>63</v>
      </c>
      <c r="I2182" s="6" t="str">
        <f aca="false">IF(A2182&lt;Outliers!$E$6,"Low",IF(A2182&gt;Outliers!$F$6,"High",""))</f>
        <v/>
      </c>
      <c r="J2182" s="6" t="str">
        <f aca="false">IF(B2182&lt;Outliers!$E$7,"Low",IF(B2182&gt;Outliers!$F$7,"High",""))</f>
        <v/>
      </c>
      <c r="K2182" s="6" t="str">
        <f aca="false">IF(C2182&lt;Outliers!$E$8,"Low",IF(C2182&gt;Outliers!$F$8,"High",""))</f>
        <v/>
      </c>
      <c r="L2182" s="6" t="str">
        <f aca="false">A2182&amp;";"&amp;B2182&amp;";"&amp;C2182</f>
        <v>24.02952505;134.6803969;18.4383625968345</v>
      </c>
      <c r="M2182" s="6" t="n">
        <f aca="false">IF(COUNTIF($L$2:$L$2201,L2182)&gt;1,1,0)</f>
        <v>0</v>
      </c>
      <c r="N2182" s="6" t="str">
        <f aca="false">IF(AND(C2182&lt;Assumptions!$B$9,B2182&lt;Assumptions!$B$10),"Irrigate Now",IF(AND(C2182&gt;=Assumptions!$B$11,B2182&gt;=Assumptions!$B$12),"No Irrigation Needed","Monitor"))</f>
        <v>Monitor</v>
      </c>
      <c r="O2182" s="6" t="n">
        <f aca="false">IF(N2182=G2182,1,0)</f>
        <v>1</v>
      </c>
    </row>
    <row r="2183" customFormat="false" ht="15" hidden="false" customHeight="false" outlineLevel="0" collapsed="false">
      <c r="A2183" s="16" t="n">
        <v>26.70897548</v>
      </c>
      <c r="B2183" s="16" t="n">
        <v>158.8608887</v>
      </c>
      <c r="C2183" s="16" t="n">
        <v>28.7495790044805</v>
      </c>
      <c r="D2183" s="6" t="s">
        <v>57</v>
      </c>
      <c r="E2183" s="6" t="s">
        <v>24</v>
      </c>
      <c r="F2183" s="6" t="s">
        <v>23</v>
      </c>
      <c r="G2183" s="6" t="s">
        <v>58</v>
      </c>
      <c r="H2183" s="6" t="s">
        <v>59</v>
      </c>
      <c r="I2183" s="6" t="str">
        <f aca="false">IF(A2183&lt;Outliers!$E$6,"Low",IF(A2183&gt;Outliers!$F$6,"High",""))</f>
        <v/>
      </c>
      <c r="J2183" s="6" t="str">
        <f aca="false">IF(B2183&lt;Outliers!$E$7,"Low",IF(B2183&gt;Outliers!$F$7,"High",""))</f>
        <v/>
      </c>
      <c r="K2183" s="6" t="str">
        <f aca="false">IF(C2183&lt;Outliers!$E$8,"Low",IF(C2183&gt;Outliers!$F$8,"High",""))</f>
        <v/>
      </c>
      <c r="L2183" s="6" t="str">
        <f aca="false">A2183&amp;";"&amp;B2183&amp;";"&amp;C2183</f>
        <v>26.70897548;158.8608887;28.7495790044805</v>
      </c>
      <c r="M2183" s="6" t="n">
        <f aca="false">IF(COUNTIF($L$2:$L$2201,L2183)&gt;1,1,0)</f>
        <v>0</v>
      </c>
      <c r="N2183" s="6" t="str">
        <f aca="false">IF(AND(C2183&lt;Assumptions!$B$9,B2183&lt;Assumptions!$B$10),"Irrigate Now",IF(AND(C2183&gt;=Assumptions!$B$11,B2183&gt;=Assumptions!$B$12),"No Irrigation Needed","Monitor"))</f>
        <v>No Irrigation Needed</v>
      </c>
      <c r="O2183" s="6" t="n">
        <f aca="false">IF(N2183=G2183,1,0)</f>
        <v>1</v>
      </c>
    </row>
    <row r="2184" customFormat="false" ht="15" hidden="false" customHeight="false" outlineLevel="0" collapsed="false">
      <c r="A2184" s="16" t="n">
        <v>26.71717393</v>
      </c>
      <c r="B2184" s="16" t="n">
        <v>126.8073984</v>
      </c>
      <c r="C2184" s="16" t="n">
        <v>27.9018397386944</v>
      </c>
      <c r="D2184" s="6" t="s">
        <v>57</v>
      </c>
      <c r="E2184" s="6" t="s">
        <v>57</v>
      </c>
      <c r="F2184" s="6" t="s">
        <v>23</v>
      </c>
      <c r="G2184" s="6" t="s">
        <v>58</v>
      </c>
      <c r="H2184" s="6" t="s">
        <v>59</v>
      </c>
      <c r="I2184" s="6" t="str">
        <f aca="false">IF(A2184&lt;Outliers!$E$6,"Low",IF(A2184&gt;Outliers!$F$6,"High",""))</f>
        <v/>
      </c>
      <c r="J2184" s="6" t="str">
        <f aca="false">IF(B2184&lt;Outliers!$E$7,"Low",IF(B2184&gt;Outliers!$F$7,"High",""))</f>
        <v/>
      </c>
      <c r="K2184" s="6" t="str">
        <f aca="false">IF(C2184&lt;Outliers!$E$8,"Low",IF(C2184&gt;Outliers!$F$8,"High",""))</f>
        <v/>
      </c>
      <c r="L2184" s="6" t="str">
        <f aca="false">A2184&amp;";"&amp;B2184&amp;";"&amp;C2184</f>
        <v>26.71717393;126.8073984;27.9018397386944</v>
      </c>
      <c r="M2184" s="6" t="n">
        <f aca="false">IF(COUNTIF($L$2:$L$2201,L2184)&gt;1,1,0)</f>
        <v>0</v>
      </c>
      <c r="N2184" s="6" t="str">
        <f aca="false">IF(AND(C2184&lt;Assumptions!$B$9,B2184&lt;Assumptions!$B$10),"Irrigate Now",IF(AND(C2184&gt;=Assumptions!$B$11,B2184&gt;=Assumptions!$B$12),"No Irrigation Needed","Monitor"))</f>
        <v>No Irrigation Needed</v>
      </c>
      <c r="O2184" s="6" t="n">
        <f aca="false">IF(N2184=G2184,1,0)</f>
        <v>1</v>
      </c>
    </row>
    <row r="2185" customFormat="false" ht="15" hidden="false" customHeight="false" outlineLevel="0" collapsed="false">
      <c r="A2185" s="16" t="n">
        <v>24.59245684</v>
      </c>
      <c r="B2185" s="16" t="n">
        <v>137.7044047</v>
      </c>
      <c r="C2185" s="16" t="n">
        <v>27.0899957157856</v>
      </c>
      <c r="D2185" s="6" t="s">
        <v>57</v>
      </c>
      <c r="E2185" s="6" t="s">
        <v>57</v>
      </c>
      <c r="F2185" s="6" t="s">
        <v>23</v>
      </c>
      <c r="G2185" s="6" t="s">
        <v>58</v>
      </c>
      <c r="H2185" s="6" t="s">
        <v>59</v>
      </c>
      <c r="I2185" s="6" t="str">
        <f aca="false">IF(A2185&lt;Outliers!$E$6,"Low",IF(A2185&gt;Outliers!$F$6,"High",""))</f>
        <v/>
      </c>
      <c r="J2185" s="6" t="str">
        <f aca="false">IF(B2185&lt;Outliers!$E$7,"Low",IF(B2185&gt;Outliers!$F$7,"High",""))</f>
        <v/>
      </c>
      <c r="K2185" s="6" t="str">
        <f aca="false">IF(C2185&lt;Outliers!$E$8,"Low",IF(C2185&gt;Outliers!$F$8,"High",""))</f>
        <v/>
      </c>
      <c r="L2185" s="6" t="str">
        <f aca="false">A2185&amp;";"&amp;B2185&amp;";"&amp;C2185</f>
        <v>24.59245684;137.7044047;27.0899957157856</v>
      </c>
      <c r="M2185" s="6" t="n">
        <f aca="false">IF(COUNTIF($L$2:$L$2201,L2185)&gt;1,1,0)</f>
        <v>0</v>
      </c>
      <c r="N2185" s="6" t="str">
        <f aca="false">IF(AND(C2185&lt;Assumptions!$B$9,B2185&lt;Assumptions!$B$10),"Irrigate Now",IF(AND(C2185&gt;=Assumptions!$B$11,B2185&gt;=Assumptions!$B$12),"No Irrigation Needed","Monitor"))</f>
        <v>No Irrigation Needed</v>
      </c>
      <c r="O2185" s="6" t="n">
        <f aca="false">IF(N2185=G2185,1,0)</f>
        <v>1</v>
      </c>
    </row>
    <row r="2186" customFormat="false" ht="15" hidden="false" customHeight="false" outlineLevel="0" collapsed="false">
      <c r="A2186" s="16" t="n">
        <v>27.51006055</v>
      </c>
      <c r="B2186" s="16" t="n">
        <v>143.9955548</v>
      </c>
      <c r="C2186" s="16" t="n">
        <v>10.0792512671741</v>
      </c>
      <c r="D2186" s="6" t="s">
        <v>57</v>
      </c>
      <c r="E2186" s="6" t="s">
        <v>57</v>
      </c>
      <c r="F2186" s="6" t="s">
        <v>24</v>
      </c>
      <c r="G2186" s="6" t="s">
        <v>61</v>
      </c>
      <c r="H2186" s="6" t="s">
        <v>63</v>
      </c>
      <c r="I2186" s="6" t="str">
        <f aca="false">IF(A2186&lt;Outliers!$E$6,"Low",IF(A2186&gt;Outliers!$F$6,"High",""))</f>
        <v/>
      </c>
      <c r="J2186" s="6" t="str">
        <f aca="false">IF(B2186&lt;Outliers!$E$7,"Low",IF(B2186&gt;Outliers!$F$7,"High",""))</f>
        <v/>
      </c>
      <c r="K2186" s="6" t="str">
        <f aca="false">IF(C2186&lt;Outliers!$E$8,"Low",IF(C2186&gt;Outliers!$F$8,"High",""))</f>
        <v/>
      </c>
      <c r="L2186" s="6" t="str">
        <f aca="false">A2186&amp;";"&amp;B2186&amp;";"&amp;C2186</f>
        <v>27.51006055;143.9955548;10.0792512671741</v>
      </c>
      <c r="M2186" s="6" t="n">
        <f aca="false">IF(COUNTIF($L$2:$L$2201,L2186)&gt;1,1,0)</f>
        <v>0</v>
      </c>
      <c r="N2186" s="6" t="str">
        <f aca="false">IF(AND(C2186&lt;Assumptions!$B$9,B2186&lt;Assumptions!$B$10),"Irrigate Now",IF(AND(C2186&gt;=Assumptions!$B$11,B2186&gt;=Assumptions!$B$12),"No Irrigation Needed","Monitor"))</f>
        <v>Monitor</v>
      </c>
      <c r="O2186" s="6" t="n">
        <f aca="false">IF(N2186=G2186,1,0)</f>
        <v>1</v>
      </c>
    </row>
    <row r="2187" customFormat="false" ht="15" hidden="false" customHeight="false" outlineLevel="0" collapsed="false">
      <c r="A2187" s="16" t="n">
        <v>27.57847581</v>
      </c>
      <c r="B2187" s="16" t="n">
        <v>156.6810374</v>
      </c>
      <c r="C2187" s="16" t="n">
        <v>23.3205194833695</v>
      </c>
      <c r="D2187" s="6" t="s">
        <v>57</v>
      </c>
      <c r="E2187" s="6" t="s">
        <v>24</v>
      </c>
      <c r="F2187" s="6" t="s">
        <v>23</v>
      </c>
      <c r="G2187" s="6" t="s">
        <v>61</v>
      </c>
      <c r="H2187" s="6" t="s">
        <v>62</v>
      </c>
      <c r="I2187" s="6" t="str">
        <f aca="false">IF(A2187&lt;Outliers!$E$6,"Low",IF(A2187&gt;Outliers!$F$6,"High",""))</f>
        <v/>
      </c>
      <c r="J2187" s="6" t="str">
        <f aca="false">IF(B2187&lt;Outliers!$E$7,"Low",IF(B2187&gt;Outliers!$F$7,"High",""))</f>
        <v/>
      </c>
      <c r="K2187" s="6" t="str">
        <f aca="false">IF(C2187&lt;Outliers!$E$8,"Low",IF(C2187&gt;Outliers!$F$8,"High",""))</f>
        <v/>
      </c>
      <c r="L2187" s="6" t="str">
        <f aca="false">A2187&amp;";"&amp;B2187&amp;";"&amp;C2187</f>
        <v>27.57847581;156.6810374;23.3205194833695</v>
      </c>
      <c r="M2187" s="6" t="n">
        <f aca="false">IF(COUNTIF($L$2:$L$2201,L2187)&gt;1,1,0)</f>
        <v>0</v>
      </c>
      <c r="N2187" s="6" t="str">
        <f aca="false">IF(AND(C2187&lt;Assumptions!$B$9,B2187&lt;Assumptions!$B$10),"Irrigate Now",IF(AND(C2187&gt;=Assumptions!$B$11,B2187&gt;=Assumptions!$B$12),"No Irrigation Needed","Monitor"))</f>
        <v>Monitor</v>
      </c>
      <c r="O2187" s="6" t="n">
        <f aca="false">IF(N2187=G2187,1,0)</f>
        <v>1</v>
      </c>
    </row>
    <row r="2188" customFormat="false" ht="15" hidden="false" customHeight="false" outlineLevel="0" collapsed="false">
      <c r="A2188" s="16" t="n">
        <v>26.65069302</v>
      </c>
      <c r="B2188" s="16" t="n">
        <v>145.105065</v>
      </c>
      <c r="C2188" s="16" t="n">
        <v>29.8267885117224</v>
      </c>
      <c r="D2188" s="6" t="s">
        <v>57</v>
      </c>
      <c r="E2188" s="6" t="s">
        <v>57</v>
      </c>
      <c r="F2188" s="6" t="s">
        <v>23</v>
      </c>
      <c r="G2188" s="6" t="s">
        <v>58</v>
      </c>
      <c r="H2188" s="6" t="s">
        <v>59</v>
      </c>
      <c r="I2188" s="6" t="str">
        <f aca="false">IF(A2188&lt;Outliers!$E$6,"Low",IF(A2188&gt;Outliers!$F$6,"High",""))</f>
        <v/>
      </c>
      <c r="J2188" s="6" t="str">
        <f aca="false">IF(B2188&lt;Outliers!$E$7,"Low",IF(B2188&gt;Outliers!$F$7,"High",""))</f>
        <v/>
      </c>
      <c r="K2188" s="6" t="str">
        <f aca="false">IF(C2188&lt;Outliers!$E$8,"Low",IF(C2188&gt;Outliers!$F$8,"High",""))</f>
        <v/>
      </c>
      <c r="L2188" s="6" t="str">
        <f aca="false">A2188&amp;";"&amp;B2188&amp;";"&amp;C2188</f>
        <v>26.65069302;145.105065;29.8267885117224</v>
      </c>
      <c r="M2188" s="6" t="n">
        <f aca="false">IF(COUNTIF($L$2:$L$2201,L2188)&gt;1,1,0)</f>
        <v>0</v>
      </c>
      <c r="N2188" s="6" t="str">
        <f aca="false">IF(AND(C2188&lt;Assumptions!$B$9,B2188&lt;Assumptions!$B$10),"Irrigate Now",IF(AND(C2188&gt;=Assumptions!$B$11,B2188&gt;=Assumptions!$B$12),"No Irrigation Needed","Monitor"))</f>
        <v>No Irrigation Needed</v>
      </c>
      <c r="O2188" s="6" t="n">
        <f aca="false">IF(N2188=G2188,1,0)</f>
        <v>1</v>
      </c>
    </row>
    <row r="2189" customFormat="false" ht="15" hidden="false" customHeight="false" outlineLevel="0" collapsed="false">
      <c r="A2189" s="16" t="n">
        <v>26.97251562</v>
      </c>
      <c r="B2189" s="16" t="n">
        <v>142.8610793</v>
      </c>
      <c r="C2189" s="16" t="n">
        <v>13.8038735963971</v>
      </c>
      <c r="D2189" s="6" t="s">
        <v>57</v>
      </c>
      <c r="E2189" s="6" t="s">
        <v>57</v>
      </c>
      <c r="F2189" s="6" t="s">
        <v>24</v>
      </c>
      <c r="G2189" s="6" t="s">
        <v>61</v>
      </c>
      <c r="H2189" s="6" t="s">
        <v>63</v>
      </c>
      <c r="I2189" s="6" t="str">
        <f aca="false">IF(A2189&lt;Outliers!$E$6,"Low",IF(A2189&gt;Outliers!$F$6,"High",""))</f>
        <v/>
      </c>
      <c r="J2189" s="6" t="str">
        <f aca="false">IF(B2189&lt;Outliers!$E$7,"Low",IF(B2189&gt;Outliers!$F$7,"High",""))</f>
        <v/>
      </c>
      <c r="K2189" s="6" t="str">
        <f aca="false">IF(C2189&lt;Outliers!$E$8,"Low",IF(C2189&gt;Outliers!$F$8,"High",""))</f>
        <v/>
      </c>
      <c r="L2189" s="6" t="str">
        <f aca="false">A2189&amp;";"&amp;B2189&amp;";"&amp;C2189</f>
        <v>26.97251562;142.8610793;13.8038735963971</v>
      </c>
      <c r="M2189" s="6" t="n">
        <f aca="false">IF(COUNTIF($L$2:$L$2201,L2189)&gt;1,1,0)</f>
        <v>0</v>
      </c>
      <c r="N2189" s="6" t="str">
        <f aca="false">IF(AND(C2189&lt;Assumptions!$B$9,B2189&lt;Assumptions!$B$10),"Irrigate Now",IF(AND(C2189&gt;=Assumptions!$B$11,B2189&gt;=Assumptions!$B$12),"No Irrigation Needed","Monitor"))</f>
        <v>Monitor</v>
      </c>
      <c r="O2189" s="6" t="n">
        <f aca="false">IF(N2189=G2189,1,0)</f>
        <v>1</v>
      </c>
    </row>
    <row r="2190" customFormat="false" ht="15" hidden="false" customHeight="false" outlineLevel="0" collapsed="false">
      <c r="A2190" s="16" t="n">
        <v>23.17124551</v>
      </c>
      <c r="B2190" s="16" t="n">
        <v>153.1201644</v>
      </c>
      <c r="C2190" s="16" t="n">
        <v>18.2962565577641</v>
      </c>
      <c r="D2190" s="6" t="s">
        <v>57</v>
      </c>
      <c r="E2190" s="6" t="s">
        <v>24</v>
      </c>
      <c r="F2190" s="6" t="s">
        <v>60</v>
      </c>
      <c r="G2190" s="6" t="s">
        <v>61</v>
      </c>
      <c r="H2190" s="6" t="s">
        <v>62</v>
      </c>
      <c r="I2190" s="6" t="str">
        <f aca="false">IF(A2190&lt;Outliers!$E$6,"Low",IF(A2190&gt;Outliers!$F$6,"High",""))</f>
        <v/>
      </c>
      <c r="J2190" s="6" t="str">
        <f aca="false">IF(B2190&lt;Outliers!$E$7,"Low",IF(B2190&gt;Outliers!$F$7,"High",""))</f>
        <v/>
      </c>
      <c r="K2190" s="6" t="str">
        <f aca="false">IF(C2190&lt;Outliers!$E$8,"Low",IF(C2190&gt;Outliers!$F$8,"High",""))</f>
        <v/>
      </c>
      <c r="L2190" s="6" t="str">
        <f aca="false">A2190&amp;";"&amp;B2190&amp;";"&amp;C2190</f>
        <v>23.17124551;153.1201644;18.2962565577641</v>
      </c>
      <c r="M2190" s="6" t="n">
        <f aca="false">IF(COUNTIF($L$2:$L$2201,L2190)&gt;1,1,0)</f>
        <v>0</v>
      </c>
      <c r="N2190" s="6" t="str">
        <f aca="false">IF(AND(C2190&lt;Assumptions!$B$9,B2190&lt;Assumptions!$B$10),"Irrigate Now",IF(AND(C2190&gt;=Assumptions!$B$11,B2190&gt;=Assumptions!$B$12),"No Irrigation Needed","Monitor"))</f>
        <v>Monitor</v>
      </c>
      <c r="O2190" s="6" t="n">
        <f aca="false">IF(N2190=G2190,1,0)</f>
        <v>1</v>
      </c>
    </row>
    <row r="2191" customFormat="false" ht="15" hidden="false" customHeight="false" outlineLevel="0" collapsed="false">
      <c r="A2191" s="16" t="n">
        <v>23.52652084</v>
      </c>
      <c r="B2191" s="16" t="n">
        <v>186.1728203</v>
      </c>
      <c r="C2191" s="16" t="n">
        <v>12.6429712778363</v>
      </c>
      <c r="D2191" s="6" t="s">
        <v>57</v>
      </c>
      <c r="E2191" s="6" t="s">
        <v>24</v>
      </c>
      <c r="F2191" s="6" t="s">
        <v>24</v>
      </c>
      <c r="G2191" s="6" t="s">
        <v>61</v>
      </c>
      <c r="H2191" s="6" t="s">
        <v>62</v>
      </c>
      <c r="I2191" s="6" t="str">
        <f aca="false">IF(A2191&lt;Outliers!$E$6,"Low",IF(A2191&gt;Outliers!$F$6,"High",""))</f>
        <v/>
      </c>
      <c r="J2191" s="6" t="str">
        <f aca="false">IF(B2191&lt;Outliers!$E$7,"Low",IF(B2191&gt;Outliers!$F$7,"High",""))</f>
        <v/>
      </c>
      <c r="K2191" s="6" t="str">
        <f aca="false">IF(C2191&lt;Outliers!$E$8,"Low",IF(C2191&gt;Outliers!$F$8,"High",""))</f>
        <v/>
      </c>
      <c r="L2191" s="6" t="str">
        <f aca="false">A2191&amp;";"&amp;B2191&amp;";"&amp;C2191</f>
        <v>23.52652084;186.1728203;12.6429712778363</v>
      </c>
      <c r="M2191" s="6" t="n">
        <f aca="false">IF(COUNTIF($L$2:$L$2201,L2191)&gt;1,1,0)</f>
        <v>0</v>
      </c>
      <c r="N2191" s="6" t="str">
        <f aca="false">IF(AND(C2191&lt;Assumptions!$B$9,B2191&lt;Assumptions!$B$10),"Irrigate Now",IF(AND(C2191&gt;=Assumptions!$B$11,B2191&gt;=Assumptions!$B$12),"No Irrigation Needed","Monitor"))</f>
        <v>Monitor</v>
      </c>
      <c r="O2191" s="6" t="n">
        <f aca="false">IF(N2191=G2191,1,0)</f>
        <v>1</v>
      </c>
    </row>
    <row r="2192" customFormat="false" ht="15" hidden="false" customHeight="false" outlineLevel="0" collapsed="false">
      <c r="A2192" s="16" t="n">
        <v>27.30901814</v>
      </c>
      <c r="B2192" s="16" t="n">
        <v>141.4831644</v>
      </c>
      <c r="C2192" s="16" t="n">
        <v>13.1909546925348</v>
      </c>
      <c r="D2192" s="6" t="s">
        <v>57</v>
      </c>
      <c r="E2192" s="6" t="s">
        <v>57</v>
      </c>
      <c r="F2192" s="6" t="s">
        <v>24</v>
      </c>
      <c r="G2192" s="6" t="s">
        <v>61</v>
      </c>
      <c r="H2192" s="6" t="s">
        <v>63</v>
      </c>
      <c r="I2192" s="6" t="str">
        <f aca="false">IF(A2192&lt;Outliers!$E$6,"Low",IF(A2192&gt;Outliers!$F$6,"High",""))</f>
        <v/>
      </c>
      <c r="J2192" s="6" t="str">
        <f aca="false">IF(B2192&lt;Outliers!$E$7,"Low",IF(B2192&gt;Outliers!$F$7,"High",""))</f>
        <v/>
      </c>
      <c r="K2192" s="6" t="str">
        <f aca="false">IF(C2192&lt;Outliers!$E$8,"Low",IF(C2192&gt;Outliers!$F$8,"High",""))</f>
        <v/>
      </c>
      <c r="L2192" s="6" t="str">
        <f aca="false">A2192&amp;";"&amp;B2192&amp;";"&amp;C2192</f>
        <v>27.30901814;141.4831644;13.1909546925348</v>
      </c>
      <c r="M2192" s="6" t="n">
        <f aca="false">IF(COUNTIF($L$2:$L$2201,L2192)&gt;1,1,0)</f>
        <v>0</v>
      </c>
      <c r="N2192" s="6" t="str">
        <f aca="false">IF(AND(C2192&lt;Assumptions!$B$9,B2192&lt;Assumptions!$B$10),"Irrigate Now",IF(AND(C2192&gt;=Assumptions!$B$11,B2192&gt;=Assumptions!$B$12),"No Irrigation Needed","Monitor"))</f>
        <v>Monitor</v>
      </c>
      <c r="O2192" s="6" t="n">
        <f aca="false">IF(N2192=G2192,1,0)</f>
        <v>1</v>
      </c>
    </row>
    <row r="2193" customFormat="false" ht="15" hidden="false" customHeight="false" outlineLevel="0" collapsed="false">
      <c r="A2193" s="16" t="n">
        <v>27.54823036</v>
      </c>
      <c r="B2193" s="16" t="n">
        <v>181.4170812</v>
      </c>
      <c r="C2193" s="16" t="n">
        <v>13.5088142561085</v>
      </c>
      <c r="D2193" s="6" t="s">
        <v>57</v>
      </c>
      <c r="E2193" s="6" t="s">
        <v>24</v>
      </c>
      <c r="F2193" s="6" t="s">
        <v>60</v>
      </c>
      <c r="G2193" s="6" t="s">
        <v>61</v>
      </c>
      <c r="H2193" s="6" t="s">
        <v>62</v>
      </c>
      <c r="I2193" s="6" t="str">
        <f aca="false">IF(A2193&lt;Outliers!$E$6,"Low",IF(A2193&gt;Outliers!$F$6,"High",""))</f>
        <v/>
      </c>
      <c r="J2193" s="6" t="str">
        <f aca="false">IF(B2193&lt;Outliers!$E$7,"Low",IF(B2193&gt;Outliers!$F$7,"High",""))</f>
        <v/>
      </c>
      <c r="K2193" s="6" t="str">
        <f aca="false">IF(C2193&lt;Outliers!$E$8,"Low",IF(C2193&gt;Outliers!$F$8,"High",""))</f>
        <v/>
      </c>
      <c r="L2193" s="6" t="str">
        <f aca="false">A2193&amp;";"&amp;B2193&amp;";"&amp;C2193</f>
        <v>27.54823036;181.4170812;13.5088142561085</v>
      </c>
      <c r="M2193" s="6" t="n">
        <f aca="false">IF(COUNTIF($L$2:$L$2201,L2193)&gt;1,1,0)</f>
        <v>0</v>
      </c>
      <c r="N2193" s="6" t="str">
        <f aca="false">IF(AND(C2193&lt;Assumptions!$B$9,B2193&lt;Assumptions!$B$10),"Irrigate Now",IF(AND(C2193&gt;=Assumptions!$B$11,B2193&gt;=Assumptions!$B$12),"No Irrigation Needed","Monitor"))</f>
        <v>Monitor</v>
      </c>
      <c r="O2193" s="6" t="n">
        <f aca="false">IF(N2193=G2193,1,0)</f>
        <v>1</v>
      </c>
    </row>
    <row r="2194" customFormat="false" ht="15" hidden="false" customHeight="false" outlineLevel="0" collapsed="false">
      <c r="A2194" s="16" t="n">
        <v>25.627355</v>
      </c>
      <c r="B2194" s="16" t="n">
        <v>188.5506536</v>
      </c>
      <c r="C2194" s="16" t="n">
        <v>28.4779305552786</v>
      </c>
      <c r="D2194" s="6" t="s">
        <v>57</v>
      </c>
      <c r="E2194" s="6" t="s">
        <v>24</v>
      </c>
      <c r="F2194" s="6" t="s">
        <v>23</v>
      </c>
      <c r="G2194" s="6" t="s">
        <v>58</v>
      </c>
      <c r="H2194" s="6" t="s">
        <v>59</v>
      </c>
      <c r="I2194" s="6" t="str">
        <f aca="false">IF(A2194&lt;Outliers!$E$6,"Low",IF(A2194&gt;Outliers!$F$6,"High",""))</f>
        <v/>
      </c>
      <c r="J2194" s="6" t="str">
        <f aca="false">IF(B2194&lt;Outliers!$E$7,"Low",IF(B2194&gt;Outliers!$F$7,"High",""))</f>
        <v/>
      </c>
      <c r="K2194" s="6" t="str">
        <f aca="false">IF(C2194&lt;Outliers!$E$8,"Low",IF(C2194&gt;Outliers!$F$8,"High",""))</f>
        <v/>
      </c>
      <c r="L2194" s="6" t="str">
        <f aca="false">A2194&amp;";"&amp;B2194&amp;";"&amp;C2194</f>
        <v>25.627355;188.5506536;28.4779305552786</v>
      </c>
      <c r="M2194" s="6" t="n">
        <f aca="false">IF(COUNTIF($L$2:$L$2201,L2194)&gt;1,1,0)</f>
        <v>0</v>
      </c>
      <c r="N2194" s="6" t="str">
        <f aca="false">IF(AND(C2194&lt;Assumptions!$B$9,B2194&lt;Assumptions!$B$10),"Irrigate Now",IF(AND(C2194&gt;=Assumptions!$B$11,B2194&gt;=Assumptions!$B$12),"No Irrigation Needed","Monitor"))</f>
        <v>No Irrigation Needed</v>
      </c>
      <c r="O2194" s="6" t="n">
        <f aca="false">IF(N2194=G2194,1,0)</f>
        <v>1</v>
      </c>
    </row>
    <row r="2195" customFormat="false" ht="15" hidden="false" customHeight="false" outlineLevel="0" collapsed="false">
      <c r="A2195" s="16" t="n">
        <v>23.29250318</v>
      </c>
      <c r="B2195" s="16" t="n">
        <v>183.468585</v>
      </c>
      <c r="C2195" s="16" t="n">
        <v>28.4397675573041</v>
      </c>
      <c r="D2195" s="6" t="s">
        <v>57</v>
      </c>
      <c r="E2195" s="6" t="s">
        <v>24</v>
      </c>
      <c r="F2195" s="6" t="s">
        <v>23</v>
      </c>
      <c r="G2195" s="6" t="s">
        <v>58</v>
      </c>
      <c r="H2195" s="6" t="s">
        <v>59</v>
      </c>
      <c r="I2195" s="6" t="str">
        <f aca="false">IF(A2195&lt;Outliers!$E$6,"Low",IF(A2195&gt;Outliers!$F$6,"High",""))</f>
        <v/>
      </c>
      <c r="J2195" s="6" t="str">
        <f aca="false">IF(B2195&lt;Outliers!$E$7,"Low",IF(B2195&gt;Outliers!$F$7,"High",""))</f>
        <v/>
      </c>
      <c r="K2195" s="6" t="str">
        <f aca="false">IF(C2195&lt;Outliers!$E$8,"Low",IF(C2195&gt;Outliers!$F$8,"High",""))</f>
        <v/>
      </c>
      <c r="L2195" s="6" t="str">
        <f aca="false">A2195&amp;";"&amp;B2195&amp;";"&amp;C2195</f>
        <v>23.29250318;183.468585;28.4397675573041</v>
      </c>
      <c r="M2195" s="6" t="n">
        <f aca="false">IF(COUNTIF($L$2:$L$2201,L2195)&gt;1,1,0)</f>
        <v>0</v>
      </c>
      <c r="N2195" s="6" t="str">
        <f aca="false">IF(AND(C2195&lt;Assumptions!$B$9,B2195&lt;Assumptions!$B$10),"Irrigate Now",IF(AND(C2195&gt;=Assumptions!$B$11,B2195&gt;=Assumptions!$B$12),"No Irrigation Needed","Monitor"))</f>
        <v>No Irrigation Needed</v>
      </c>
      <c r="O2195" s="6" t="n">
        <f aca="false">IF(N2195=G2195,1,0)</f>
        <v>1</v>
      </c>
    </row>
    <row r="2196" customFormat="false" ht="15" hidden="false" customHeight="false" outlineLevel="0" collapsed="false">
      <c r="A2196" s="16" t="n">
        <v>24.91461008</v>
      </c>
      <c r="B2196" s="16" t="n">
        <v>166.2549307</v>
      </c>
      <c r="C2196" s="16" t="n">
        <v>22.8540279502054</v>
      </c>
      <c r="D2196" s="6" t="s">
        <v>57</v>
      </c>
      <c r="E2196" s="6" t="s">
        <v>24</v>
      </c>
      <c r="F2196" s="6" t="s">
        <v>23</v>
      </c>
      <c r="G2196" s="6" t="s">
        <v>61</v>
      </c>
      <c r="H2196" s="6" t="s">
        <v>62</v>
      </c>
      <c r="I2196" s="6" t="str">
        <f aca="false">IF(A2196&lt;Outliers!$E$6,"Low",IF(A2196&gt;Outliers!$F$6,"High",""))</f>
        <v/>
      </c>
      <c r="J2196" s="6" t="str">
        <f aca="false">IF(B2196&lt;Outliers!$E$7,"Low",IF(B2196&gt;Outliers!$F$7,"High",""))</f>
        <v/>
      </c>
      <c r="K2196" s="6" t="str">
        <f aca="false">IF(C2196&lt;Outliers!$E$8,"Low",IF(C2196&gt;Outliers!$F$8,"High",""))</f>
        <v/>
      </c>
      <c r="L2196" s="6" t="str">
        <f aca="false">A2196&amp;";"&amp;B2196&amp;";"&amp;C2196</f>
        <v>24.91461008;166.2549307;22.8540279502054</v>
      </c>
      <c r="M2196" s="6" t="n">
        <f aca="false">IF(COUNTIF($L$2:$L$2201,L2196)&gt;1,1,0)</f>
        <v>0</v>
      </c>
      <c r="N2196" s="6" t="str">
        <f aca="false">IF(AND(C2196&lt;Assumptions!$B$9,B2196&lt;Assumptions!$B$10),"Irrigate Now",IF(AND(C2196&gt;=Assumptions!$B$11,B2196&gt;=Assumptions!$B$12),"No Irrigation Needed","Monitor"))</f>
        <v>Monitor</v>
      </c>
      <c r="O2196" s="6" t="n">
        <f aca="false">IF(N2196=G2196,1,0)</f>
        <v>1</v>
      </c>
    </row>
    <row r="2197" customFormat="false" ht="15" hidden="false" customHeight="false" outlineLevel="0" collapsed="false">
      <c r="A2197" s="16" t="n">
        <v>26.77463708</v>
      </c>
      <c r="B2197" s="16" t="n">
        <v>177.7745075</v>
      </c>
      <c r="C2197" s="16" t="n">
        <v>10.6977565385473</v>
      </c>
      <c r="D2197" s="6" t="s">
        <v>57</v>
      </c>
      <c r="E2197" s="6" t="s">
        <v>24</v>
      </c>
      <c r="F2197" s="6" t="s">
        <v>24</v>
      </c>
      <c r="G2197" s="6" t="s">
        <v>61</v>
      </c>
      <c r="H2197" s="6" t="s">
        <v>62</v>
      </c>
      <c r="I2197" s="6" t="str">
        <f aca="false">IF(A2197&lt;Outliers!$E$6,"Low",IF(A2197&gt;Outliers!$F$6,"High",""))</f>
        <v/>
      </c>
      <c r="J2197" s="6" t="str">
        <f aca="false">IF(B2197&lt;Outliers!$E$7,"Low",IF(B2197&gt;Outliers!$F$7,"High",""))</f>
        <v/>
      </c>
      <c r="K2197" s="6" t="str">
        <f aca="false">IF(C2197&lt;Outliers!$E$8,"Low",IF(C2197&gt;Outliers!$F$8,"High",""))</f>
        <v/>
      </c>
      <c r="L2197" s="6" t="str">
        <f aca="false">A2197&amp;";"&amp;B2197&amp;";"&amp;C2197</f>
        <v>26.77463708;177.7745075;10.6977565385473</v>
      </c>
      <c r="M2197" s="6" t="n">
        <f aca="false">IF(COUNTIF($L$2:$L$2201,L2197)&gt;1,1,0)</f>
        <v>0</v>
      </c>
      <c r="N2197" s="6" t="str">
        <f aca="false">IF(AND(C2197&lt;Assumptions!$B$9,B2197&lt;Assumptions!$B$10),"Irrigate Now",IF(AND(C2197&gt;=Assumptions!$B$11,B2197&gt;=Assumptions!$B$12),"No Irrigation Needed","Monitor"))</f>
        <v>Monitor</v>
      </c>
      <c r="O2197" s="6" t="n">
        <f aca="false">IF(N2197=G2197,1,0)</f>
        <v>1</v>
      </c>
    </row>
    <row r="2198" customFormat="false" ht="15" hidden="false" customHeight="false" outlineLevel="0" collapsed="false">
      <c r="A2198" s="16" t="n">
        <v>27.41711238</v>
      </c>
      <c r="B2198" s="16" t="n">
        <v>127.92461</v>
      </c>
      <c r="C2198" s="16" t="n">
        <v>12.2038296820388</v>
      </c>
      <c r="D2198" s="6" t="s">
        <v>57</v>
      </c>
      <c r="E2198" s="6" t="s">
        <v>57</v>
      </c>
      <c r="F2198" s="6" t="s">
        <v>24</v>
      </c>
      <c r="G2198" s="6" t="s">
        <v>61</v>
      </c>
      <c r="H2198" s="6" t="s">
        <v>63</v>
      </c>
      <c r="I2198" s="6" t="str">
        <f aca="false">IF(A2198&lt;Outliers!$E$6,"Low",IF(A2198&gt;Outliers!$F$6,"High",""))</f>
        <v/>
      </c>
      <c r="J2198" s="6" t="str">
        <f aca="false">IF(B2198&lt;Outliers!$E$7,"Low",IF(B2198&gt;Outliers!$F$7,"High",""))</f>
        <v/>
      </c>
      <c r="K2198" s="6" t="str">
        <f aca="false">IF(C2198&lt;Outliers!$E$8,"Low",IF(C2198&gt;Outliers!$F$8,"High",""))</f>
        <v/>
      </c>
      <c r="L2198" s="6" t="str">
        <f aca="false">A2198&amp;";"&amp;B2198&amp;";"&amp;C2198</f>
        <v>27.41711238;127.92461;12.2038296820388</v>
      </c>
      <c r="M2198" s="6" t="n">
        <f aca="false">IF(COUNTIF($L$2:$L$2201,L2198)&gt;1,1,0)</f>
        <v>0</v>
      </c>
      <c r="N2198" s="6" t="str">
        <f aca="false">IF(AND(C2198&lt;Assumptions!$B$9,B2198&lt;Assumptions!$B$10),"Irrigate Now",IF(AND(C2198&gt;=Assumptions!$B$11,B2198&gt;=Assumptions!$B$12),"No Irrigation Needed","Monitor"))</f>
        <v>Monitor</v>
      </c>
      <c r="O2198" s="6" t="n">
        <f aca="false">IF(N2198=G2198,1,0)</f>
        <v>1</v>
      </c>
    </row>
    <row r="2199" customFormat="false" ht="15" hidden="false" customHeight="false" outlineLevel="0" collapsed="false">
      <c r="A2199" s="16" t="n">
        <v>24.13179691</v>
      </c>
      <c r="B2199" s="16" t="n">
        <v>173.3228386</v>
      </c>
      <c r="C2199" s="16" t="n">
        <v>28.9891755295481</v>
      </c>
      <c r="D2199" s="6" t="s">
        <v>57</v>
      </c>
      <c r="E2199" s="6" t="s">
        <v>24</v>
      </c>
      <c r="F2199" s="6" t="s">
        <v>23</v>
      </c>
      <c r="G2199" s="6" t="s">
        <v>58</v>
      </c>
      <c r="H2199" s="6" t="s">
        <v>59</v>
      </c>
      <c r="I2199" s="6" t="str">
        <f aca="false">IF(A2199&lt;Outliers!$E$6,"Low",IF(A2199&gt;Outliers!$F$6,"High",""))</f>
        <v/>
      </c>
      <c r="J2199" s="6" t="str">
        <f aca="false">IF(B2199&lt;Outliers!$E$7,"Low",IF(B2199&gt;Outliers!$F$7,"High",""))</f>
        <v/>
      </c>
      <c r="K2199" s="6" t="str">
        <f aca="false">IF(C2199&lt;Outliers!$E$8,"Low",IF(C2199&gt;Outliers!$F$8,"High",""))</f>
        <v/>
      </c>
      <c r="L2199" s="6" t="str">
        <f aca="false">A2199&amp;";"&amp;B2199&amp;";"&amp;C2199</f>
        <v>24.13179691;173.3228386;28.9891755295481</v>
      </c>
      <c r="M2199" s="6" t="n">
        <f aca="false">IF(COUNTIF($L$2:$L$2201,L2199)&gt;1,1,0)</f>
        <v>0</v>
      </c>
      <c r="N2199" s="6" t="str">
        <f aca="false">IF(AND(C2199&lt;Assumptions!$B$9,B2199&lt;Assumptions!$B$10),"Irrigate Now",IF(AND(C2199&gt;=Assumptions!$B$11,B2199&gt;=Assumptions!$B$12),"No Irrigation Needed","Monitor"))</f>
        <v>No Irrigation Needed</v>
      </c>
      <c r="O2199" s="6" t="n">
        <f aca="false">IF(N2199=G2199,1,0)</f>
        <v>1</v>
      </c>
    </row>
    <row r="2200" customFormat="false" ht="15" hidden="false" customHeight="false" outlineLevel="0" collapsed="false">
      <c r="A2200" s="16" t="n">
        <v>26.2724184</v>
      </c>
      <c r="B2200" s="16" t="n">
        <v>127.1752928</v>
      </c>
      <c r="C2200" s="16" t="n">
        <v>13.6423047369226</v>
      </c>
      <c r="D2200" s="6" t="s">
        <v>57</v>
      </c>
      <c r="E2200" s="6" t="s">
        <v>57</v>
      </c>
      <c r="F2200" s="6" t="s">
        <v>24</v>
      </c>
      <c r="G2200" s="6" t="s">
        <v>61</v>
      </c>
      <c r="H2200" s="6" t="s">
        <v>63</v>
      </c>
      <c r="I2200" s="6" t="str">
        <f aca="false">IF(A2200&lt;Outliers!$E$6,"Low",IF(A2200&gt;Outliers!$F$6,"High",""))</f>
        <v/>
      </c>
      <c r="J2200" s="6" t="str">
        <f aca="false">IF(B2200&lt;Outliers!$E$7,"Low",IF(B2200&gt;Outliers!$F$7,"High",""))</f>
        <v/>
      </c>
      <c r="K2200" s="6" t="str">
        <f aca="false">IF(C2200&lt;Outliers!$E$8,"Low",IF(C2200&gt;Outliers!$F$8,"High",""))</f>
        <v/>
      </c>
      <c r="L2200" s="6" t="str">
        <f aca="false">A2200&amp;";"&amp;B2200&amp;";"&amp;C2200</f>
        <v>26.2724184;127.1752928;13.6423047369226</v>
      </c>
      <c r="M2200" s="6" t="n">
        <f aca="false">IF(COUNTIF($L$2:$L$2201,L2200)&gt;1,1,0)</f>
        <v>0</v>
      </c>
      <c r="N2200" s="6" t="str">
        <f aca="false">IF(AND(C2200&lt;Assumptions!$B$9,B2200&lt;Assumptions!$B$10),"Irrigate Now",IF(AND(C2200&gt;=Assumptions!$B$11,B2200&gt;=Assumptions!$B$12),"No Irrigation Needed","Monitor"))</f>
        <v>Monitor</v>
      </c>
      <c r="O2200" s="6" t="n">
        <f aca="false">IF(N2200=G2200,1,0)</f>
        <v>1</v>
      </c>
    </row>
    <row r="2201" customFormat="false" ht="15" hidden="false" customHeight="false" outlineLevel="0" collapsed="false">
      <c r="A2201" s="16" t="n">
        <v>23.60301571</v>
      </c>
      <c r="B2201" s="16" t="n">
        <v>140.9370415</v>
      </c>
      <c r="C2201" s="16" t="n">
        <v>23.9117275784086</v>
      </c>
      <c r="D2201" s="6" t="s">
        <v>57</v>
      </c>
      <c r="E2201" s="6" t="s">
        <v>57</v>
      </c>
      <c r="F2201" s="6" t="s">
        <v>23</v>
      </c>
      <c r="G2201" s="6" t="s">
        <v>61</v>
      </c>
      <c r="H2201" s="6" t="s">
        <v>63</v>
      </c>
      <c r="I2201" s="6" t="str">
        <f aca="false">IF(A2201&lt;Outliers!$E$6,"Low",IF(A2201&gt;Outliers!$F$6,"High",""))</f>
        <v/>
      </c>
      <c r="J2201" s="6" t="str">
        <f aca="false">IF(B2201&lt;Outliers!$E$7,"Low",IF(B2201&gt;Outliers!$F$7,"High",""))</f>
        <v/>
      </c>
      <c r="K2201" s="6" t="str">
        <f aca="false">IF(C2201&lt;Outliers!$E$8,"Low",IF(C2201&gt;Outliers!$F$8,"High",""))</f>
        <v/>
      </c>
      <c r="L2201" s="6" t="str">
        <f aca="false">A2201&amp;";"&amp;B2201&amp;";"&amp;C2201</f>
        <v>23.60301571;140.9370415;23.9117275784086</v>
      </c>
      <c r="M2201" s="6" t="n">
        <f aca="false">IF(COUNTIF($L$2:$L$2201,L2201)&gt;1,1,0)</f>
        <v>0</v>
      </c>
      <c r="N2201" s="6" t="str">
        <f aca="false">IF(AND(C2201&lt;Assumptions!$B$9,B2201&lt;Assumptions!$B$10),"Irrigate Now",IF(AND(C2201&gt;=Assumptions!$B$11,B2201&gt;=Assumptions!$B$12),"No Irrigation Needed","Monitor"))</f>
        <v>Monitor</v>
      </c>
      <c r="O2201" s="6" t="n">
        <f aca="false">IF(N2201=G2201,1,0)</f>
        <v>1</v>
      </c>
    </row>
  </sheetData>
  <autoFilter ref="A1:O22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70"/>
  </cols>
  <sheetData>
    <row r="1" customFormat="false" ht="17.35" hidden="false" customHeight="false" outlineLevel="0" collapsed="false">
      <c r="A1" s="1" t="s">
        <v>69</v>
      </c>
    </row>
    <row r="2" customFormat="false" ht="15" hidden="false" customHeight="false" outlineLevel="0" collapsed="false">
      <c r="A2" s="2" t="s">
        <v>70</v>
      </c>
    </row>
    <row r="4" customFormat="false" ht="15" hidden="false" customHeight="false" outlineLevel="0" collapsed="false">
      <c r="A4" s="7" t="s">
        <v>71</v>
      </c>
      <c r="B4" s="7" t="s">
        <v>72</v>
      </c>
      <c r="C4" s="7" t="s">
        <v>73</v>
      </c>
    </row>
    <row r="5" customFormat="false" ht="15" hidden="false" customHeight="false" outlineLevel="0" collapsed="false">
      <c r="A5" s="17" t="s">
        <v>74</v>
      </c>
      <c r="B5" s="18" t="n">
        <v>20</v>
      </c>
      <c r="C5" s="19" t="s">
        <v>75</v>
      </c>
    </row>
    <row r="6" customFormat="false" ht="15" hidden="false" customHeight="false" outlineLevel="0" collapsed="false">
      <c r="A6" s="17" t="s">
        <v>76</v>
      </c>
      <c r="B6" s="18" t="n">
        <v>30</v>
      </c>
      <c r="C6" s="19" t="s">
        <v>77</v>
      </c>
    </row>
    <row r="7" customFormat="false" ht="15" hidden="false" customHeight="false" outlineLevel="0" collapsed="false">
      <c r="A7" s="17" t="s">
        <v>78</v>
      </c>
      <c r="B7" s="18" t="n">
        <v>50</v>
      </c>
      <c r="C7" s="19" t="s">
        <v>79</v>
      </c>
    </row>
    <row r="8" customFormat="false" ht="15" hidden="false" customHeight="false" outlineLevel="0" collapsed="false">
      <c r="A8" s="17" t="s">
        <v>80</v>
      </c>
      <c r="B8" s="18" t="n">
        <v>150</v>
      </c>
      <c r="C8" s="19" t="s">
        <v>81</v>
      </c>
    </row>
    <row r="9" customFormat="false" ht="15" hidden="false" customHeight="false" outlineLevel="0" collapsed="false">
      <c r="A9" s="17" t="s">
        <v>82</v>
      </c>
      <c r="B9" s="18" t="n">
        <v>18</v>
      </c>
      <c r="C9" s="19" t="s">
        <v>83</v>
      </c>
    </row>
    <row r="10" customFormat="false" ht="15" hidden="false" customHeight="false" outlineLevel="0" collapsed="false">
      <c r="A10" s="17" t="s">
        <v>84</v>
      </c>
      <c r="B10" s="18" t="n">
        <v>100</v>
      </c>
      <c r="C10" s="19" t="s">
        <v>85</v>
      </c>
    </row>
    <row r="11" customFormat="false" ht="15" hidden="false" customHeight="false" outlineLevel="0" collapsed="false">
      <c r="A11" s="17" t="s">
        <v>86</v>
      </c>
      <c r="B11" s="18" t="n">
        <v>25</v>
      </c>
      <c r="C11" s="19" t="s">
        <v>87</v>
      </c>
    </row>
    <row r="12" customFormat="false" ht="15" hidden="false" customHeight="false" outlineLevel="0" collapsed="false">
      <c r="A12" s="17" t="s">
        <v>88</v>
      </c>
      <c r="B12" s="18" t="n">
        <v>100</v>
      </c>
      <c r="C12" s="19" t="s">
        <v>89</v>
      </c>
    </row>
    <row r="13" customFormat="false" ht="15" hidden="false" customHeight="false" outlineLevel="0" collapsed="false">
      <c r="A13" s="2" t="s">
        <v>90</v>
      </c>
    </row>
    <row r="14" customFormat="false" ht="15" hidden="false" customHeight="false" outlineLevel="0" collapsed="false">
      <c r="A14" s="7" t="s">
        <v>91</v>
      </c>
      <c r="B14" s="7" t="s">
        <v>72</v>
      </c>
      <c r="C14" s="7" t="s">
        <v>92</v>
      </c>
    </row>
    <row r="15" customFormat="false" ht="15" hidden="false" customHeight="false" outlineLevel="0" collapsed="false">
      <c r="A15" s="17" t="s">
        <v>93</v>
      </c>
      <c r="B15" s="18" t="n">
        <v>-10</v>
      </c>
      <c r="C15" s="19" t="s">
        <v>94</v>
      </c>
    </row>
    <row r="16" customFormat="false" ht="15" hidden="false" customHeight="false" outlineLevel="0" collapsed="false">
      <c r="A16" s="17" t="s">
        <v>95</v>
      </c>
      <c r="B16" s="18" t="n">
        <v>60</v>
      </c>
      <c r="C16" s="19" t="s">
        <v>96</v>
      </c>
    </row>
    <row r="17" customFormat="false" ht="15" hidden="false" customHeight="false" outlineLevel="0" collapsed="false">
      <c r="A17" s="17" t="s">
        <v>97</v>
      </c>
      <c r="B17" s="18" t="n">
        <v>0</v>
      </c>
      <c r="C17" s="19" t="s">
        <v>98</v>
      </c>
    </row>
    <row r="18" customFormat="false" ht="15" hidden="false" customHeight="false" outlineLevel="0" collapsed="false">
      <c r="A18" s="17" t="s">
        <v>99</v>
      </c>
      <c r="B18" s="18" t="n">
        <v>100</v>
      </c>
      <c r="C18" s="19" t="s">
        <v>100</v>
      </c>
    </row>
    <row r="19" customFormat="false" ht="15" hidden="false" customHeight="false" outlineLevel="0" collapsed="false">
      <c r="A19" s="17" t="s">
        <v>101</v>
      </c>
      <c r="B19" s="18" t="n">
        <v>0</v>
      </c>
      <c r="C19" s="19" t="s">
        <v>102</v>
      </c>
    </row>
    <row r="20" customFormat="false" ht="15" hidden="false" customHeight="false" outlineLevel="0" collapsed="false">
      <c r="A20" s="17" t="s">
        <v>103</v>
      </c>
      <c r="B20" s="18" t="n">
        <v>1000</v>
      </c>
      <c r="C20" s="19"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16"/>
    <col collapsed="false" customWidth="true" hidden="false" outlineLevel="0" max="4" min="4" style="0" width="12"/>
    <col collapsed="false" customWidth="true" hidden="false" outlineLevel="0" max="5" min="5" style="0" width="13"/>
    <col collapsed="false" customWidth="true" hidden="false" outlineLevel="0" max="6" min="6" style="0" width="10"/>
  </cols>
  <sheetData>
    <row r="1" customFormat="false" ht="17.35" hidden="false" customHeight="false" outlineLevel="0" collapsed="false">
      <c r="A1" s="1" t="s">
        <v>105</v>
      </c>
    </row>
    <row r="2" customFormat="false" ht="15" hidden="false" customHeight="false" outlineLevel="0" collapsed="false">
      <c r="A2" s="2" t="s">
        <v>106</v>
      </c>
    </row>
    <row r="3" customFormat="false" ht="15" hidden="false" customHeight="false" outlineLevel="0" collapsed="false">
      <c r="A3" s="3" t="s">
        <v>107</v>
      </c>
    </row>
    <row r="4" customFormat="false" ht="15" hidden="false" customHeight="false" outlineLevel="0" collapsed="false">
      <c r="A4" s="7" t="s">
        <v>108</v>
      </c>
      <c r="B4" s="7" t="s">
        <v>109</v>
      </c>
      <c r="C4" s="7" t="s">
        <v>110</v>
      </c>
      <c r="D4" s="7" t="s">
        <v>111</v>
      </c>
      <c r="E4" s="7" t="s">
        <v>112</v>
      </c>
      <c r="F4" s="7" t="s">
        <v>113</v>
      </c>
    </row>
    <row r="5" customFormat="false" ht="15" hidden="false" customHeight="false" outlineLevel="0" collapsed="false">
      <c r="A5" s="17" t="s">
        <v>42</v>
      </c>
      <c r="B5" s="17" t="n">
        <f aca="false">ROWS(Data!$A$2:$A$2201)</f>
        <v>2200</v>
      </c>
      <c r="C5" s="17" t="n">
        <f aca="false">COUNTA(Data!$A$2:$A$2201)</f>
        <v>2200</v>
      </c>
      <c r="D5" s="17" t="n">
        <f aca="false">B5-C5</f>
        <v>0</v>
      </c>
      <c r="E5" s="17" t="n">
        <f aca="false">C5-COUNT(Data!$A$2:$A$2201)</f>
        <v>0</v>
      </c>
      <c r="F5" s="8" t="str">
        <f aca="false">IF(AND(D5=0,N(E5)=0),"OK","CHECK")</f>
        <v>OK</v>
      </c>
    </row>
    <row r="6" customFormat="false" ht="15" hidden="false" customHeight="false" outlineLevel="0" collapsed="false">
      <c r="A6" s="17" t="s">
        <v>43</v>
      </c>
      <c r="B6" s="17" t="n">
        <f aca="false">ROWS(Data!$B$2:$B$2201)</f>
        <v>2200</v>
      </c>
      <c r="C6" s="17" t="n">
        <f aca="false">COUNTA(Data!$B$2:$B$2201)</f>
        <v>2200</v>
      </c>
      <c r="D6" s="17" t="n">
        <f aca="false">B6-C6</f>
        <v>0</v>
      </c>
      <c r="E6" s="17" t="n">
        <f aca="false">C6-COUNT(Data!$B$2:$B$2201)</f>
        <v>0</v>
      </c>
      <c r="F6" s="8" t="str">
        <f aca="false">IF(AND(D6=0,N(E6)=0),"OK","CHECK")</f>
        <v>OK</v>
      </c>
    </row>
    <row r="7" customFormat="false" ht="15" hidden="false" customHeight="false" outlineLevel="0" collapsed="false">
      <c r="A7" s="17" t="s">
        <v>44</v>
      </c>
      <c r="B7" s="17" t="n">
        <f aca="false">ROWS(Data!$C$2:$C$2201)</f>
        <v>2200</v>
      </c>
      <c r="C7" s="17" t="n">
        <f aca="false">COUNTA(Data!$C$2:$C$2201)</f>
        <v>2200</v>
      </c>
      <c r="D7" s="17" t="n">
        <f aca="false">B7-C7</f>
        <v>0</v>
      </c>
      <c r="E7" s="17" t="n">
        <f aca="false">C7-COUNT(Data!$C$2:$C$2201)</f>
        <v>0</v>
      </c>
      <c r="F7" s="8" t="str">
        <f aca="false">IF(AND(D7=0,N(E7)=0),"OK","CHECK")</f>
        <v>OK</v>
      </c>
    </row>
    <row r="8" customFormat="false" ht="15" hidden="false" customHeight="false" outlineLevel="0" collapsed="false">
      <c r="A8" s="17" t="s">
        <v>45</v>
      </c>
      <c r="B8" s="17" t="n">
        <f aca="false">ROWS(Data!$D$2:$D$2201)</f>
        <v>2200</v>
      </c>
      <c r="C8" s="17" t="n">
        <f aca="false">COUNTA(Data!$D$2:$D$2201)</f>
        <v>2200</v>
      </c>
      <c r="D8" s="17" t="n">
        <f aca="false">B8-C8</f>
        <v>0</v>
      </c>
      <c r="E8" s="17" t="s">
        <v>114</v>
      </c>
      <c r="F8" s="8" t="str">
        <f aca="false">IF(AND(D8=0,N(E8)=0),"OK","CHECK")</f>
        <v>OK</v>
      </c>
    </row>
    <row r="9" customFormat="false" ht="15" hidden="false" customHeight="false" outlineLevel="0" collapsed="false">
      <c r="A9" s="17" t="s">
        <v>46</v>
      </c>
      <c r="B9" s="17" t="n">
        <f aca="false">ROWS(Data!$E$2:$E$2201)</f>
        <v>2200</v>
      </c>
      <c r="C9" s="17" t="n">
        <f aca="false">COUNTA(Data!$E$2:$E$2201)</f>
        <v>2200</v>
      </c>
      <c r="D9" s="17" t="n">
        <f aca="false">B9-C9</f>
        <v>0</v>
      </c>
      <c r="E9" s="17" t="s">
        <v>114</v>
      </c>
      <c r="F9" s="8" t="str">
        <f aca="false">IF(AND(D9=0,N(E9)=0),"OK","CHECK")</f>
        <v>OK</v>
      </c>
    </row>
    <row r="10" customFormat="false" ht="15" hidden="false" customHeight="false" outlineLevel="0" collapsed="false">
      <c r="A10" s="17" t="s">
        <v>47</v>
      </c>
      <c r="B10" s="17" t="n">
        <f aca="false">ROWS(Data!$F$2:$F$2201)</f>
        <v>2200</v>
      </c>
      <c r="C10" s="17" t="n">
        <f aca="false">COUNTA(Data!$F$2:$F$2201)</f>
        <v>2200</v>
      </c>
      <c r="D10" s="17" t="n">
        <f aca="false">B10-C10</f>
        <v>0</v>
      </c>
      <c r="E10" s="17" t="s">
        <v>114</v>
      </c>
      <c r="F10" s="8" t="str">
        <f aca="false">IF(AND(D10=0,N(E10)=0),"OK","CHECK")</f>
        <v>OK</v>
      </c>
    </row>
    <row r="11" customFormat="false" ht="15" hidden="false" customHeight="false" outlineLevel="0" collapsed="false">
      <c r="A11" s="17" t="s">
        <v>48</v>
      </c>
      <c r="B11" s="17" t="n">
        <f aca="false">ROWS(Data!$G$2:$G$2201)</f>
        <v>2200</v>
      </c>
      <c r="C11" s="17" t="n">
        <f aca="false">COUNTA(Data!$G$2:$G$2201)</f>
        <v>2200</v>
      </c>
      <c r="D11" s="17" t="n">
        <f aca="false">B11-C11</f>
        <v>0</v>
      </c>
      <c r="E11" s="17" t="s">
        <v>114</v>
      </c>
      <c r="F11" s="8" t="str">
        <f aca="false">IF(AND(D11=0,N(E11)=0),"OK","CHECK")</f>
        <v>OK</v>
      </c>
    </row>
    <row r="12" customFormat="false" ht="15" hidden="false" customHeight="false" outlineLevel="0" collapsed="false">
      <c r="A12" s="17" t="s">
        <v>49</v>
      </c>
      <c r="B12" s="17" t="n">
        <f aca="false">ROWS(Data!$H$2:$H$2201)</f>
        <v>2200</v>
      </c>
      <c r="C12" s="17" t="n">
        <f aca="false">COUNTA(Data!$H$2:$H$2201)</f>
        <v>2200</v>
      </c>
      <c r="D12" s="17" t="n">
        <f aca="false">B12-C12</f>
        <v>0</v>
      </c>
      <c r="E12" s="17" t="s">
        <v>114</v>
      </c>
      <c r="F12" s="8" t="str">
        <f aca="false">IF(AND(D12=0,N(E12)=0),"OK","CHECK")</f>
        <v>OK</v>
      </c>
    </row>
    <row r="14" customFormat="false" ht="15" hidden="false" customHeight="false" outlineLevel="0" collapsed="false">
      <c r="A14" s="3" t="s">
        <v>115</v>
      </c>
    </row>
    <row r="15" customFormat="false" ht="15" hidden="false" customHeight="false" outlineLevel="0" collapsed="false">
      <c r="A15" s="7" t="s">
        <v>116</v>
      </c>
      <c r="B15" s="7" t="s">
        <v>117</v>
      </c>
      <c r="C15" s="7" t="s">
        <v>113</v>
      </c>
    </row>
    <row r="16" customFormat="false" ht="15" hidden="false" customHeight="false" outlineLevel="0" collapsed="false">
      <c r="A16" s="17" t="s">
        <v>118</v>
      </c>
      <c r="B16" s="17" t="n">
        <f aca="false">SUM(Data!$M$2:$M$2201)</f>
        <v>0</v>
      </c>
      <c r="C16" s="8" t="str">
        <f aca="false">IF(B16=0,"OK","CHECK")</f>
        <v>OK</v>
      </c>
    </row>
    <row r="18" customFormat="false" ht="15" hidden="false" customHeight="false" outlineLevel="0" collapsed="false">
      <c r="A18" s="3" t="s">
        <v>119</v>
      </c>
    </row>
    <row r="19" customFormat="false" ht="15" hidden="false" customHeight="false" outlineLevel="0" collapsed="false">
      <c r="A19" s="7" t="s">
        <v>6</v>
      </c>
      <c r="B19" s="7" t="s">
        <v>120</v>
      </c>
      <c r="C19" s="7" t="s">
        <v>121</v>
      </c>
      <c r="D19" s="7" t="s">
        <v>122</v>
      </c>
      <c r="E19" s="7" t="s">
        <v>123</v>
      </c>
      <c r="F19" s="7" t="s">
        <v>113</v>
      </c>
    </row>
    <row r="20" customFormat="false" ht="15" hidden="false" customHeight="false" outlineLevel="0" collapsed="false">
      <c r="A20" s="17" t="s">
        <v>124</v>
      </c>
      <c r="B20" s="10" t="n">
        <f aca="false">Assumptions!B15</f>
        <v>-10</v>
      </c>
      <c r="C20" s="10" t="n">
        <f aca="false">Assumptions!B16</f>
        <v>60</v>
      </c>
      <c r="D20" s="17" t="n">
        <f aca="false">COUNTIF(Data!$A$2:$A$2201,"&lt;"&amp;B20)</f>
        <v>0</v>
      </c>
      <c r="E20" s="17" t="n">
        <f aca="false">COUNTIF(Data!$A$2:$A$2201,"&gt;"&amp;C20)</f>
        <v>0</v>
      </c>
      <c r="F20" s="8" t="str">
        <f aca="false">IF(D20+E20=0,"OK","CHECK")</f>
        <v>OK</v>
      </c>
    </row>
    <row r="21" customFormat="false" ht="15" hidden="false" customHeight="false" outlineLevel="0" collapsed="false">
      <c r="A21" s="17" t="s">
        <v>125</v>
      </c>
      <c r="B21" s="10" t="n">
        <f aca="false">Assumptions!B19</f>
        <v>0</v>
      </c>
      <c r="C21" s="10" t="n">
        <f aca="false">Assumptions!B20</f>
        <v>1000</v>
      </c>
      <c r="D21" s="17" t="n">
        <f aca="false">COUNTIF(Data!$B$2:$B$2201,"&lt;"&amp;B21)</f>
        <v>0</v>
      </c>
      <c r="E21" s="17" t="n">
        <f aca="false">COUNTIF(Data!$B$2:$B$2201,"&gt;"&amp;C21)</f>
        <v>0</v>
      </c>
      <c r="F21" s="8" t="str">
        <f aca="false">IF(D21+E21=0,"OK","CHECK")</f>
        <v>OK</v>
      </c>
    </row>
    <row r="22" customFormat="false" ht="15" hidden="false" customHeight="false" outlineLevel="0" collapsed="false">
      <c r="A22" s="17" t="s">
        <v>126</v>
      </c>
      <c r="B22" s="10" t="n">
        <f aca="false">Assumptions!B17</f>
        <v>0</v>
      </c>
      <c r="C22" s="10" t="n">
        <f aca="false">Assumptions!B18</f>
        <v>100</v>
      </c>
      <c r="D22" s="17" t="n">
        <f aca="false">COUNTIF(Data!$C$2:$C$2201,"&lt;"&amp;B22)</f>
        <v>0</v>
      </c>
      <c r="E22" s="17" t="n">
        <f aca="false">COUNTIF(Data!$C$2:$C$2201,"&gt;"&amp;C22)</f>
        <v>0</v>
      </c>
      <c r="F22" s="8" t="str">
        <f aca="false">IF(D22+E22=0,"OK","CHECK")</f>
        <v>OK</v>
      </c>
    </row>
    <row r="24" customFormat="false" ht="15" hidden="false" customHeight="false" outlineLevel="0" collapsed="false">
      <c r="A24" s="3" t="s">
        <v>127</v>
      </c>
    </row>
    <row r="25" customFormat="false" ht="15" hidden="false" customHeight="false" outlineLevel="0" collapsed="false">
      <c r="A25" s="7" t="s">
        <v>116</v>
      </c>
      <c r="B25" s="7" t="s">
        <v>128</v>
      </c>
      <c r="C25" s="7" t="s">
        <v>113</v>
      </c>
    </row>
    <row r="26" customFormat="false" ht="15" hidden="false" customHeight="false" outlineLevel="0" collapsed="false">
      <c r="A26" s="17" t="s">
        <v>129</v>
      </c>
      <c r="B26" s="17" t="n">
        <f aca="false">ROWS(Data!$A$2:$A$2201)-(COUNTIF(Data!$D$2:$D$2201,"Cool")+COUNTIF(Data!$D$2:$D$2201,"Moderate")+COUNTIF(Data!$D$2:$D$2201,"Hot"))</f>
        <v>0</v>
      </c>
      <c r="C26" s="8" t="str">
        <f aca="false">IF(B26=0,"OK","CHECK")</f>
        <v>OK</v>
      </c>
    </row>
    <row r="27" customFormat="false" ht="15" hidden="false" customHeight="false" outlineLevel="0" collapsed="false">
      <c r="A27" s="17" t="s">
        <v>130</v>
      </c>
      <c r="B27" s="17" t="n">
        <f aca="false">ROWS(Data!$A$2:$A$2201)-(COUNTIF(Data!$E$2:$E$2201,"Low")+COUNTIF(Data!$E$2:$E$2201,"Moderate")+COUNTIF(Data!$E$2:$E$2201,"High"))</f>
        <v>0</v>
      </c>
      <c r="C27" s="8" t="str">
        <f aca="false">IF(B27=0,"OK","CHECK")</f>
        <v>OK</v>
      </c>
    </row>
    <row r="28" customFormat="false" ht="15" hidden="false" customHeight="false" outlineLevel="0" collapsed="false">
      <c r="A28" s="17" t="s">
        <v>131</v>
      </c>
      <c r="B28" s="17" t="n">
        <f aca="false">ROWS(Data!$A$2:$A$2201)-(COUNTIF(Data!$F$2:$F$2201,"Low")+COUNTIF(Data!$F$2:$F$2201,"Medium")+COUNTIF(Data!$F$2:$F$2201,"High"))</f>
        <v>0</v>
      </c>
      <c r="C28" s="8" t="str">
        <f aca="false">IF(B28=0,"OK","CHECK")</f>
        <v>OK</v>
      </c>
    </row>
    <row r="29" customFormat="false" ht="15" hidden="false" customHeight="false" outlineLevel="0" collapsed="false">
      <c r="A29" s="17" t="s">
        <v>132</v>
      </c>
      <c r="B29" s="17" t="n">
        <f aca="false">ROWS(Data!$A$2:$A$2201)-(COUNTIF(Data!$G$2:$G$2201,"Irrigate Now")+COUNTIF(Data!$G$2:$G$2201,"Monitor")+COUNTIF(Data!$G$2:$G$2201,"No Irrigation Needed"))</f>
        <v>0</v>
      </c>
      <c r="C29" s="8" t="str">
        <f aca="false">IF(B29=0,"OK","CHECK")</f>
        <v>OK</v>
      </c>
    </row>
    <row r="30" customFormat="false" ht="15" hidden="false" customHeight="false" outlineLevel="0" collapsed="false">
      <c r="A30" s="17" t="s">
        <v>133</v>
      </c>
      <c r="B30" s="17" t="n">
        <f aca="false">SUMPRODUCT(--(LEN(Data!$D$2:$H$2201)&lt;&gt;LEN(TRIM(Data!$D$2:$H$2201))))</f>
        <v>0</v>
      </c>
      <c r="C30" s="8" t="str">
        <f aca="false">IF(B30=0,"OK","CHECK")</f>
        <v>OK</v>
      </c>
    </row>
    <row r="31" customFormat="false" ht="15" hidden="false" customHeight="false" outlineLevel="0" collapsed="false">
      <c r="A31" s="17" t="s">
        <v>134</v>
      </c>
      <c r="B31" s="17" t="n">
        <f aca="false">COUNTIFS(Data!$D$2:$D$2201,"Cool",Data!$A$2:$A$2201,"&gt;="&amp;Assumptions!$B$5)+COUNTIFS(Data!$D$2:$D$2201,"Moderate",Data!$A$2:$A$2201,"&lt;"&amp;Assumptions!$B$5)+COUNTIFS(Data!$D$2:$D$2201,"Moderate",Data!$A$2:$A$2201,"&gt;="&amp;Assumptions!$B$6)+COUNTIFS(Data!$D$2:$D$2201,"Hot",Data!$A$2:$A$2201,"&lt;"&amp;Assumptions!$B$6)</f>
        <v>0</v>
      </c>
      <c r="C31" s="8" t="str">
        <f aca="false">IF(B31=0,"OK","CHECK")</f>
        <v>OK</v>
      </c>
    </row>
    <row r="32" customFormat="false" ht="15" hidden="false" customHeight="false" outlineLevel="0" collapsed="false">
      <c r="A32" s="17" t="s">
        <v>135</v>
      </c>
      <c r="B32" s="17" t="n">
        <f aca="false">COUNTIFS(Data!$E$2:$E$2201,"Low",Data!$B$2:$B$2201,"&gt;="&amp;Assumptions!$B$7)+COUNTIFS(Data!$E$2:$E$2201,"Moderate",Data!$B$2:$B$2201,"&lt;"&amp;Assumptions!$B$7)+COUNTIFS(Data!$E$2:$E$2201,"Moderate",Data!$B$2:$B$2201,"&gt;="&amp;Assumptions!$B$8)+COUNTIFS(Data!$E$2:$E$2201,"High",Data!$B$2:$B$2201,"&lt;"&amp;Assumptions!$B$8)</f>
        <v>0</v>
      </c>
      <c r="C32" s="8" t="str">
        <f aca="false">IF(B32=0,"OK","CHECK")</f>
        <v>OK</v>
      </c>
    </row>
    <row r="33" customFormat="false" ht="15" hidden="false" customHeight="false" outlineLevel="0" collapsed="false">
      <c r="A33" s="17" t="s">
        <v>136</v>
      </c>
      <c r="B33" s="17" t="n">
        <f aca="false">COUNTIF(Data!$O$2:$O$2201,0)</f>
        <v>0</v>
      </c>
      <c r="C33" s="8" t="str">
        <f aca="false">IF(B33=0,"OK","CHECK")</f>
        <v>OK</v>
      </c>
    </row>
    <row r="35" customFormat="false" ht="15" hidden="false" customHeight="false" outlineLevel="0" collapsed="false">
      <c r="A35" s="4" t="s">
        <v>137</v>
      </c>
      <c r="B35" s="4" t="str">
        <f aca="false">IF(AND(COUNTIF(F5:F12,"CHECK")=0,C16="OK",COUNTIF(F20:F22,"CHECK")=0,COUNTIF(C26:C33,"CHECK")=0),"PASS - no missing, duplicate, out-of-range or inconsistent entries found","REVIEW - see CHECK items above")</f>
        <v>PASS - no missing, duplicate, out-of-range or inconsistent entries found</v>
      </c>
    </row>
    <row r="37" customFormat="false" ht="15" hidden="false" customHeight="false" outlineLevel="0" collapsed="false">
      <c r="A37" s="2" t="s">
        <v>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5" min="5" style="0" width="12"/>
    <col collapsed="false" customWidth="true" hidden="false" outlineLevel="0" max="6" min="6" style="0" width="13"/>
    <col collapsed="false" customWidth="true" hidden="false" outlineLevel="0" max="7" min="7" style="0" width="16"/>
    <col collapsed="false" customWidth="true" hidden="false" outlineLevel="0" max="8" min="8" style="0" width="14"/>
    <col collapsed="false" customWidth="true" hidden="false" outlineLevel="0" max="10" min="9" style="0" width="3"/>
    <col collapsed="false" customWidth="true" hidden="false" outlineLevel="0" max="11" min="11" style="0" width="22"/>
    <col collapsed="false" customWidth="true" hidden="false" outlineLevel="0" max="13" min="12" style="0" width="10"/>
  </cols>
  <sheetData>
    <row r="1" customFormat="false" ht="17.35" hidden="false" customHeight="false" outlineLevel="0" collapsed="false">
      <c r="A1" s="1" t="s">
        <v>139</v>
      </c>
    </row>
    <row r="2" customFormat="false" ht="15" hidden="false" customHeight="false" outlineLevel="0" collapsed="false">
      <c r="A2" s="2" t="s">
        <v>140</v>
      </c>
    </row>
    <row r="4" customFormat="false" ht="15" hidden="false" customHeight="false" outlineLevel="0" collapsed="false">
      <c r="A4" s="3" t="s">
        <v>14</v>
      </c>
      <c r="K4" s="3" t="s">
        <v>45</v>
      </c>
    </row>
    <row r="5" customFormat="false" ht="15" hidden="false" customHeight="false" outlineLevel="0" collapsed="false">
      <c r="A5" s="4" t="s">
        <v>141</v>
      </c>
      <c r="B5" s="18" t="n">
        <v>8</v>
      </c>
      <c r="C5" s="4" t="s">
        <v>142</v>
      </c>
      <c r="D5" s="18" t="n">
        <v>3</v>
      </c>
      <c r="K5" s="7" t="s">
        <v>143</v>
      </c>
      <c r="L5" s="7" t="s">
        <v>117</v>
      </c>
      <c r="M5" s="7" t="s">
        <v>144</v>
      </c>
    </row>
    <row r="6" customFormat="false" ht="15" hidden="false" customHeight="false" outlineLevel="0" collapsed="false">
      <c r="A6" s="7" t="s">
        <v>145</v>
      </c>
      <c r="B6" s="7" t="s">
        <v>146</v>
      </c>
      <c r="C6" s="7" t="s">
        <v>147</v>
      </c>
      <c r="D6" s="7" t="s">
        <v>148</v>
      </c>
      <c r="E6" s="7" t="s">
        <v>149</v>
      </c>
      <c r="F6" s="7" t="s">
        <v>150</v>
      </c>
      <c r="G6" s="7" t="s">
        <v>151</v>
      </c>
      <c r="H6" s="7" t="s">
        <v>152</v>
      </c>
      <c r="K6" s="17" t="s">
        <v>66</v>
      </c>
      <c r="L6" s="20" t="n">
        <f aca="false">COUNTIF(Data!$D$2:$D$2201,K6)</f>
        <v>291</v>
      </c>
      <c r="M6" s="21" t="n">
        <f aca="false">L6/ROWS(Data!$A$2:$A$2201)</f>
        <v>0.132272727272727</v>
      </c>
    </row>
    <row r="7" customFormat="false" ht="15" hidden="false" customHeight="false" outlineLevel="0" collapsed="false">
      <c r="A7" s="17" t="str">
        <f aca="false">TEXT(B7,"0.0")&amp;" - "&amp;TEXT(C7,"0.0")</f>
        <v>8.0 - 11.0</v>
      </c>
      <c r="B7" s="22" t="n">
        <f aca="false">$B$5</f>
        <v>8</v>
      </c>
      <c r="C7" s="22" t="n">
        <f aca="false">B7+$D$5</f>
        <v>11</v>
      </c>
      <c r="D7" s="22" t="n">
        <f aca="false">(B7+C7)/2</f>
        <v>9.5</v>
      </c>
      <c r="E7" s="20" t="n">
        <f aca="false">COUNTIFS(Data!$A$2:$A$2201,"&gt;="&amp;B7,Data!$A$2:$A$2201,"&lt;"&amp;C7)</f>
        <v>14</v>
      </c>
      <c r="F7" s="21" t="n">
        <f aca="false">E7/$E$19</f>
        <v>0.00636363636363636</v>
      </c>
      <c r="G7" s="20" t="n">
        <f aca="false">SUM($E$7:E7)</f>
        <v>14</v>
      </c>
      <c r="H7" s="21" t="n">
        <f aca="false">G7/$E$19</f>
        <v>0.00636363636363636</v>
      </c>
      <c r="K7" s="17" t="s">
        <v>57</v>
      </c>
      <c r="L7" s="20" t="n">
        <f aca="false">COUNTIF(Data!$D$2:$D$2201,K7)</f>
        <v>1611</v>
      </c>
      <c r="M7" s="21" t="n">
        <f aca="false">L7/ROWS(Data!$A$2:$A$2201)</f>
        <v>0.732272727272727</v>
      </c>
    </row>
    <row r="8" customFormat="false" ht="15" hidden="false" customHeight="false" outlineLevel="0" collapsed="false">
      <c r="A8" s="17" t="str">
        <f aca="false">TEXT(B8,"0.0")&amp;" - "&amp;TEXT(C8,"0.0")</f>
        <v>11.0 - 14.0</v>
      </c>
      <c r="B8" s="22" t="n">
        <f aca="false">C7</f>
        <v>11</v>
      </c>
      <c r="C8" s="22" t="n">
        <f aca="false">B8+$D$5</f>
        <v>14</v>
      </c>
      <c r="D8" s="22" t="n">
        <f aca="false">(B8+C8)/2</f>
        <v>12.5</v>
      </c>
      <c r="E8" s="20" t="n">
        <f aca="false">COUNTIFS(Data!$A$2:$A$2201,"&gt;="&amp;B8,Data!$A$2:$A$2201,"&lt;"&amp;C8)</f>
        <v>24</v>
      </c>
      <c r="F8" s="21" t="n">
        <f aca="false">E8/$E$19</f>
        <v>0.0109090909090909</v>
      </c>
      <c r="G8" s="20" t="n">
        <f aca="false">SUM($E$7:E8)</f>
        <v>38</v>
      </c>
      <c r="H8" s="21" t="n">
        <f aca="false">G8/$E$19</f>
        <v>0.0172727272727273</v>
      </c>
      <c r="K8" s="17" t="s">
        <v>67</v>
      </c>
      <c r="L8" s="20" t="n">
        <f aca="false">COUNTIF(Data!$D$2:$D$2201,K8)</f>
        <v>298</v>
      </c>
      <c r="M8" s="21" t="n">
        <f aca="false">L8/ROWS(Data!$A$2:$A$2201)</f>
        <v>0.135454545454545</v>
      </c>
    </row>
    <row r="9" customFormat="false" ht="15" hidden="false" customHeight="false" outlineLevel="0" collapsed="false">
      <c r="A9" s="17" t="str">
        <f aca="false">TEXT(B9,"0.0")&amp;" - "&amp;TEXT(C9,"0.0")</f>
        <v>14.0 - 17.0</v>
      </c>
      <c r="B9" s="22" t="n">
        <f aca="false">C8</f>
        <v>14</v>
      </c>
      <c r="C9" s="22" t="n">
        <f aca="false">B9+$D$5</f>
        <v>17</v>
      </c>
      <c r="D9" s="22" t="n">
        <f aca="false">(B9+C9)/2</f>
        <v>15.5</v>
      </c>
      <c r="E9" s="20" t="n">
        <f aca="false">COUNTIFS(Data!$A$2:$A$2201,"&gt;="&amp;B9,Data!$A$2:$A$2201,"&lt;"&amp;C9)</f>
        <v>29</v>
      </c>
      <c r="F9" s="21" t="n">
        <f aca="false">E9/$E$19</f>
        <v>0.0131818181818182</v>
      </c>
      <c r="G9" s="20" t="n">
        <f aca="false">SUM($E$7:E9)</f>
        <v>67</v>
      </c>
      <c r="H9" s="21" t="n">
        <f aca="false">G9/$E$19</f>
        <v>0.0304545454545455</v>
      </c>
    </row>
    <row r="10" customFormat="false" ht="15" hidden="false" customHeight="false" outlineLevel="0" collapsed="false">
      <c r="A10" s="17" t="str">
        <f aca="false">TEXT(B10,"0.0")&amp;" - "&amp;TEXT(C10,"0.0")</f>
        <v>17.0 - 20.0</v>
      </c>
      <c r="B10" s="22" t="n">
        <f aca="false">C9</f>
        <v>17</v>
      </c>
      <c r="C10" s="22" t="n">
        <f aca="false">B10+$D$5</f>
        <v>20</v>
      </c>
      <c r="D10" s="22" t="n">
        <f aca="false">(B10+C10)/2</f>
        <v>18.5</v>
      </c>
      <c r="E10" s="20" t="n">
        <f aca="false">COUNTIFS(Data!$A$2:$A$2201,"&gt;="&amp;B10,Data!$A$2:$A$2201,"&lt;"&amp;C10)</f>
        <v>224</v>
      </c>
      <c r="F10" s="21" t="n">
        <f aca="false">E10/$E$19</f>
        <v>0.101818181818182</v>
      </c>
      <c r="G10" s="20" t="n">
        <f aca="false">SUM($E$7:E10)</f>
        <v>291</v>
      </c>
      <c r="H10" s="21" t="n">
        <f aca="false">G10/$E$19</f>
        <v>0.132272727272727</v>
      </c>
    </row>
    <row r="11" customFormat="false" ht="15" hidden="false" customHeight="false" outlineLevel="0" collapsed="false">
      <c r="A11" s="17" t="str">
        <f aca="false">TEXT(B11,"0.0")&amp;" - "&amp;TEXT(C11,"0.0")</f>
        <v>20.0 - 23.0</v>
      </c>
      <c r="B11" s="22" t="n">
        <f aca="false">C10</f>
        <v>20</v>
      </c>
      <c r="C11" s="22" t="n">
        <f aca="false">B11+$D$5</f>
        <v>23</v>
      </c>
      <c r="D11" s="22" t="n">
        <f aca="false">(B11+C11)/2</f>
        <v>21.5</v>
      </c>
      <c r="E11" s="20" t="n">
        <f aca="false">COUNTIFS(Data!$A$2:$A$2201,"&gt;="&amp;B11,Data!$A$2:$A$2201,"&lt;"&amp;C11)</f>
        <v>292</v>
      </c>
      <c r="F11" s="21" t="n">
        <f aca="false">E11/$E$19</f>
        <v>0.132727272727273</v>
      </c>
      <c r="G11" s="20" t="n">
        <f aca="false">SUM($E$7:E11)</f>
        <v>583</v>
      </c>
      <c r="H11" s="21" t="n">
        <f aca="false">G11/$E$19</f>
        <v>0.265</v>
      </c>
      <c r="K11" s="3" t="s">
        <v>46</v>
      </c>
    </row>
    <row r="12" customFormat="false" ht="15" hidden="false" customHeight="false" outlineLevel="0" collapsed="false">
      <c r="A12" s="17" t="str">
        <f aca="false">TEXT(B12,"0.0")&amp;" - "&amp;TEXT(C12,"0.0")</f>
        <v>23.0 - 26.0</v>
      </c>
      <c r="B12" s="22" t="n">
        <f aca="false">C11</f>
        <v>23</v>
      </c>
      <c r="C12" s="22" t="n">
        <f aca="false">B12+$D$5</f>
        <v>26</v>
      </c>
      <c r="D12" s="22" t="n">
        <f aca="false">(B12+C12)/2</f>
        <v>24.5</v>
      </c>
      <c r="E12" s="20" t="n">
        <f aca="false">COUNTIFS(Data!$A$2:$A$2201,"&gt;="&amp;B12,Data!$A$2:$A$2201,"&lt;"&amp;C12)</f>
        <v>600</v>
      </c>
      <c r="F12" s="21" t="n">
        <f aca="false">E12/$E$19</f>
        <v>0.272727272727273</v>
      </c>
      <c r="G12" s="20" t="n">
        <f aca="false">SUM($E$7:E12)</f>
        <v>1183</v>
      </c>
      <c r="H12" s="21" t="n">
        <f aca="false">G12/$E$19</f>
        <v>0.537727272727273</v>
      </c>
      <c r="K12" s="7" t="s">
        <v>143</v>
      </c>
      <c r="L12" s="7" t="s">
        <v>117</v>
      </c>
      <c r="M12" s="7" t="s">
        <v>144</v>
      </c>
    </row>
    <row r="13" customFormat="false" ht="15" hidden="false" customHeight="false" outlineLevel="0" collapsed="false">
      <c r="A13" s="17" t="str">
        <f aca="false">TEXT(B13,"0.0")&amp;" - "&amp;TEXT(C13,"0.0")</f>
        <v>26.0 - 29.0</v>
      </c>
      <c r="B13" s="22" t="n">
        <f aca="false">C12</f>
        <v>26</v>
      </c>
      <c r="C13" s="22" t="n">
        <f aca="false">B13+$D$5</f>
        <v>29</v>
      </c>
      <c r="D13" s="22" t="n">
        <f aca="false">(B13+C13)/2</f>
        <v>27.5</v>
      </c>
      <c r="E13" s="20" t="n">
        <f aca="false">COUNTIFS(Data!$A$2:$A$2201,"&gt;="&amp;B13,Data!$A$2:$A$2201,"&lt;"&amp;C13)</f>
        <v>548</v>
      </c>
      <c r="F13" s="21" t="n">
        <f aca="false">E13/$E$19</f>
        <v>0.249090909090909</v>
      </c>
      <c r="G13" s="20" t="n">
        <f aca="false">SUM($E$7:E13)</f>
        <v>1731</v>
      </c>
      <c r="H13" s="21" t="n">
        <f aca="false">G13/$E$19</f>
        <v>0.786818181818182</v>
      </c>
      <c r="K13" s="17" t="s">
        <v>23</v>
      </c>
      <c r="L13" s="20" t="n">
        <f aca="false">COUNTIF(Data!$E$2:$E$2201,K13)</f>
        <v>331</v>
      </c>
      <c r="M13" s="21" t="n">
        <f aca="false">L13/ROWS(Data!$A$2:$A$2201)</f>
        <v>0.150454545454545</v>
      </c>
    </row>
    <row r="14" customFormat="false" ht="15" hidden="false" customHeight="false" outlineLevel="0" collapsed="false">
      <c r="A14" s="17" t="str">
        <f aca="false">TEXT(B14,"0.0")&amp;" - "&amp;TEXT(C14,"0.0")</f>
        <v>29.0 - 32.0</v>
      </c>
      <c r="B14" s="22" t="n">
        <f aca="false">C13</f>
        <v>29</v>
      </c>
      <c r="C14" s="22" t="n">
        <f aca="false">B14+$D$5</f>
        <v>32</v>
      </c>
      <c r="D14" s="22" t="n">
        <f aca="false">(B14+C14)/2</f>
        <v>30.5</v>
      </c>
      <c r="E14" s="20" t="n">
        <f aca="false">COUNTIFS(Data!$A$2:$A$2201,"&gt;="&amp;B14,Data!$A$2:$A$2201,"&lt;"&amp;C14)</f>
        <v>288</v>
      </c>
      <c r="F14" s="21" t="n">
        <f aca="false">E14/$E$19</f>
        <v>0.130909090909091</v>
      </c>
      <c r="G14" s="20" t="n">
        <f aca="false">SUM($E$7:E14)</f>
        <v>2019</v>
      </c>
      <c r="H14" s="21" t="n">
        <f aca="false">G14/$E$19</f>
        <v>0.917727272727273</v>
      </c>
      <c r="K14" s="17" t="s">
        <v>57</v>
      </c>
      <c r="L14" s="20" t="n">
        <f aca="false">COUNTIF(Data!$E$2:$E$2201,K14)</f>
        <v>1444</v>
      </c>
      <c r="M14" s="21" t="n">
        <f aca="false">L14/ROWS(Data!$A$2:$A$2201)</f>
        <v>0.656363636363636</v>
      </c>
    </row>
    <row r="15" customFormat="false" ht="15" hidden="false" customHeight="false" outlineLevel="0" collapsed="false">
      <c r="A15" s="17" t="str">
        <f aca="false">TEXT(B15,"0.0")&amp;" - "&amp;TEXT(C15,"0.0")</f>
        <v>32.0 - 35.0</v>
      </c>
      <c r="B15" s="22" t="n">
        <f aca="false">C14</f>
        <v>32</v>
      </c>
      <c r="C15" s="22" t="n">
        <f aca="false">B15+$D$5</f>
        <v>35</v>
      </c>
      <c r="D15" s="22" t="n">
        <f aca="false">(B15+C15)/2</f>
        <v>33.5</v>
      </c>
      <c r="E15" s="20" t="n">
        <f aca="false">COUNTIFS(Data!$A$2:$A$2201,"&gt;="&amp;B15,Data!$A$2:$A$2201,"&lt;"&amp;C15)</f>
        <v>98</v>
      </c>
      <c r="F15" s="21" t="n">
        <f aca="false">E15/$E$19</f>
        <v>0.0445454545454546</v>
      </c>
      <c r="G15" s="20" t="n">
        <f aca="false">SUM($E$7:E15)</f>
        <v>2117</v>
      </c>
      <c r="H15" s="21" t="n">
        <f aca="false">G15/$E$19</f>
        <v>0.962272727272727</v>
      </c>
      <c r="K15" s="17" t="s">
        <v>24</v>
      </c>
      <c r="L15" s="20" t="n">
        <f aca="false">COUNTIF(Data!$E$2:$E$2201,K15)</f>
        <v>425</v>
      </c>
      <c r="M15" s="21" t="n">
        <f aca="false">L15/ROWS(Data!$A$2:$A$2201)</f>
        <v>0.193181818181818</v>
      </c>
    </row>
    <row r="16" customFormat="false" ht="15" hidden="false" customHeight="false" outlineLevel="0" collapsed="false">
      <c r="A16" s="17" t="str">
        <f aca="false">TEXT(B16,"0.0")&amp;" - "&amp;TEXT(C16,"0.0")</f>
        <v>35.0 - 38.0</v>
      </c>
      <c r="B16" s="22" t="n">
        <f aca="false">C15</f>
        <v>35</v>
      </c>
      <c r="C16" s="22" t="n">
        <f aca="false">B16+$D$5</f>
        <v>38</v>
      </c>
      <c r="D16" s="22" t="n">
        <f aca="false">(B16+C16)/2</f>
        <v>36.5</v>
      </c>
      <c r="E16" s="20" t="n">
        <f aca="false">COUNTIFS(Data!$A$2:$A$2201,"&gt;="&amp;B16,Data!$A$2:$A$2201,"&lt;"&amp;C16)</f>
        <v>38</v>
      </c>
      <c r="F16" s="21" t="n">
        <f aca="false">E16/$E$19</f>
        <v>0.0172727272727273</v>
      </c>
      <c r="G16" s="20" t="n">
        <f aca="false">SUM($E$7:E16)</f>
        <v>2155</v>
      </c>
      <c r="H16" s="21" t="n">
        <f aca="false">G16/$E$19</f>
        <v>0.979545454545455</v>
      </c>
    </row>
    <row r="17" customFormat="false" ht="15" hidden="false" customHeight="false" outlineLevel="0" collapsed="false">
      <c r="A17" s="17" t="str">
        <f aca="false">TEXT(B17,"0.0")&amp;" - "&amp;TEXT(C17,"0.0")</f>
        <v>38.0 - 41.0</v>
      </c>
      <c r="B17" s="22" t="n">
        <f aca="false">C16</f>
        <v>38</v>
      </c>
      <c r="C17" s="22" t="n">
        <f aca="false">B17+$D$5</f>
        <v>41</v>
      </c>
      <c r="D17" s="22" t="n">
        <f aca="false">(B17+C17)/2</f>
        <v>39.5</v>
      </c>
      <c r="E17" s="20" t="n">
        <f aca="false">COUNTIFS(Data!$A$2:$A$2201,"&gt;="&amp;B17,Data!$A$2:$A$2201,"&lt;"&amp;C17)</f>
        <v>23</v>
      </c>
      <c r="F17" s="21" t="n">
        <f aca="false">E17/$E$19</f>
        <v>0.0104545454545455</v>
      </c>
      <c r="G17" s="20" t="n">
        <f aca="false">SUM($E$7:E17)</f>
        <v>2178</v>
      </c>
      <c r="H17" s="21" t="n">
        <f aca="false">G17/$E$19</f>
        <v>0.99</v>
      </c>
    </row>
    <row r="18" customFormat="false" ht="15" hidden="false" customHeight="false" outlineLevel="0" collapsed="false">
      <c r="A18" s="17" t="str">
        <f aca="false">TEXT(B18,"0.0")&amp;" - "&amp;TEXT(C18,"0.0")</f>
        <v>41.0 - 44.0</v>
      </c>
      <c r="B18" s="22" t="n">
        <f aca="false">C17</f>
        <v>41</v>
      </c>
      <c r="C18" s="22" t="n">
        <f aca="false">B18+$D$5</f>
        <v>44</v>
      </c>
      <c r="D18" s="22" t="n">
        <f aca="false">(B18+C18)/2</f>
        <v>42.5</v>
      </c>
      <c r="E18" s="20" t="n">
        <f aca="false">COUNTIFS(Data!$A$2:$A$2201,"&gt;="&amp;B18,Data!$A$2:$A$2201,"&lt;"&amp;C18)</f>
        <v>22</v>
      </c>
      <c r="F18" s="21" t="n">
        <f aca="false">E18/$E$19</f>
        <v>0.01</v>
      </c>
      <c r="G18" s="20" t="n">
        <f aca="false">SUM($E$7:E18)</f>
        <v>2200</v>
      </c>
      <c r="H18" s="21" t="n">
        <f aca="false">G18/$E$19</f>
        <v>1</v>
      </c>
      <c r="K18" s="3" t="s">
        <v>47</v>
      </c>
    </row>
    <row r="19" customFormat="false" ht="15" hidden="false" customHeight="false" outlineLevel="0" collapsed="false">
      <c r="A19" s="8" t="s">
        <v>25</v>
      </c>
      <c r="E19" s="23" t="n">
        <f aca="false">SUM(E7:E18)</f>
        <v>2200</v>
      </c>
      <c r="F19" s="24" t="n">
        <f aca="false">SUM(F7:F18)</f>
        <v>1</v>
      </c>
      <c r="G19" s="2" t="str">
        <f aca="false">IF(E19=ROWS(Data!$A$2:$A$2201),"OK: total = n","CHECK: values outside classes")</f>
        <v>OK: total = n</v>
      </c>
      <c r="K19" s="7" t="s">
        <v>143</v>
      </c>
      <c r="L19" s="7" t="s">
        <v>117</v>
      </c>
      <c r="M19" s="7" t="s">
        <v>144</v>
      </c>
    </row>
    <row r="20" customFormat="false" ht="15" hidden="false" customHeight="false" outlineLevel="0" collapsed="false">
      <c r="K20" s="17" t="s">
        <v>23</v>
      </c>
      <c r="L20" s="20" t="n">
        <f aca="false">COUNTIF(Data!$F$2:$F$2201,K20)</f>
        <v>728</v>
      </c>
      <c r="M20" s="21" t="n">
        <f aca="false">L20/ROWS(Data!$A$2:$A$2201)</f>
        <v>0.330909090909091</v>
      </c>
    </row>
    <row r="21" customFormat="false" ht="15" hidden="false" customHeight="false" outlineLevel="0" collapsed="false">
      <c r="K21" s="17" t="s">
        <v>60</v>
      </c>
      <c r="L21" s="20" t="n">
        <f aca="false">COUNTIF(Data!$F$2:$F$2201,K21)</f>
        <v>747</v>
      </c>
      <c r="M21" s="21" t="n">
        <f aca="false">L21/ROWS(Data!$A$2:$A$2201)</f>
        <v>0.339545454545455</v>
      </c>
    </row>
    <row r="22" customFormat="false" ht="15" hidden="false" customHeight="false" outlineLevel="0" collapsed="false">
      <c r="A22" s="3" t="s">
        <v>15</v>
      </c>
      <c r="K22" s="17" t="s">
        <v>24</v>
      </c>
      <c r="L22" s="20" t="n">
        <f aca="false">COUNTIF(Data!$F$2:$F$2201,K22)</f>
        <v>725</v>
      </c>
      <c r="M22" s="21" t="n">
        <f aca="false">L22/ROWS(Data!$A$2:$A$2201)</f>
        <v>0.329545454545455</v>
      </c>
    </row>
    <row r="23" customFormat="false" ht="15" hidden="false" customHeight="false" outlineLevel="0" collapsed="false">
      <c r="A23" s="4" t="s">
        <v>141</v>
      </c>
      <c r="B23" s="18" t="n">
        <v>0</v>
      </c>
      <c r="C23" s="4" t="s">
        <v>142</v>
      </c>
      <c r="D23" s="18" t="n">
        <v>25</v>
      </c>
    </row>
    <row r="24" customFormat="false" ht="15" hidden="false" customHeight="false" outlineLevel="0" collapsed="false">
      <c r="A24" s="7" t="s">
        <v>145</v>
      </c>
      <c r="B24" s="7" t="s">
        <v>146</v>
      </c>
      <c r="C24" s="7" t="s">
        <v>147</v>
      </c>
      <c r="D24" s="7" t="s">
        <v>148</v>
      </c>
      <c r="E24" s="7" t="s">
        <v>149</v>
      </c>
      <c r="F24" s="7" t="s">
        <v>150</v>
      </c>
      <c r="G24" s="7" t="s">
        <v>151</v>
      </c>
      <c r="H24" s="7" t="s">
        <v>152</v>
      </c>
    </row>
    <row r="25" customFormat="false" ht="15" hidden="false" customHeight="false" outlineLevel="0" collapsed="false">
      <c r="A25" s="17" t="str">
        <f aca="false">TEXT(B25,"0.0")&amp;" - "&amp;TEXT(C25,"0.0")</f>
        <v>0.0 - 25.0</v>
      </c>
      <c r="B25" s="22" t="n">
        <f aca="false">$B$23</f>
        <v>0</v>
      </c>
      <c r="C25" s="22" t="n">
        <f aca="false">B25+$D$23</f>
        <v>25</v>
      </c>
      <c r="D25" s="22" t="n">
        <f aca="false">(B25+C25)/2</f>
        <v>12.5</v>
      </c>
      <c r="E25" s="20" t="n">
        <f aca="false">COUNTIFS(Data!$B$2:$B$2201,"&gt;="&amp;B25,Data!$B$2:$B$2201,"&lt;"&amp;C25)</f>
        <v>53</v>
      </c>
      <c r="F25" s="21" t="n">
        <f aca="false">E25/$E$37</f>
        <v>0.0240909090909091</v>
      </c>
      <c r="G25" s="20" t="n">
        <f aca="false">SUM($E$25:E25)</f>
        <v>53</v>
      </c>
      <c r="H25" s="21" t="n">
        <f aca="false">G25/$E$37</f>
        <v>0.0240909090909091</v>
      </c>
      <c r="K25" s="3" t="s">
        <v>48</v>
      </c>
    </row>
    <row r="26" customFormat="false" ht="15" hidden="false" customHeight="false" outlineLevel="0" collapsed="false">
      <c r="A26" s="17" t="str">
        <f aca="false">TEXT(B26,"0.0")&amp;" - "&amp;TEXT(C26,"0.0")</f>
        <v>25.0 - 50.0</v>
      </c>
      <c r="B26" s="22" t="n">
        <f aca="false">C25</f>
        <v>25</v>
      </c>
      <c r="C26" s="22" t="n">
        <f aca="false">B26+$D$23</f>
        <v>50</v>
      </c>
      <c r="D26" s="22" t="n">
        <f aca="false">(B26+C26)/2</f>
        <v>37.5</v>
      </c>
      <c r="E26" s="20" t="n">
        <f aca="false">COUNTIFS(Data!$B$2:$B$2201,"&gt;="&amp;B26,Data!$B$2:$B$2201,"&lt;"&amp;C26)</f>
        <v>278</v>
      </c>
      <c r="F26" s="21" t="n">
        <f aca="false">E26/$E$37</f>
        <v>0.126363636363636</v>
      </c>
      <c r="G26" s="20" t="n">
        <f aca="false">SUM($E$25:E26)</f>
        <v>331</v>
      </c>
      <c r="H26" s="21" t="n">
        <f aca="false">G26/$E$37</f>
        <v>0.150454545454545</v>
      </c>
      <c r="K26" s="7" t="s">
        <v>143</v>
      </c>
      <c r="L26" s="7" t="s">
        <v>117</v>
      </c>
      <c r="M26" s="7" t="s">
        <v>144</v>
      </c>
    </row>
    <row r="27" customFormat="false" ht="15" hidden="false" customHeight="false" outlineLevel="0" collapsed="false">
      <c r="A27" s="17" t="str">
        <f aca="false">TEXT(B27,"0.0")&amp;" - "&amp;TEXT(C27,"0.0")</f>
        <v>50.0 - 75.0</v>
      </c>
      <c r="B27" s="22" t="n">
        <f aca="false">C26</f>
        <v>50</v>
      </c>
      <c r="C27" s="22" t="n">
        <f aca="false">B27+$D$23</f>
        <v>75</v>
      </c>
      <c r="D27" s="22" t="n">
        <f aca="false">(B27+C27)/2</f>
        <v>62.5</v>
      </c>
      <c r="E27" s="20" t="n">
        <f aca="false">COUNTIFS(Data!$B$2:$B$2201,"&gt;="&amp;B27,Data!$B$2:$B$2201,"&lt;"&amp;C27)</f>
        <v>503</v>
      </c>
      <c r="F27" s="21" t="n">
        <f aca="false">E27/$E$37</f>
        <v>0.228636363636364</v>
      </c>
      <c r="G27" s="20" t="n">
        <f aca="false">SUM($E$25:E27)</f>
        <v>834</v>
      </c>
      <c r="H27" s="21" t="n">
        <f aca="false">G27/$E$37</f>
        <v>0.379090909090909</v>
      </c>
      <c r="K27" s="17" t="s">
        <v>64</v>
      </c>
      <c r="L27" s="20" t="n">
        <f aca="false">COUNTIF(Data!$G$2:$G$2201,K27)</f>
        <v>456</v>
      </c>
      <c r="M27" s="21" t="n">
        <f aca="false">L27/ROWS(Data!$A$2:$A$2201)</f>
        <v>0.207272727272727</v>
      </c>
    </row>
    <row r="28" customFormat="false" ht="15" hidden="false" customHeight="false" outlineLevel="0" collapsed="false">
      <c r="A28" s="17" t="str">
        <f aca="false">TEXT(B28,"0.0")&amp;" - "&amp;TEXT(C28,"0.0")</f>
        <v>75.0 - 100.0</v>
      </c>
      <c r="B28" s="22" t="n">
        <f aca="false">C27</f>
        <v>75</v>
      </c>
      <c r="C28" s="22" t="n">
        <f aca="false">B28+$D$23</f>
        <v>100</v>
      </c>
      <c r="D28" s="22" t="n">
        <f aca="false">(B28+C28)/2</f>
        <v>87.5</v>
      </c>
      <c r="E28" s="20" t="n">
        <f aca="false">COUNTIFS(Data!$B$2:$B$2201,"&gt;="&amp;B28,Data!$B$2:$B$2201,"&lt;"&amp;C28)</f>
        <v>353</v>
      </c>
      <c r="F28" s="21" t="n">
        <f aca="false">E28/$E$37</f>
        <v>0.160454545454545</v>
      </c>
      <c r="G28" s="20" t="n">
        <f aca="false">SUM($E$25:E28)</f>
        <v>1187</v>
      </c>
      <c r="H28" s="21" t="n">
        <f aca="false">G28/$E$37</f>
        <v>0.539545454545455</v>
      </c>
      <c r="K28" s="17" t="s">
        <v>61</v>
      </c>
      <c r="L28" s="20" t="n">
        <f aca="false">COUNTIF(Data!$G$2:$G$2201,K28)</f>
        <v>1480</v>
      </c>
      <c r="M28" s="21" t="n">
        <f aca="false">L28/ROWS(Data!$A$2:$A$2201)</f>
        <v>0.672727272727273</v>
      </c>
    </row>
    <row r="29" customFormat="false" ht="15" hidden="false" customHeight="false" outlineLevel="0" collapsed="false">
      <c r="A29" s="17" t="str">
        <f aca="false">TEXT(B29,"0.0")&amp;" - "&amp;TEXT(C29,"0.0")</f>
        <v>100.0 - 125.0</v>
      </c>
      <c r="B29" s="22" t="n">
        <f aca="false">C28</f>
        <v>100</v>
      </c>
      <c r="C29" s="22" t="n">
        <f aca="false">B29+$D$23</f>
        <v>125</v>
      </c>
      <c r="D29" s="22" t="n">
        <f aca="false">(B29+C29)/2</f>
        <v>112.5</v>
      </c>
      <c r="E29" s="20" t="n">
        <f aca="false">COUNTIFS(Data!$B$2:$B$2201,"&gt;="&amp;B29,Data!$B$2:$B$2201,"&lt;"&amp;C29)</f>
        <v>469</v>
      </c>
      <c r="F29" s="21" t="n">
        <f aca="false">E29/$E$37</f>
        <v>0.213181818181818</v>
      </c>
      <c r="G29" s="20" t="n">
        <f aca="false">SUM($E$25:E29)</f>
        <v>1656</v>
      </c>
      <c r="H29" s="21" t="n">
        <f aca="false">G29/$E$37</f>
        <v>0.752727272727273</v>
      </c>
      <c r="K29" s="17" t="s">
        <v>58</v>
      </c>
      <c r="L29" s="20" t="n">
        <f aca="false">COUNTIF(Data!$G$2:$G$2201,K29)</f>
        <v>264</v>
      </c>
      <c r="M29" s="21" t="n">
        <f aca="false">L29/ROWS(Data!$A$2:$A$2201)</f>
        <v>0.12</v>
      </c>
    </row>
    <row r="30" customFormat="false" ht="15" hidden="false" customHeight="false" outlineLevel="0" collapsed="false">
      <c r="A30" s="17" t="str">
        <f aca="false">TEXT(B30,"0.0")&amp;" - "&amp;TEXT(C30,"0.0")</f>
        <v>125.0 - 150.0</v>
      </c>
      <c r="B30" s="22" t="n">
        <f aca="false">C29</f>
        <v>125</v>
      </c>
      <c r="C30" s="22" t="n">
        <f aca="false">B30+$D$23</f>
        <v>150</v>
      </c>
      <c r="D30" s="22" t="n">
        <f aca="false">(B30+C30)/2</f>
        <v>137.5</v>
      </c>
      <c r="E30" s="20" t="n">
        <f aca="false">COUNTIFS(Data!$B$2:$B$2201,"&gt;="&amp;B30,Data!$B$2:$B$2201,"&lt;"&amp;C30)</f>
        <v>119</v>
      </c>
      <c r="F30" s="21" t="n">
        <f aca="false">E30/$E$37</f>
        <v>0.0540909090909091</v>
      </c>
      <c r="G30" s="20" t="n">
        <f aca="false">SUM($E$25:E30)</f>
        <v>1775</v>
      </c>
      <c r="H30" s="21" t="n">
        <f aca="false">G30/$E$37</f>
        <v>0.806818181818182</v>
      </c>
    </row>
    <row r="31" customFormat="false" ht="15" hidden="false" customHeight="false" outlineLevel="0" collapsed="false">
      <c r="A31" s="17" t="str">
        <f aca="false">TEXT(B31,"0.0")&amp;" - "&amp;TEXT(C31,"0.0")</f>
        <v>150.0 - 175.0</v>
      </c>
      <c r="B31" s="22" t="n">
        <f aca="false">C30</f>
        <v>150</v>
      </c>
      <c r="C31" s="22" t="n">
        <f aca="false">B31+$D$23</f>
        <v>175</v>
      </c>
      <c r="D31" s="22" t="n">
        <f aca="false">(B31+C31)/2</f>
        <v>162.5</v>
      </c>
      <c r="E31" s="20" t="n">
        <f aca="false">COUNTIFS(Data!$B$2:$B$2201,"&gt;="&amp;B31,Data!$B$2:$B$2201,"&lt;"&amp;C31)</f>
        <v>127</v>
      </c>
      <c r="F31" s="21" t="n">
        <f aca="false">E31/$E$37</f>
        <v>0.0577272727272727</v>
      </c>
      <c r="G31" s="20" t="n">
        <f aca="false">SUM($E$25:E31)</f>
        <v>1902</v>
      </c>
      <c r="H31" s="21" t="n">
        <f aca="false">G31/$E$37</f>
        <v>0.864545454545455</v>
      </c>
    </row>
    <row r="32" customFormat="false" ht="15" hidden="false" customHeight="false" outlineLevel="0" collapsed="false">
      <c r="A32" s="17" t="str">
        <f aca="false">TEXT(B32,"0.0")&amp;" - "&amp;TEXT(C32,"0.0")</f>
        <v>175.0 - 200.0</v>
      </c>
      <c r="B32" s="22" t="n">
        <f aca="false">C31</f>
        <v>175</v>
      </c>
      <c r="C32" s="22" t="n">
        <f aca="false">B32+$D$23</f>
        <v>200</v>
      </c>
      <c r="D32" s="22" t="n">
        <f aca="false">(B32+C32)/2</f>
        <v>187.5</v>
      </c>
      <c r="E32" s="20" t="n">
        <f aca="false">COUNTIFS(Data!$B$2:$B$2201,"&gt;="&amp;B32,Data!$B$2:$B$2201,"&lt;"&amp;C32)</f>
        <v>166</v>
      </c>
      <c r="F32" s="21" t="n">
        <f aca="false">E32/$E$37</f>
        <v>0.0754545454545455</v>
      </c>
      <c r="G32" s="20" t="n">
        <f aca="false">SUM($E$25:E32)</f>
        <v>2068</v>
      </c>
      <c r="H32" s="21" t="n">
        <f aca="false">G32/$E$37</f>
        <v>0.94</v>
      </c>
    </row>
    <row r="33" customFormat="false" ht="15" hidden="false" customHeight="false" outlineLevel="0" collapsed="false">
      <c r="A33" s="17" t="str">
        <f aca="false">TEXT(B33,"0.0")&amp;" - "&amp;TEXT(C33,"0.0")</f>
        <v>200.0 - 225.0</v>
      </c>
      <c r="B33" s="22" t="n">
        <f aca="false">C32</f>
        <v>200</v>
      </c>
      <c r="C33" s="22" t="n">
        <f aca="false">B33+$D$23</f>
        <v>225</v>
      </c>
      <c r="D33" s="22" t="n">
        <f aca="false">(B33+C33)/2</f>
        <v>212.5</v>
      </c>
      <c r="E33" s="20" t="n">
        <f aca="false">COUNTIFS(Data!$B$2:$B$2201,"&gt;="&amp;B33,Data!$B$2:$B$2201,"&lt;"&amp;C33)</f>
        <v>59</v>
      </c>
      <c r="F33" s="21" t="n">
        <f aca="false">E33/$E$37</f>
        <v>0.0268181818181818</v>
      </c>
      <c r="G33" s="20" t="n">
        <f aca="false">SUM($E$25:E33)</f>
        <v>2127</v>
      </c>
      <c r="H33" s="21" t="n">
        <f aca="false">G33/$E$37</f>
        <v>0.966818181818182</v>
      </c>
    </row>
    <row r="34" customFormat="false" ht="15" hidden="false" customHeight="false" outlineLevel="0" collapsed="false">
      <c r="A34" s="17" t="str">
        <f aca="false">TEXT(B34,"0.0")&amp;" - "&amp;TEXT(C34,"0.0")</f>
        <v>225.0 - 250.0</v>
      </c>
      <c r="B34" s="22" t="n">
        <f aca="false">C33</f>
        <v>225</v>
      </c>
      <c r="C34" s="22" t="n">
        <f aca="false">B34+$D$23</f>
        <v>250</v>
      </c>
      <c r="D34" s="22" t="n">
        <f aca="false">(B34+C34)/2</f>
        <v>237.5</v>
      </c>
      <c r="E34" s="20" t="n">
        <f aca="false">COUNTIFS(Data!$B$2:$B$2201,"&gt;="&amp;B34,Data!$B$2:$B$2201,"&lt;"&amp;C34)</f>
        <v>35</v>
      </c>
      <c r="F34" s="21" t="n">
        <f aca="false">E34/$E$37</f>
        <v>0.0159090909090909</v>
      </c>
      <c r="G34" s="20" t="n">
        <f aca="false">SUM($E$25:E34)</f>
        <v>2162</v>
      </c>
      <c r="H34" s="21" t="n">
        <f aca="false">G34/$E$37</f>
        <v>0.982727272727273</v>
      </c>
    </row>
    <row r="35" customFormat="false" ht="15" hidden="false" customHeight="false" outlineLevel="0" collapsed="false">
      <c r="A35" s="17" t="str">
        <f aca="false">TEXT(B35,"0.0")&amp;" - "&amp;TEXT(C35,"0.0")</f>
        <v>250.0 - 275.0</v>
      </c>
      <c r="B35" s="22" t="n">
        <f aca="false">C34</f>
        <v>250</v>
      </c>
      <c r="C35" s="22" t="n">
        <f aca="false">B35+$D$23</f>
        <v>275</v>
      </c>
      <c r="D35" s="22" t="n">
        <f aca="false">(B35+C35)/2</f>
        <v>262.5</v>
      </c>
      <c r="E35" s="20" t="n">
        <f aca="false">COUNTIFS(Data!$B$2:$B$2201,"&gt;="&amp;B35,Data!$B$2:$B$2201,"&lt;"&amp;C35)</f>
        <v>22</v>
      </c>
      <c r="F35" s="21" t="n">
        <f aca="false">E35/$E$37</f>
        <v>0.01</v>
      </c>
      <c r="G35" s="20" t="n">
        <f aca="false">SUM($E$25:E35)</f>
        <v>2184</v>
      </c>
      <c r="H35" s="21" t="n">
        <f aca="false">G35/$E$37</f>
        <v>0.992727272727273</v>
      </c>
    </row>
    <row r="36" customFormat="false" ht="15" hidden="false" customHeight="false" outlineLevel="0" collapsed="false">
      <c r="A36" s="17" t="str">
        <f aca="false">TEXT(B36,"0.0")&amp;" - "&amp;TEXT(C36,"0.0")</f>
        <v>275.0 - 300.0</v>
      </c>
      <c r="B36" s="22" t="n">
        <f aca="false">C35</f>
        <v>275</v>
      </c>
      <c r="C36" s="22" t="n">
        <f aca="false">B36+$D$23</f>
        <v>300</v>
      </c>
      <c r="D36" s="22" t="n">
        <f aca="false">(B36+C36)/2</f>
        <v>287.5</v>
      </c>
      <c r="E36" s="20" t="n">
        <f aca="false">COUNTIFS(Data!$B$2:$B$2201,"&gt;="&amp;B36,Data!$B$2:$B$2201,"&lt;"&amp;C36)</f>
        <v>16</v>
      </c>
      <c r="F36" s="21" t="n">
        <f aca="false">E36/$E$37</f>
        <v>0.00727272727272727</v>
      </c>
      <c r="G36" s="20" t="n">
        <f aca="false">SUM($E$25:E36)</f>
        <v>2200</v>
      </c>
      <c r="H36" s="21" t="n">
        <f aca="false">G36/$E$37</f>
        <v>1</v>
      </c>
    </row>
    <row r="37" customFormat="false" ht="15" hidden="false" customHeight="false" outlineLevel="0" collapsed="false">
      <c r="A37" s="8" t="s">
        <v>25</v>
      </c>
      <c r="E37" s="23" t="n">
        <f aca="false">SUM(E25:E36)</f>
        <v>2200</v>
      </c>
      <c r="F37" s="24" t="n">
        <f aca="false">SUM(F25:F36)</f>
        <v>1</v>
      </c>
      <c r="G37" s="2" t="str">
        <f aca="false">IF(E37=ROWS(Data!$B$2:$B$2201),"OK: total = n","CHECK: values outside classes")</f>
        <v>OK: total = n</v>
      </c>
    </row>
    <row r="40" customFormat="false" ht="15" hidden="false" customHeight="false" outlineLevel="0" collapsed="false">
      <c r="A40" s="3" t="s">
        <v>16</v>
      </c>
    </row>
    <row r="41" customFormat="false" ht="15" hidden="false" customHeight="false" outlineLevel="0" collapsed="false">
      <c r="A41" s="4" t="s">
        <v>141</v>
      </c>
      <c r="B41" s="18" t="n">
        <v>10</v>
      </c>
      <c r="C41" s="4" t="s">
        <v>142</v>
      </c>
      <c r="D41" s="18" t="n">
        <v>2</v>
      </c>
    </row>
    <row r="42" customFormat="false" ht="15" hidden="false" customHeight="false" outlineLevel="0" collapsed="false">
      <c r="A42" s="7" t="s">
        <v>145</v>
      </c>
      <c r="B42" s="7" t="s">
        <v>146</v>
      </c>
      <c r="C42" s="7" t="s">
        <v>147</v>
      </c>
      <c r="D42" s="7" t="s">
        <v>148</v>
      </c>
      <c r="E42" s="7" t="s">
        <v>149</v>
      </c>
      <c r="F42" s="7" t="s">
        <v>150</v>
      </c>
      <c r="G42" s="7" t="s">
        <v>151</v>
      </c>
      <c r="H42" s="7" t="s">
        <v>152</v>
      </c>
    </row>
    <row r="43" customFormat="false" ht="15" hidden="false" customHeight="false" outlineLevel="0" collapsed="false">
      <c r="A43" s="17" t="str">
        <f aca="false">TEXT(B43,"0.0")&amp;" - "&amp;TEXT(C43,"0.0")</f>
        <v>10.0 - 12.0</v>
      </c>
      <c r="B43" s="22" t="n">
        <f aca="false">$B$41</f>
        <v>10</v>
      </c>
      <c r="C43" s="22" t="n">
        <f aca="false">B43+$D$41</f>
        <v>12</v>
      </c>
      <c r="D43" s="22" t="n">
        <f aca="false">(B43+C43)/2</f>
        <v>11</v>
      </c>
      <c r="E43" s="20" t="n">
        <f aca="false">COUNTIFS(Data!$C$2:$C$2201,"&gt;="&amp;B43,Data!$C$2:$C$2201,"&lt;"&amp;C43)</f>
        <v>214</v>
      </c>
      <c r="F43" s="21" t="n">
        <f aca="false">E43/$E$53</f>
        <v>0.0972727272727273</v>
      </c>
      <c r="G43" s="20" t="n">
        <f aca="false">SUM($E$43:E43)</f>
        <v>214</v>
      </c>
      <c r="H43" s="21" t="n">
        <f aca="false">G43/$E$53</f>
        <v>0.0972727272727273</v>
      </c>
    </row>
    <row r="44" customFormat="false" ht="15" hidden="false" customHeight="false" outlineLevel="0" collapsed="false">
      <c r="A44" s="17" t="str">
        <f aca="false">TEXT(B44,"0.0")&amp;" - "&amp;TEXT(C44,"0.0")</f>
        <v>12.0 - 14.0</v>
      </c>
      <c r="B44" s="22" t="n">
        <f aca="false">C43</f>
        <v>12</v>
      </c>
      <c r="C44" s="22" t="n">
        <f aca="false">B44+$D$41</f>
        <v>14</v>
      </c>
      <c r="D44" s="22" t="n">
        <f aca="false">(B44+C44)/2</f>
        <v>13</v>
      </c>
      <c r="E44" s="20" t="n">
        <f aca="false">COUNTIFS(Data!$C$2:$C$2201,"&gt;="&amp;B44,Data!$C$2:$C$2201,"&lt;"&amp;C44)</f>
        <v>219</v>
      </c>
      <c r="F44" s="21" t="n">
        <f aca="false">E44/$E$53</f>
        <v>0.0995454545454546</v>
      </c>
      <c r="G44" s="20" t="n">
        <f aca="false">SUM($E$43:E44)</f>
        <v>433</v>
      </c>
      <c r="H44" s="21" t="n">
        <f aca="false">G44/$E$53</f>
        <v>0.196818181818182</v>
      </c>
    </row>
    <row r="45" customFormat="false" ht="15" hidden="false" customHeight="false" outlineLevel="0" collapsed="false">
      <c r="A45" s="17" t="str">
        <f aca="false">TEXT(B45,"0.0")&amp;" - "&amp;TEXT(C45,"0.0")</f>
        <v>14.0 - 16.0</v>
      </c>
      <c r="B45" s="22" t="n">
        <f aca="false">C44</f>
        <v>14</v>
      </c>
      <c r="C45" s="22" t="n">
        <f aca="false">B45+$D$41</f>
        <v>16</v>
      </c>
      <c r="D45" s="22" t="n">
        <f aca="false">(B45+C45)/2</f>
        <v>15</v>
      </c>
      <c r="E45" s="20" t="n">
        <f aca="false">COUNTIFS(Data!$C$2:$C$2201,"&gt;="&amp;B45,Data!$C$2:$C$2201,"&lt;"&amp;C45)</f>
        <v>206</v>
      </c>
      <c r="F45" s="21" t="n">
        <f aca="false">E45/$E$53</f>
        <v>0.0936363636363636</v>
      </c>
      <c r="G45" s="20" t="n">
        <f aca="false">SUM($E$43:E45)</f>
        <v>639</v>
      </c>
      <c r="H45" s="21" t="n">
        <f aca="false">G45/$E$53</f>
        <v>0.290454545454545</v>
      </c>
    </row>
    <row r="46" customFormat="false" ht="15" hidden="false" customHeight="false" outlineLevel="0" collapsed="false">
      <c r="A46" s="17" t="str">
        <f aca="false">TEXT(B46,"0.0")&amp;" - "&amp;TEXT(C46,"0.0")</f>
        <v>16.0 - 18.0</v>
      </c>
      <c r="B46" s="22" t="n">
        <f aca="false">C45</f>
        <v>16</v>
      </c>
      <c r="C46" s="22" t="n">
        <f aca="false">B46+$D$41</f>
        <v>18</v>
      </c>
      <c r="D46" s="22" t="n">
        <f aca="false">(B46+C46)/2</f>
        <v>17</v>
      </c>
      <c r="E46" s="20" t="n">
        <f aca="false">COUNTIFS(Data!$C$2:$C$2201,"&gt;="&amp;B46,Data!$C$2:$C$2201,"&lt;"&amp;C46)</f>
        <v>223</v>
      </c>
      <c r="F46" s="21" t="n">
        <f aca="false">E46/$E$53</f>
        <v>0.101363636363636</v>
      </c>
      <c r="G46" s="20" t="n">
        <f aca="false">SUM($E$43:E46)</f>
        <v>862</v>
      </c>
      <c r="H46" s="21" t="n">
        <f aca="false">G46/$E$53</f>
        <v>0.391818181818182</v>
      </c>
    </row>
    <row r="47" customFormat="false" ht="15" hidden="false" customHeight="false" outlineLevel="0" collapsed="false">
      <c r="A47" s="17" t="str">
        <f aca="false">TEXT(B47,"0.0")&amp;" - "&amp;TEXT(C47,"0.0")</f>
        <v>18.0 - 20.0</v>
      </c>
      <c r="B47" s="22" t="n">
        <f aca="false">C46</f>
        <v>18</v>
      </c>
      <c r="C47" s="22" t="n">
        <f aca="false">B47+$D$41</f>
        <v>20</v>
      </c>
      <c r="D47" s="22" t="n">
        <f aca="false">(B47+C47)/2</f>
        <v>19</v>
      </c>
      <c r="E47" s="20" t="n">
        <f aca="false">COUNTIFS(Data!$C$2:$C$2201,"&gt;="&amp;B47,Data!$C$2:$C$2201,"&lt;"&amp;C47)</f>
        <v>226</v>
      </c>
      <c r="F47" s="21" t="n">
        <f aca="false">E47/$E$53</f>
        <v>0.102727272727273</v>
      </c>
      <c r="G47" s="20" t="n">
        <f aca="false">SUM($E$43:E47)</f>
        <v>1088</v>
      </c>
      <c r="H47" s="21" t="n">
        <f aca="false">G47/$E$53</f>
        <v>0.494545454545455</v>
      </c>
    </row>
    <row r="48" customFormat="false" ht="15" hidden="false" customHeight="false" outlineLevel="0" collapsed="false">
      <c r="A48" s="17" t="str">
        <f aca="false">TEXT(B48,"0.0")&amp;" - "&amp;TEXT(C48,"0.0")</f>
        <v>20.0 - 22.0</v>
      </c>
      <c r="B48" s="22" t="n">
        <f aca="false">C47</f>
        <v>20</v>
      </c>
      <c r="C48" s="22" t="n">
        <f aca="false">B48+$D$41</f>
        <v>22</v>
      </c>
      <c r="D48" s="22" t="n">
        <f aca="false">(B48+C48)/2</f>
        <v>21</v>
      </c>
      <c r="E48" s="20" t="n">
        <f aca="false">COUNTIFS(Data!$C$2:$C$2201,"&gt;="&amp;B48,Data!$C$2:$C$2201,"&lt;"&amp;C48)</f>
        <v>206</v>
      </c>
      <c r="F48" s="21" t="n">
        <f aca="false">E48/$E$53</f>
        <v>0.0936363636363636</v>
      </c>
      <c r="G48" s="20" t="n">
        <f aca="false">SUM($E$43:E48)</f>
        <v>1294</v>
      </c>
      <c r="H48" s="21" t="n">
        <f aca="false">G48/$E$53</f>
        <v>0.588181818181818</v>
      </c>
    </row>
    <row r="49" customFormat="false" ht="15" hidden="false" customHeight="false" outlineLevel="0" collapsed="false">
      <c r="A49" s="17" t="str">
        <f aca="false">TEXT(B49,"0.0")&amp;" - "&amp;TEXT(C49,"0.0")</f>
        <v>22.0 - 24.0</v>
      </c>
      <c r="B49" s="22" t="n">
        <f aca="false">C48</f>
        <v>22</v>
      </c>
      <c r="C49" s="22" t="n">
        <f aca="false">B49+$D$41</f>
        <v>24</v>
      </c>
      <c r="D49" s="22" t="n">
        <f aca="false">(B49+C49)/2</f>
        <v>23</v>
      </c>
      <c r="E49" s="20" t="n">
        <f aca="false">COUNTIFS(Data!$C$2:$C$2201,"&gt;="&amp;B49,Data!$C$2:$C$2201,"&lt;"&amp;C49)</f>
        <v>216</v>
      </c>
      <c r="F49" s="21" t="n">
        <f aca="false">E49/$E$53</f>
        <v>0.0981818181818182</v>
      </c>
      <c r="G49" s="20" t="n">
        <f aca="false">SUM($E$43:E49)</f>
        <v>1510</v>
      </c>
      <c r="H49" s="21" t="n">
        <f aca="false">G49/$E$53</f>
        <v>0.686363636363636</v>
      </c>
    </row>
    <row r="50" customFormat="false" ht="15" hidden="false" customHeight="false" outlineLevel="0" collapsed="false">
      <c r="A50" s="17" t="str">
        <f aca="false">TEXT(B50,"0.0")&amp;" - "&amp;TEXT(C50,"0.0")</f>
        <v>24.0 - 26.0</v>
      </c>
      <c r="B50" s="22" t="n">
        <f aca="false">C49</f>
        <v>24</v>
      </c>
      <c r="C50" s="22" t="n">
        <f aca="false">B50+$D$41</f>
        <v>26</v>
      </c>
      <c r="D50" s="22" t="n">
        <f aca="false">(B50+C50)/2</f>
        <v>25</v>
      </c>
      <c r="E50" s="20" t="n">
        <f aca="false">COUNTIFS(Data!$C$2:$C$2201,"&gt;="&amp;B50,Data!$C$2:$C$2201,"&lt;"&amp;C50)</f>
        <v>227</v>
      </c>
      <c r="F50" s="21" t="n">
        <f aca="false">E50/$E$53</f>
        <v>0.103181818181818</v>
      </c>
      <c r="G50" s="20" t="n">
        <f aca="false">SUM($E$43:E50)</f>
        <v>1737</v>
      </c>
      <c r="H50" s="21" t="n">
        <f aca="false">G50/$E$53</f>
        <v>0.789545454545455</v>
      </c>
    </row>
    <row r="51" customFormat="false" ht="15" hidden="false" customHeight="false" outlineLevel="0" collapsed="false">
      <c r="A51" s="17" t="str">
        <f aca="false">TEXT(B51,"0.0")&amp;" - "&amp;TEXT(C51,"0.0")</f>
        <v>26.0 - 28.0</v>
      </c>
      <c r="B51" s="22" t="n">
        <f aca="false">C50</f>
        <v>26</v>
      </c>
      <c r="C51" s="22" t="n">
        <f aca="false">B51+$D$41</f>
        <v>28</v>
      </c>
      <c r="D51" s="22" t="n">
        <f aca="false">(B51+C51)/2</f>
        <v>27</v>
      </c>
      <c r="E51" s="20" t="n">
        <f aca="false">COUNTIFS(Data!$C$2:$C$2201,"&gt;="&amp;B51,Data!$C$2:$C$2201,"&lt;"&amp;C51)</f>
        <v>224</v>
      </c>
      <c r="F51" s="21" t="n">
        <f aca="false">E51/$E$53</f>
        <v>0.101818181818182</v>
      </c>
      <c r="G51" s="20" t="n">
        <f aca="false">SUM($E$43:E51)</f>
        <v>1961</v>
      </c>
      <c r="H51" s="21" t="n">
        <f aca="false">G51/$E$53</f>
        <v>0.891363636363636</v>
      </c>
    </row>
    <row r="52" customFormat="false" ht="15" hidden="false" customHeight="false" outlineLevel="0" collapsed="false">
      <c r="A52" s="17" t="str">
        <f aca="false">TEXT(B52,"0.0")&amp;" - "&amp;TEXT(C52,"0.0")</f>
        <v>28.0 - 30.0</v>
      </c>
      <c r="B52" s="22" t="n">
        <f aca="false">C51</f>
        <v>28</v>
      </c>
      <c r="C52" s="22" t="n">
        <f aca="false">B52+$D$41</f>
        <v>30</v>
      </c>
      <c r="D52" s="22" t="n">
        <f aca="false">(B52+C52)/2</f>
        <v>29</v>
      </c>
      <c r="E52" s="20" t="n">
        <f aca="false">COUNTIFS(Data!$C$2:$C$2201,"&gt;="&amp;B52,Data!$C$2:$C$2201,"&lt;"&amp;C52)</f>
        <v>239</v>
      </c>
      <c r="F52" s="21" t="n">
        <f aca="false">E52/$E$53</f>
        <v>0.108636363636364</v>
      </c>
      <c r="G52" s="20" t="n">
        <f aca="false">SUM($E$43:E52)</f>
        <v>2200</v>
      </c>
      <c r="H52" s="21" t="n">
        <f aca="false">G52/$E$53</f>
        <v>1</v>
      </c>
    </row>
    <row r="53" customFormat="false" ht="15" hidden="false" customHeight="false" outlineLevel="0" collapsed="false">
      <c r="A53" s="8" t="s">
        <v>25</v>
      </c>
      <c r="E53" s="23" t="n">
        <f aca="false">SUM(E43:E52)</f>
        <v>2200</v>
      </c>
      <c r="F53" s="24" t="n">
        <f aca="false">SUM(F43:F52)</f>
        <v>1</v>
      </c>
      <c r="G53" s="2" t="str">
        <f aca="false">IF(E53=ROWS(Data!$C$2:$C$2201),"OK: total = n","CHECK: values outside classes")</f>
        <v>OK: total = 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4" min="2" style="0" width="18"/>
    <col collapsed="false" customWidth="true" hidden="false" outlineLevel="0" max="5" min="5" style="0" width="78"/>
  </cols>
  <sheetData>
    <row r="1" customFormat="false" ht="17.35" hidden="false" customHeight="false" outlineLevel="0" collapsed="false">
      <c r="A1" s="1" t="s">
        <v>153</v>
      </c>
    </row>
    <row r="2" customFormat="false" ht="15" hidden="false" customHeight="false" outlineLevel="0" collapsed="false">
      <c r="A2" s="2" t="s">
        <v>154</v>
      </c>
    </row>
    <row r="4" customFormat="false" ht="15" hidden="false" customHeight="false" outlineLevel="0" collapsed="false">
      <c r="A4" s="7" t="s">
        <v>155</v>
      </c>
      <c r="B4" s="7" t="s">
        <v>14</v>
      </c>
      <c r="C4" s="7" t="s">
        <v>15</v>
      </c>
      <c r="D4" s="7" t="s">
        <v>16</v>
      </c>
      <c r="E4" s="7" t="s">
        <v>156</v>
      </c>
    </row>
    <row r="5" customFormat="false" ht="15" hidden="false" customHeight="false" outlineLevel="0" collapsed="false">
      <c r="A5" s="8" t="s">
        <v>117</v>
      </c>
      <c r="B5" s="25" t="n">
        <f aca="false">COUNT(Data!$A$2:$A$2201)</f>
        <v>2200</v>
      </c>
      <c r="C5" s="25" t="n">
        <f aca="false">COUNT(Data!$B$2:$B$2201)</f>
        <v>2200</v>
      </c>
      <c r="D5" s="25" t="n">
        <f aca="false">COUNT(Data!$C$2:$C$2201)</f>
        <v>2200</v>
      </c>
      <c r="E5" s="19" t="s">
        <v>157</v>
      </c>
    </row>
    <row r="6" customFormat="false" ht="15" hidden="false" customHeight="false" outlineLevel="0" collapsed="false">
      <c r="A6" s="8" t="s">
        <v>7</v>
      </c>
      <c r="B6" s="26" t="n">
        <f aca="false">AVERAGE(Data!$A$2:$A$2201)</f>
        <v>25.6162438517795</v>
      </c>
      <c r="C6" s="26" t="n">
        <f aca="false">AVERAGE(Data!$B$2:$B$2201)</f>
        <v>103.463655415768</v>
      </c>
      <c r="D6" s="26" t="n">
        <f aca="false">AVERAGE(Data!$C$2:$C$2201)</f>
        <v>20.1513877830414</v>
      </c>
      <c r="E6" s="19" t="s">
        <v>158</v>
      </c>
    </row>
    <row r="7" customFormat="false" ht="15" hidden="false" customHeight="false" outlineLevel="0" collapsed="false">
      <c r="A7" s="8" t="s">
        <v>8</v>
      </c>
      <c r="B7" s="26" t="n">
        <f aca="false">MEDIAN(Data!$A$2:$A$2201)</f>
        <v>25.5986932</v>
      </c>
      <c r="C7" s="26" t="n">
        <f aca="false">MEDIAN(Data!$B$2:$B$2201)</f>
        <v>94.86762427</v>
      </c>
      <c r="D7" s="26" t="n">
        <f aca="false">MEDIAN(Data!$C$2:$C$2201)</f>
        <v>20.0884811652008</v>
      </c>
      <c r="E7" s="19" t="s">
        <v>159</v>
      </c>
    </row>
    <row r="8" customFormat="false" ht="15" hidden="false" customHeight="false" outlineLevel="0" collapsed="false">
      <c r="A8" s="8" t="s">
        <v>160</v>
      </c>
      <c r="B8" s="26" t="str">
        <f aca="false">IFERROR(MODE(Data!$A$2:$A$2201),"No repeated value")</f>
        <v>No repeated value</v>
      </c>
      <c r="C8" s="26" t="str">
        <f aca="false">IFERROR(MODE(Data!$B$2:$B$2201),"No repeated value")</f>
        <v>No repeated value</v>
      </c>
      <c r="D8" s="26" t="str">
        <f aca="false">IFERROR(MODE(Data!$C$2:$C$2201),"No repeated value")</f>
        <v>No repeated value</v>
      </c>
      <c r="E8" s="19" t="s">
        <v>161</v>
      </c>
    </row>
    <row r="9" customFormat="false" ht="15" hidden="false" customHeight="false" outlineLevel="0" collapsed="false">
      <c r="A9" s="8" t="s">
        <v>162</v>
      </c>
      <c r="B9" s="27" t="str">
        <f aca="false">INDEX(Frequency!$A$7:$A$18,MATCH(MAX(Frequency!$E$7:$E$18),Frequency!$E$7:$E$18,0))</f>
        <v>23.0 - 26.0</v>
      </c>
      <c r="C9" s="27" t="str">
        <f aca="false">INDEX(Frequency!$A$25:$A$36,MATCH(MAX(Frequency!$E$25:$E$36),Frequency!$E$25:$E$36,0))</f>
        <v>50.0 - 75.0</v>
      </c>
      <c r="D9" s="27" t="str">
        <f aca="false">INDEX(Frequency!$A$43:$A$52,MATCH(MAX(Frequency!$E$43:$E$52),Frequency!$E$43:$E$52,0))</f>
        <v>28.0 - 30.0</v>
      </c>
      <c r="E9" s="19" t="s">
        <v>163</v>
      </c>
    </row>
    <row r="10" customFormat="false" ht="15" hidden="false" customHeight="false" outlineLevel="0" collapsed="false">
      <c r="A10" s="8" t="s">
        <v>164</v>
      </c>
      <c r="B10" s="26" t="n">
        <f aca="false">VAR(Data!$A$2:$A$2201)</f>
        <v>25.6415498835851</v>
      </c>
      <c r="C10" s="26" t="n">
        <f aca="false">VAR(Data!$B$2:$B$2201)</f>
        <v>3020.42446925145</v>
      </c>
      <c r="D10" s="26" t="n">
        <f aca="false">VAR(Data!$C$2:$C$2201)</f>
        <v>33.5671894133686</v>
      </c>
      <c r="E10" s="19" t="s">
        <v>165</v>
      </c>
    </row>
    <row r="11" customFormat="false" ht="15" hidden="false" customHeight="false" outlineLevel="0" collapsed="false">
      <c r="A11" s="8" t="s">
        <v>166</v>
      </c>
      <c r="B11" s="26" t="n">
        <f aca="false">VARP(Data!$A$2:$A$2201)</f>
        <v>25.6298946336381</v>
      </c>
      <c r="C11" s="26" t="n">
        <f aca="false">VARP(Data!$B$2:$B$2201)</f>
        <v>3019.05154903816</v>
      </c>
      <c r="D11" s="26" t="n">
        <f aca="false">VARP(Data!$C$2:$C$2201)</f>
        <v>33.5519315999989</v>
      </c>
      <c r="E11" s="19" t="s">
        <v>167</v>
      </c>
    </row>
    <row r="12" customFormat="false" ht="15" hidden="false" customHeight="false" outlineLevel="0" collapsed="false">
      <c r="A12" s="8" t="s">
        <v>168</v>
      </c>
      <c r="B12" s="26" t="n">
        <f aca="false">STDEV(Data!$A$2:$A$2201)</f>
        <v>5.06374859995884</v>
      </c>
      <c r="C12" s="26" t="n">
        <f aca="false">STDEV(Data!$B$2:$B$2201)</f>
        <v>54.9583885248781</v>
      </c>
      <c r="D12" s="26" t="n">
        <f aca="false">STDEV(Data!$C$2:$C$2201)</f>
        <v>5.7937198252391</v>
      </c>
      <c r="E12" s="19" t="s">
        <v>169</v>
      </c>
    </row>
    <row r="13" customFormat="false" ht="15" hidden="false" customHeight="false" outlineLevel="0" collapsed="false">
      <c r="A13" s="8" t="s">
        <v>170</v>
      </c>
      <c r="B13" s="26" t="n">
        <f aca="false">STDEVP(Data!$A$2:$A$2201)</f>
        <v>5.06259761719595</v>
      </c>
      <c r="C13" s="26" t="n">
        <f aca="false">STDEVP(Data!$B$2:$B$2201)</f>
        <v>54.945896562329</v>
      </c>
      <c r="D13" s="26" t="n">
        <f aca="false">STDEVP(Data!$C$2:$C$2201)</f>
        <v>5.79240292106816</v>
      </c>
      <c r="E13" s="19" t="s">
        <v>171</v>
      </c>
    </row>
    <row r="14" customFormat="false" ht="15" hidden="false" customHeight="false" outlineLevel="0" collapsed="false">
      <c r="A14" s="8" t="s">
        <v>172</v>
      </c>
      <c r="B14" s="26" t="n">
        <f aca="false">MIN(Data!$A$2:$A$2201)</f>
        <v>8.825674745</v>
      </c>
      <c r="C14" s="26" t="n">
        <f aca="false">MIN(Data!$B$2:$B$2201)</f>
        <v>20.21126747</v>
      </c>
      <c r="D14" s="26" t="n">
        <f aca="false">MIN(Data!$C$2:$C$2201)</f>
        <v>10.0242604278505</v>
      </c>
      <c r="E14" s="19"/>
    </row>
    <row r="15" customFormat="false" ht="15" hidden="false" customHeight="false" outlineLevel="0" collapsed="false">
      <c r="A15" s="8" t="s">
        <v>173</v>
      </c>
      <c r="B15" s="26" t="n">
        <f aca="false">MAX(Data!$A$2:$A$2201)</f>
        <v>43.67549305</v>
      </c>
      <c r="C15" s="26" t="n">
        <f aca="false">MAX(Data!$B$2:$B$2201)</f>
        <v>298.5601175</v>
      </c>
      <c r="D15" s="26" t="n">
        <f aca="false">MAX(Data!$C$2:$C$2201)</f>
        <v>29.9978596528413</v>
      </c>
      <c r="E15" s="19"/>
    </row>
    <row r="16" customFormat="false" ht="15" hidden="false" customHeight="false" outlineLevel="0" collapsed="false">
      <c r="A16" s="8" t="s">
        <v>174</v>
      </c>
      <c r="B16" s="26" t="n">
        <f aca="false">MAX(Data!$A$2:$A$2201)-MIN(Data!$A$2:$A$2201)</f>
        <v>34.849818305</v>
      </c>
      <c r="C16" s="26" t="n">
        <f aca="false">MAX(Data!$B$2:$B$2201)-MIN(Data!$B$2:$B$2201)</f>
        <v>278.34885003</v>
      </c>
      <c r="D16" s="26" t="n">
        <f aca="false">MAX(Data!$C$2:$C$2201)-MIN(Data!$C$2:$C$2201)</f>
        <v>19.9735992249908</v>
      </c>
      <c r="E16" s="19" t="s">
        <v>175</v>
      </c>
    </row>
    <row r="17" customFormat="false" ht="15" hidden="false" customHeight="false" outlineLevel="0" collapsed="false">
      <c r="A17" s="8" t="s">
        <v>176</v>
      </c>
      <c r="B17" s="26" t="n">
        <f aca="false">QUARTILE(Data!$A$2:$A$2201,1)</f>
        <v>22.7693746325</v>
      </c>
      <c r="C17" s="26" t="n">
        <f aca="false">QUARTILE(Data!$B$2:$B$2201,1)</f>
        <v>64.551686</v>
      </c>
      <c r="D17" s="26" t="n">
        <f aca="false">QUARTILE(Data!$C$2:$C$2201,1)</f>
        <v>15.1799488934697</v>
      </c>
      <c r="E17" s="19" t="s">
        <v>177</v>
      </c>
    </row>
    <row r="18" customFormat="false" ht="15" hidden="false" customHeight="false" outlineLevel="0" collapsed="false">
      <c r="A18" s="8" t="s">
        <v>178</v>
      </c>
      <c r="B18" s="26" t="n">
        <f aca="false">QUARTILE(Data!$A$2:$A$2201,3)</f>
        <v>28.5616539325</v>
      </c>
      <c r="C18" s="26" t="n">
        <f aca="false">QUARTILE(Data!$B$2:$B$2201,3)</f>
        <v>124.2675078</v>
      </c>
      <c r="D18" s="26" t="n">
        <f aca="false">QUARTILE(Data!$C$2:$C$2201,3)</f>
        <v>25.2551458211696</v>
      </c>
      <c r="E18" s="19" t="s">
        <v>179</v>
      </c>
    </row>
    <row r="19" customFormat="false" ht="15" hidden="false" customHeight="false" outlineLevel="0" collapsed="false">
      <c r="A19" s="8" t="s">
        <v>180</v>
      </c>
      <c r="B19" s="26" t="n">
        <f aca="false">QUARTILE(Data!$A$2:$A$2201,3)-QUARTILE(Data!$A$2:$A$2201,1)</f>
        <v>5.7922793</v>
      </c>
      <c r="C19" s="26" t="n">
        <f aca="false">QUARTILE(Data!$B$2:$B$2201,3)-QUARTILE(Data!$B$2:$B$2201,1)</f>
        <v>59.7158218</v>
      </c>
      <c r="D19" s="26" t="n">
        <f aca="false">QUARTILE(Data!$C$2:$C$2201,3)-QUARTILE(Data!$C$2:$C$2201,1)</f>
        <v>10.0751969276999</v>
      </c>
      <c r="E19" s="19" t="s">
        <v>181</v>
      </c>
    </row>
    <row r="20" customFormat="false" ht="15" hidden="false" customHeight="false" outlineLevel="0" collapsed="false">
      <c r="A20" s="8" t="s">
        <v>182</v>
      </c>
      <c r="B20" s="28" t="n">
        <f aca="false">STDEV(Data!$A$2:$A$2201)/AVERAGE(Data!$A$2:$A$2201)</f>
        <v>0.197677248438868</v>
      </c>
      <c r="C20" s="28" t="n">
        <f aca="false">STDEV(Data!$B$2:$B$2201)/AVERAGE(Data!$B$2:$B$2201)</f>
        <v>0.531185451587112</v>
      </c>
      <c r="D20" s="28" t="n">
        <f aca="false">STDEV(Data!$C$2:$C$2201)/AVERAGE(Data!$C$2:$C$2201)</f>
        <v>0.287509718318996</v>
      </c>
      <c r="E20" s="19" t="s">
        <v>183</v>
      </c>
    </row>
    <row r="21" customFormat="false" ht="15" hidden="false" customHeight="false" outlineLevel="0" collapsed="false">
      <c r="A21" s="8" t="s">
        <v>184</v>
      </c>
      <c r="B21" s="26" t="n">
        <f aca="false">SKEW(Data!$A$2:$A$2201)</f>
        <v>0.184932734211379</v>
      </c>
      <c r="C21" s="26" t="n">
        <f aca="false">SKEW(Data!$B$2:$B$2201)</f>
        <v>0.965756353627281</v>
      </c>
      <c r="D21" s="26" t="n">
        <f aca="false">SKEW(Data!$C$2:$C$2201)</f>
        <v>-0.017637949611169</v>
      </c>
      <c r="E21" s="19" t="s">
        <v>185</v>
      </c>
    </row>
    <row r="22" customFormat="false" ht="15" hidden="false" customHeight="false" outlineLevel="0" collapsed="false">
      <c r="A22" s="8" t="s">
        <v>186</v>
      </c>
      <c r="B22" s="26" t="n">
        <f aca="false">KURT(Data!$A$2:$A$2201)</f>
        <v>1.23255485175582</v>
      </c>
      <c r="C22" s="26" t="n">
        <f aca="false">KURT(Data!$B$2:$B$2201)</f>
        <v>0.607079285315607</v>
      </c>
      <c r="D22" s="26" t="n">
        <f aca="false">KURT(Data!$C$2:$C$2201)</f>
        <v>-1.2153022927319</v>
      </c>
      <c r="E22" s="19" t="s">
        <v>187</v>
      </c>
    </row>
    <row r="23" customFormat="false" ht="15" hidden="false" customHeight="false" outlineLevel="0" collapsed="false">
      <c r="A23" s="8" t="s">
        <v>188</v>
      </c>
      <c r="B23" s="29" t="n">
        <f aca="false">STDEV(Data!$A$2:$A$2201)/SQRT(COUNT(Data!$A$2:$A$2201))</f>
        <v>0.107959482895594</v>
      </c>
      <c r="C23" s="29" t="n">
        <f aca="false">STDEV(Data!$B$2:$B$2201)/SQRT(COUNT(Data!$B$2:$B$2201))</f>
        <v>1.1717167803254</v>
      </c>
      <c r="D23" s="29" t="n">
        <f aca="false">STDEV(Data!$C$2:$C$2201)/SQRT(COUNT(Data!$C$2:$C$2201))</f>
        <v>0.123522521710468</v>
      </c>
      <c r="E23" s="19" t="s">
        <v>189</v>
      </c>
    </row>
    <row r="24" customFormat="false" ht="15" hidden="false" customHeight="false" outlineLevel="0" collapsed="false">
      <c r="A24" s="8" t="s">
        <v>190</v>
      </c>
      <c r="B24" s="26" t="n">
        <f aca="false">B6-TINV(0.05,B5-1)*B23</f>
        <v>25.404530624273</v>
      </c>
      <c r="C24" s="26" t="n">
        <f aca="false">C6-TINV(0.05,C5-1)*C23</f>
        <v>101.165867999296</v>
      </c>
      <c r="D24" s="26" t="n">
        <f aca="false">D6-TINV(0.05,D5-1)*D23</f>
        <v>19.9091547615442</v>
      </c>
      <c r="E24" s="19" t="s">
        <v>191</v>
      </c>
    </row>
    <row r="25" customFormat="false" ht="15" hidden="false" customHeight="false" outlineLevel="0" collapsed="false">
      <c r="A25" s="8" t="s">
        <v>192</v>
      </c>
      <c r="B25" s="26" t="n">
        <f aca="false">B6+TINV(0.05,B5-1)*B23</f>
        <v>25.8279570792861</v>
      </c>
      <c r="C25" s="26" t="n">
        <f aca="false">C6+TINV(0.05,C5-1)*C23</f>
        <v>105.76144283224</v>
      </c>
      <c r="D25" s="26" t="n">
        <f aca="false">D6+TINV(0.05,D5-1)*D23</f>
        <v>20.3936208045386</v>
      </c>
      <c r="E25" s="19" t="s">
        <v>193</v>
      </c>
    </row>
    <row r="27" customFormat="false" ht="15" hidden="false" customHeight="false" outlineLevel="0" collapsed="false">
      <c r="A27" s="3" t="s">
        <v>194</v>
      </c>
    </row>
    <row r="28" customFormat="false" ht="27" hidden="false" customHeight="true" outlineLevel="0" collapsed="false">
      <c r="A28" s="15" t="s">
        <v>195</v>
      </c>
      <c r="B28" s="15"/>
      <c r="C28" s="15"/>
      <c r="D28" s="15"/>
      <c r="E28" s="15"/>
    </row>
    <row r="29" customFormat="false" ht="27" hidden="false" customHeight="true" outlineLevel="0" collapsed="false">
      <c r="A29" s="15" t="s">
        <v>196</v>
      </c>
      <c r="B29" s="15"/>
      <c r="C29" s="15"/>
      <c r="D29" s="15"/>
      <c r="E29" s="15"/>
    </row>
    <row r="30" customFormat="false" ht="15" hidden="false" customHeight="true" outlineLevel="0" collapsed="false">
      <c r="A30" s="30" t="s">
        <v>197</v>
      </c>
      <c r="B30" s="30"/>
      <c r="C30" s="30"/>
      <c r="D30" s="30"/>
      <c r="E30" s="30"/>
    </row>
  </sheetData>
  <mergeCells count="3">
    <mergeCell ref="A28:E28"/>
    <mergeCell ref="A29:E29"/>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3"/>
    <col collapsed="false" customWidth="true" hidden="false" outlineLevel="0" max="6" min="6" style="0" width="18"/>
    <col collapsed="false" customWidth="true" hidden="false" outlineLevel="0" max="7" min="7" style="0" width="14"/>
    <col collapsed="false" customWidth="true" hidden="false" outlineLevel="0" max="8" min="8" style="0" width="12"/>
  </cols>
  <sheetData>
    <row r="1" customFormat="false" ht="17.35" hidden="false" customHeight="false" outlineLevel="0" collapsed="false">
      <c r="A1" s="1" t="s">
        <v>198</v>
      </c>
    </row>
    <row r="2" customFormat="false" ht="15" hidden="false" customHeight="false" outlineLevel="0" collapsed="false">
      <c r="A2" s="2" t="s">
        <v>199</v>
      </c>
    </row>
    <row r="3" customFormat="false" ht="15" hidden="false" customHeight="false" outlineLevel="0" collapsed="false">
      <c r="A3" s="3" t="s">
        <v>200</v>
      </c>
    </row>
    <row r="4" customFormat="false" ht="15" hidden="false" customHeight="false" outlineLevel="0" collapsed="false">
      <c r="A4" s="7"/>
      <c r="B4" s="7" t="s">
        <v>201</v>
      </c>
      <c r="C4" s="7" t="s">
        <v>202</v>
      </c>
      <c r="D4" s="7" t="s">
        <v>203</v>
      </c>
    </row>
    <row r="5" customFormat="false" ht="15" hidden="false" customHeight="false" outlineLevel="0" collapsed="false">
      <c r="A5" s="8" t="s">
        <v>201</v>
      </c>
      <c r="B5" s="31" t="n">
        <f aca="false">CORREL(Data!$A$2:$A$2201,Data!$A$2:$A$2201)</f>
        <v>1</v>
      </c>
      <c r="C5" s="31" t="n">
        <f aca="false">CORREL(Data!$A$2:$A$2201,Data!$B$2:$B$2201)</f>
        <v>-0.0300837808980414</v>
      </c>
      <c r="D5" s="31" t="n">
        <f aca="false">CORREL(Data!$A$2:$A$2201,Data!$C$2:$C$2201)</f>
        <v>-0.00984230800597498</v>
      </c>
    </row>
    <row r="6" customFormat="false" ht="15" hidden="false" customHeight="false" outlineLevel="0" collapsed="false">
      <c r="A6" s="8" t="s">
        <v>202</v>
      </c>
      <c r="B6" s="31" t="n">
        <f aca="false">CORREL(Data!$B$2:$B$2201,Data!$A$2:$A$2201)</f>
        <v>-0.0300837808980414</v>
      </c>
      <c r="C6" s="31" t="n">
        <f aca="false">CORREL(Data!$B$2:$B$2201,Data!$B$2:$B$2201)</f>
        <v>1</v>
      </c>
      <c r="D6" s="31" t="n">
        <f aca="false">CORREL(Data!$B$2:$B$2201,Data!$C$2:$C$2201)</f>
        <v>-0.0485932991249496</v>
      </c>
    </row>
    <row r="7" customFormat="false" ht="15" hidden="false" customHeight="false" outlineLevel="0" collapsed="false">
      <c r="A7" s="8" t="s">
        <v>203</v>
      </c>
      <c r="B7" s="31" t="n">
        <f aca="false">CORREL(Data!$C$2:$C$2201,Data!$A$2:$A$2201)</f>
        <v>-0.00984230800597498</v>
      </c>
      <c r="C7" s="31" t="n">
        <f aca="false">CORREL(Data!$C$2:$C$2201,Data!$B$2:$B$2201)</f>
        <v>-0.0485932991249496</v>
      </c>
      <c r="D7" s="31" t="n">
        <f aca="false">CORREL(Data!$C$2:$C$2201,Data!$C$2:$C$2201)</f>
        <v>1</v>
      </c>
    </row>
    <row r="9" customFormat="false" ht="15" hidden="false" customHeight="false" outlineLevel="0" collapsed="false">
      <c r="A9" s="3" t="s">
        <v>204</v>
      </c>
    </row>
    <row r="10" customFormat="false" ht="15" hidden="false" customHeight="false" outlineLevel="0" collapsed="false">
      <c r="A10" s="7" t="s">
        <v>18</v>
      </c>
      <c r="B10" s="7" t="s">
        <v>19</v>
      </c>
      <c r="C10" s="7" t="s">
        <v>205</v>
      </c>
      <c r="D10" s="7" t="s">
        <v>206</v>
      </c>
      <c r="E10" s="7" t="s">
        <v>207</v>
      </c>
      <c r="F10" s="7" t="s">
        <v>208</v>
      </c>
      <c r="G10" s="7" t="s">
        <v>20</v>
      </c>
      <c r="H10" s="7" t="s">
        <v>209</v>
      </c>
    </row>
    <row r="11" customFormat="false" ht="15" hidden="false" customHeight="false" outlineLevel="0" collapsed="false">
      <c r="A11" s="8" t="s">
        <v>210</v>
      </c>
      <c r="B11" s="31" t="n">
        <f aca="false">B6</f>
        <v>-0.0300837808980414</v>
      </c>
      <c r="C11" s="32" t="n">
        <f aca="false">B11^2</f>
        <v>0.000905033873121359</v>
      </c>
      <c r="D11" s="20" t="n">
        <f aca="false">ROWS(Data!$A$2:$A$2201)</f>
        <v>2200</v>
      </c>
      <c r="E11" s="33" t="n">
        <f aca="false">B11*SQRT((D11-2)/(1-B11^2))</f>
        <v>-1.41105153544748</v>
      </c>
      <c r="F11" s="32" t="n">
        <f aca="false">TDIST(ABS(E11),D11-2,2)</f>
        <v>0.158370939453577</v>
      </c>
      <c r="G11" s="8" t="str">
        <f aca="false">IF(ABS(B11)&lt;0.1,"Negligible",IF(ABS(B11)&lt;0.3,"Weak",IF(ABS(B11)&lt;0.5,"Moderate",IF(ABS(B11)&lt;0.7,"Strong","Very strong"))))</f>
        <v>Negligible</v>
      </c>
      <c r="H11" s="17" t="str">
        <f aca="false">IF(B11&gt;0,"Positive","Negative")</f>
        <v>Negative</v>
      </c>
    </row>
    <row r="12" customFormat="false" ht="15" hidden="false" customHeight="false" outlineLevel="0" collapsed="false">
      <c r="A12" s="8" t="s">
        <v>211</v>
      </c>
      <c r="B12" s="31" t="n">
        <f aca="false">B7</f>
        <v>-0.00984230800597498</v>
      </c>
      <c r="C12" s="32" t="n">
        <f aca="false">B12^2</f>
        <v>9.68710268844793E-005</v>
      </c>
      <c r="D12" s="20" t="n">
        <f aca="false">ROWS(Data!$A$2:$A$2201)</f>
        <v>2200</v>
      </c>
      <c r="E12" s="33" t="n">
        <f aca="false">B12*SQRT((D12-2)/(1-B12^2))</f>
        <v>-0.461457630897161</v>
      </c>
      <c r="F12" s="32" t="n">
        <f aca="false">TDIST(ABS(E12),D12-2,2)</f>
        <v>0.644515974418786</v>
      </c>
      <c r="G12" s="8" t="str">
        <f aca="false">IF(ABS(B12)&lt;0.1,"Negligible",IF(ABS(B12)&lt;0.3,"Weak",IF(ABS(B12)&lt;0.5,"Moderate",IF(ABS(B12)&lt;0.7,"Strong","Very strong"))))</f>
        <v>Negligible</v>
      </c>
      <c r="H12" s="17" t="str">
        <f aca="false">IF(B12&gt;0,"Positive","Negative")</f>
        <v>Negative</v>
      </c>
    </row>
    <row r="13" customFormat="false" ht="15" hidden="false" customHeight="false" outlineLevel="0" collapsed="false">
      <c r="A13" s="8" t="s">
        <v>212</v>
      </c>
      <c r="B13" s="31" t="n">
        <f aca="false">C7</f>
        <v>-0.0485932991249496</v>
      </c>
      <c r="C13" s="32" t="n">
        <f aca="false">B13^2</f>
        <v>0.00236130871984683</v>
      </c>
      <c r="D13" s="20" t="n">
        <f aca="false">ROWS(Data!$A$2:$A$2201)</f>
        <v>2200</v>
      </c>
      <c r="E13" s="33" t="n">
        <f aca="false">B13*SQRT((D13-2)/(1-B13^2))</f>
        <v>-2.28088604183591</v>
      </c>
      <c r="F13" s="32" t="n">
        <f aca="false">TDIST(ABS(E13),D13-2,2)</f>
        <v>0.022650491185264</v>
      </c>
      <c r="G13" s="8" t="str">
        <f aca="false">IF(ABS(B13)&lt;0.1,"Negligible",IF(ABS(B13)&lt;0.3,"Weak",IF(ABS(B13)&lt;0.5,"Moderate",IF(ABS(B13)&lt;0.7,"Strong","Very strong"))))</f>
        <v>Negligible</v>
      </c>
      <c r="H13" s="17" t="str">
        <f aca="false">IF(B13&gt;0,"Positive","Negative")</f>
        <v>Negative</v>
      </c>
    </row>
    <row r="15" customFormat="false" ht="15" hidden="false" customHeight="false" outlineLevel="0" collapsed="false">
      <c r="A15" s="2" t="s">
        <v>213</v>
      </c>
    </row>
    <row r="17" customFormat="false" ht="15" hidden="false" customHeight="false" outlineLevel="0" collapsed="false">
      <c r="A17" s="3" t="s">
        <v>194</v>
      </c>
    </row>
    <row r="18" customFormat="false" ht="27" hidden="false" customHeight="true" outlineLevel="0" collapsed="false">
      <c r="A18" s="15" t="s">
        <v>214</v>
      </c>
      <c r="B18" s="15"/>
      <c r="C18" s="15"/>
      <c r="D18" s="15"/>
      <c r="E18" s="15"/>
      <c r="F18" s="15"/>
      <c r="G18" s="15"/>
      <c r="H18" s="15"/>
    </row>
    <row r="19" customFormat="false" ht="27" hidden="false" customHeight="true" outlineLevel="0" collapsed="false">
      <c r="A19" s="15" t="s">
        <v>215</v>
      </c>
      <c r="B19" s="15"/>
      <c r="C19" s="15"/>
      <c r="D19" s="15"/>
      <c r="E19" s="15"/>
      <c r="F19" s="15"/>
      <c r="G19" s="15"/>
      <c r="H19" s="15"/>
    </row>
    <row r="20" customFormat="false" ht="15" hidden="false" customHeight="true" outlineLevel="0" collapsed="false">
      <c r="A20" s="30" t="s">
        <v>216</v>
      </c>
      <c r="B20" s="30"/>
      <c r="C20" s="30"/>
      <c r="D20" s="30"/>
      <c r="E20" s="30"/>
      <c r="F20" s="30"/>
      <c r="G20" s="30"/>
      <c r="H20" s="30"/>
    </row>
  </sheetData>
  <mergeCells count="3">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4" min="4" style="0" width="22"/>
    <col collapsed="false" customWidth="true" hidden="false" outlineLevel="0" max="5" min="5" style="0" width="14"/>
  </cols>
  <sheetData>
    <row r="1" customFormat="false" ht="17.35" hidden="false" customHeight="false" outlineLevel="0" collapsed="false">
      <c r="A1" s="1" t="s">
        <v>217</v>
      </c>
    </row>
    <row r="2" customFormat="false" ht="15" hidden="false" customHeight="false" outlineLevel="0" collapsed="false">
      <c r="A2" s="2" t="s">
        <v>218</v>
      </c>
    </row>
    <row r="4" customFormat="false" ht="15" hidden="false" customHeight="false" outlineLevel="0" collapsed="false">
      <c r="A4" s="3" t="s">
        <v>219</v>
      </c>
    </row>
    <row r="5" customFormat="false" ht="15" hidden="false" customHeight="false" outlineLevel="0" collapsed="false">
      <c r="A5" s="4" t="s">
        <v>220</v>
      </c>
    </row>
    <row r="6" customFormat="false" ht="15" hidden="false" customHeight="false" outlineLevel="0" collapsed="false">
      <c r="A6" s="7" t="s">
        <v>46</v>
      </c>
      <c r="B6" s="7" t="s">
        <v>64</v>
      </c>
      <c r="C6" s="7" t="s">
        <v>61</v>
      </c>
      <c r="D6" s="7" t="s">
        <v>58</v>
      </c>
      <c r="E6" s="7" t="s">
        <v>25</v>
      </c>
    </row>
    <row r="7" customFormat="false" ht="15" hidden="false" customHeight="false" outlineLevel="0" collapsed="false">
      <c r="A7" s="8" t="s">
        <v>23</v>
      </c>
      <c r="B7" s="20" t="n">
        <f aca="false">COUNTIFS(Data!$E$2:$E$2201,$A7,Data!$G$2:$G$2201,B$6)</f>
        <v>128</v>
      </c>
      <c r="C7" s="20" t="n">
        <f aca="false">COUNTIFS(Data!$E$2:$E$2201,$A7,Data!$G$2:$G$2201,C$6)</f>
        <v>203</v>
      </c>
      <c r="D7" s="20" t="n">
        <f aca="false">COUNTIFS(Data!$E$2:$E$2201,$A7,Data!$G$2:$G$2201,D$6)</f>
        <v>0</v>
      </c>
      <c r="E7" s="23" t="n">
        <f aca="false">SUM(B7:D7)</f>
        <v>331</v>
      </c>
    </row>
    <row r="8" customFormat="false" ht="15" hidden="false" customHeight="false" outlineLevel="0" collapsed="false">
      <c r="A8" s="8" t="s">
        <v>57</v>
      </c>
      <c r="B8" s="20" t="n">
        <f aca="false">COUNTIFS(Data!$E$2:$E$2201,$A8,Data!$G$2:$G$2201,B$6)</f>
        <v>328</v>
      </c>
      <c r="C8" s="20" t="n">
        <f aca="false">COUNTIFS(Data!$E$2:$E$2201,$A8,Data!$G$2:$G$2201,C$6)</f>
        <v>947</v>
      </c>
      <c r="D8" s="20" t="n">
        <f aca="false">COUNTIFS(Data!$E$2:$E$2201,$A8,Data!$G$2:$G$2201,D$6)</f>
        <v>169</v>
      </c>
      <c r="E8" s="23" t="n">
        <f aca="false">SUM(B8:D8)</f>
        <v>1444</v>
      </c>
    </row>
    <row r="9" customFormat="false" ht="15" hidden="false" customHeight="false" outlineLevel="0" collapsed="false">
      <c r="A9" s="8" t="s">
        <v>24</v>
      </c>
      <c r="B9" s="20" t="n">
        <f aca="false">COUNTIFS(Data!$E$2:$E$2201,$A9,Data!$G$2:$G$2201,B$6)</f>
        <v>0</v>
      </c>
      <c r="C9" s="20" t="n">
        <f aca="false">COUNTIFS(Data!$E$2:$E$2201,$A9,Data!$G$2:$G$2201,C$6)</f>
        <v>330</v>
      </c>
      <c r="D9" s="20" t="n">
        <f aca="false">COUNTIFS(Data!$E$2:$E$2201,$A9,Data!$G$2:$G$2201,D$6)</f>
        <v>95</v>
      </c>
      <c r="E9" s="23" t="n">
        <f aca="false">SUM(B9:D9)</f>
        <v>425</v>
      </c>
    </row>
    <row r="10" customFormat="false" ht="15" hidden="false" customHeight="false" outlineLevel="0" collapsed="false">
      <c r="A10" s="8" t="s">
        <v>25</v>
      </c>
      <c r="B10" s="23" t="n">
        <f aca="false">SUM(B7:B9)</f>
        <v>456</v>
      </c>
      <c r="C10" s="23" t="n">
        <f aca="false">SUM(C7:C9)</f>
        <v>1480</v>
      </c>
      <c r="D10" s="23" t="n">
        <f aca="false">SUM(D7:D9)</f>
        <v>264</v>
      </c>
      <c r="E10" s="23" t="n">
        <f aca="false">SUM(E7:E9)</f>
        <v>2200</v>
      </c>
    </row>
    <row r="12" customFormat="false" ht="15" hidden="false" customHeight="false" outlineLevel="0" collapsed="false">
      <c r="A12" s="4" t="s">
        <v>221</v>
      </c>
    </row>
    <row r="13" customFormat="false" ht="15" hidden="false" customHeight="false" outlineLevel="0" collapsed="false">
      <c r="A13" s="7" t="s">
        <v>46</v>
      </c>
      <c r="B13" s="7" t="s">
        <v>64</v>
      </c>
      <c r="C13" s="7" t="s">
        <v>61</v>
      </c>
      <c r="D13" s="7" t="s">
        <v>58</v>
      </c>
      <c r="E13" s="7" t="s">
        <v>25</v>
      </c>
    </row>
    <row r="14" customFormat="false" ht="15" hidden="false" customHeight="false" outlineLevel="0" collapsed="false">
      <c r="A14" s="8" t="s">
        <v>23</v>
      </c>
      <c r="B14" s="21" t="n">
        <f aca="false">B7/$E7</f>
        <v>0.386706948640483</v>
      </c>
      <c r="C14" s="21" t="n">
        <f aca="false">C7/$E7</f>
        <v>0.613293051359517</v>
      </c>
      <c r="D14" s="21" t="n">
        <f aca="false">D7/$E7</f>
        <v>0</v>
      </c>
      <c r="E14" s="21" t="n">
        <f aca="false">SUM(B14:D14)</f>
        <v>1</v>
      </c>
    </row>
    <row r="15" customFormat="false" ht="15" hidden="false" customHeight="false" outlineLevel="0" collapsed="false">
      <c r="A15" s="8" t="s">
        <v>57</v>
      </c>
      <c r="B15" s="21" t="n">
        <f aca="false">B8/$E8</f>
        <v>0.227146814404432</v>
      </c>
      <c r="C15" s="21" t="n">
        <f aca="false">C8/$E8</f>
        <v>0.655817174515236</v>
      </c>
      <c r="D15" s="21" t="n">
        <f aca="false">D8/$E8</f>
        <v>0.117036011080332</v>
      </c>
      <c r="E15" s="21" t="n">
        <f aca="false">SUM(B15:D15)</f>
        <v>1</v>
      </c>
    </row>
    <row r="16" customFormat="false" ht="15" hidden="false" customHeight="false" outlineLevel="0" collapsed="false">
      <c r="A16" s="8" t="s">
        <v>24</v>
      </c>
      <c r="B16" s="21" t="n">
        <f aca="false">B9/$E9</f>
        <v>0</v>
      </c>
      <c r="C16" s="21" t="n">
        <f aca="false">C9/$E9</f>
        <v>0.776470588235294</v>
      </c>
      <c r="D16" s="21" t="n">
        <f aca="false">D9/$E9</f>
        <v>0.223529411764706</v>
      </c>
      <c r="E16" s="21" t="n">
        <f aca="false">SUM(B16:D16)</f>
        <v>1</v>
      </c>
    </row>
    <row r="18" customFormat="false" ht="15" hidden="false" customHeight="false" outlineLevel="0" collapsed="false">
      <c r="A18" s="4" t="s">
        <v>222</v>
      </c>
    </row>
    <row r="19" customFormat="false" ht="15" hidden="false" customHeight="false" outlineLevel="0" collapsed="false">
      <c r="A19" s="7" t="s">
        <v>46</v>
      </c>
      <c r="B19" s="7" t="s">
        <v>64</v>
      </c>
      <c r="C19" s="7" t="s">
        <v>61</v>
      </c>
      <c r="D19" s="7" t="s">
        <v>58</v>
      </c>
      <c r="E19" s="7" t="s">
        <v>25</v>
      </c>
    </row>
    <row r="20" customFormat="false" ht="15" hidden="false" customHeight="false" outlineLevel="0" collapsed="false">
      <c r="A20" s="8" t="s">
        <v>23</v>
      </c>
      <c r="B20" s="21" t="n">
        <f aca="false">B7/B$10</f>
        <v>0.280701754385965</v>
      </c>
      <c r="C20" s="21" t="n">
        <f aca="false">C7/C$10</f>
        <v>0.137162162162162</v>
      </c>
      <c r="D20" s="21" t="n">
        <f aca="false">D7/D$10</f>
        <v>0</v>
      </c>
      <c r="E20" s="21" t="n">
        <f aca="false">E7/$E$10</f>
        <v>0.150454545454545</v>
      </c>
    </row>
    <row r="21" customFormat="false" ht="15" hidden="false" customHeight="false" outlineLevel="0" collapsed="false">
      <c r="A21" s="8" t="s">
        <v>57</v>
      </c>
      <c r="B21" s="21" t="n">
        <f aca="false">B8/B$10</f>
        <v>0.719298245614035</v>
      </c>
      <c r="C21" s="21" t="n">
        <f aca="false">C8/C$10</f>
        <v>0.639864864864865</v>
      </c>
      <c r="D21" s="21" t="n">
        <f aca="false">D8/D$10</f>
        <v>0.640151515151515</v>
      </c>
      <c r="E21" s="21" t="n">
        <f aca="false">E8/$E$10</f>
        <v>0.656363636363636</v>
      </c>
    </row>
    <row r="22" customFormat="false" ht="15" hidden="false" customHeight="false" outlineLevel="0" collapsed="false">
      <c r="A22" s="8" t="s">
        <v>24</v>
      </c>
      <c r="B22" s="21" t="n">
        <f aca="false">B9/B$10</f>
        <v>0</v>
      </c>
      <c r="C22" s="21" t="n">
        <f aca="false">C9/C$10</f>
        <v>0.222972972972973</v>
      </c>
      <c r="D22" s="21" t="n">
        <f aca="false">D9/D$10</f>
        <v>0.359848484848485</v>
      </c>
      <c r="E22" s="21" t="n">
        <f aca="false">E9/$E$10</f>
        <v>0.193181818181818</v>
      </c>
    </row>
    <row r="24" customFormat="false" ht="15" hidden="false" customHeight="false" outlineLevel="0" collapsed="false">
      <c r="A24" s="4" t="s">
        <v>223</v>
      </c>
    </row>
    <row r="25" customFormat="false" ht="15" hidden="false" customHeight="false" outlineLevel="0" collapsed="false">
      <c r="A25" s="7" t="s">
        <v>46</v>
      </c>
      <c r="B25" s="7" t="s">
        <v>64</v>
      </c>
      <c r="C25" s="7" t="s">
        <v>61</v>
      </c>
      <c r="D25" s="7" t="s">
        <v>58</v>
      </c>
    </row>
    <row r="26" customFormat="false" ht="15" hidden="false" customHeight="false" outlineLevel="0" collapsed="false">
      <c r="A26" s="8" t="s">
        <v>23</v>
      </c>
      <c r="B26" s="22" t="n">
        <f aca="false">$E7*B$10/$E$10</f>
        <v>68.6072727272727</v>
      </c>
      <c r="C26" s="22" t="n">
        <f aca="false">$E7*C$10/$E$10</f>
        <v>222.672727272727</v>
      </c>
      <c r="D26" s="22" t="n">
        <f aca="false">$E7*D$10/$E$10</f>
        <v>39.72</v>
      </c>
    </row>
    <row r="27" customFormat="false" ht="15" hidden="false" customHeight="false" outlineLevel="0" collapsed="false">
      <c r="A27" s="8" t="s">
        <v>57</v>
      </c>
      <c r="B27" s="22" t="n">
        <f aca="false">$E8*B$10/$E$10</f>
        <v>299.301818181818</v>
      </c>
      <c r="C27" s="22" t="n">
        <f aca="false">$E8*C$10/$E$10</f>
        <v>971.418181818182</v>
      </c>
      <c r="D27" s="22" t="n">
        <f aca="false">$E8*D$10/$E$10</f>
        <v>173.28</v>
      </c>
    </row>
    <row r="28" customFormat="false" ht="15" hidden="false" customHeight="false" outlineLevel="0" collapsed="false">
      <c r="A28" s="8" t="s">
        <v>24</v>
      </c>
      <c r="B28" s="22" t="n">
        <f aca="false">$E9*B$10/$E$10</f>
        <v>88.0909090909091</v>
      </c>
      <c r="C28" s="22" t="n">
        <f aca="false">$E9*C$10/$E$10</f>
        <v>285.909090909091</v>
      </c>
      <c r="D28" s="22" t="n">
        <f aca="false">$E9*D$10/$E$10</f>
        <v>51</v>
      </c>
    </row>
    <row r="30" customFormat="false" ht="15" hidden="false" customHeight="false" outlineLevel="0" collapsed="false">
      <c r="A30" s="8" t="s">
        <v>224</v>
      </c>
      <c r="B30" s="33" t="n">
        <f aca="false">SUMPRODUCT((B7:D9-B26:D28)^2/B26:D28)</f>
        <v>229.196105980963</v>
      </c>
    </row>
    <row r="31" customFormat="false" ht="15" hidden="false" customHeight="false" outlineLevel="0" collapsed="false">
      <c r="A31" s="8" t="s">
        <v>225</v>
      </c>
      <c r="B31" s="17" t="n">
        <f aca="false">(ROWS(B7:B9)-1)*(COLUMNS(B7:D7)-1)</f>
        <v>4</v>
      </c>
    </row>
    <row r="32" customFormat="false" ht="15" hidden="false" customHeight="false" outlineLevel="0" collapsed="false">
      <c r="A32" s="8" t="s">
        <v>21</v>
      </c>
      <c r="B32" s="32" t="n">
        <f aca="false">CHIDIST(B30,B31)</f>
        <v>1.96629406670405E-048</v>
      </c>
    </row>
    <row r="33" customFormat="false" ht="15" hidden="false" customHeight="false" outlineLevel="0" collapsed="false">
      <c r="A33" s="8" t="s">
        <v>226</v>
      </c>
      <c r="B33" s="31" t="n">
        <f aca="false">SQRT(B30/(E10*(MIN(ROWS(B7:D9),COLUMNS(B7:D9))-1)))</f>
        <v>0.228232390529001</v>
      </c>
      <c r="C33" s="4" t="str">
        <f aca="false">IF(B33&lt;0.1,"Negligible",IF(B33&lt;0.3,"Weak",IF(B33&lt;0.5,"Moderate","Strong")))</f>
        <v>Weak</v>
      </c>
    </row>
    <row r="35" customFormat="false" ht="40.5" hidden="false" customHeight="true" outlineLevel="0" collapsed="false">
      <c r="A35" s="15" t="s">
        <v>227</v>
      </c>
      <c r="B35" s="15"/>
      <c r="C35" s="15"/>
      <c r="D35" s="15"/>
      <c r="E35" s="15"/>
    </row>
    <row r="36" customFormat="false" ht="27" hidden="false" customHeight="true" outlineLevel="0" collapsed="false">
      <c r="A36" s="30" t="s">
        <v>228</v>
      </c>
      <c r="B36" s="30"/>
      <c r="C36" s="30"/>
      <c r="D36" s="30"/>
      <c r="E36" s="30"/>
    </row>
    <row r="40" customFormat="false" ht="15" hidden="false" customHeight="false" outlineLevel="0" collapsed="false">
      <c r="A40" s="3" t="s">
        <v>229</v>
      </c>
    </row>
    <row r="41" customFormat="false" ht="15" hidden="false" customHeight="false" outlineLevel="0" collapsed="false">
      <c r="A41" s="4" t="s">
        <v>220</v>
      </c>
    </row>
    <row r="42" customFormat="false" ht="15" hidden="false" customHeight="false" outlineLevel="0" collapsed="false">
      <c r="A42" s="7" t="s">
        <v>45</v>
      </c>
      <c r="B42" s="7" t="s">
        <v>64</v>
      </c>
      <c r="C42" s="7" t="s">
        <v>61</v>
      </c>
      <c r="D42" s="7" t="s">
        <v>58</v>
      </c>
      <c r="E42" s="7" t="s">
        <v>25</v>
      </c>
    </row>
    <row r="43" customFormat="false" ht="15" hidden="false" customHeight="false" outlineLevel="0" collapsed="false">
      <c r="A43" s="8" t="s">
        <v>66</v>
      </c>
      <c r="B43" s="20" t="n">
        <f aca="false">COUNTIFS(Data!$D$2:$D$2201,$A43,Data!$G$2:$G$2201,B$42)</f>
        <v>73</v>
      </c>
      <c r="C43" s="20" t="n">
        <f aca="false">COUNTIFS(Data!$D$2:$D$2201,$A43,Data!$G$2:$G$2201,C$42)</f>
        <v>184</v>
      </c>
      <c r="D43" s="20" t="n">
        <f aca="false">COUNTIFS(Data!$D$2:$D$2201,$A43,Data!$G$2:$G$2201,D$42)</f>
        <v>34</v>
      </c>
      <c r="E43" s="23" t="n">
        <f aca="false">SUM(B43:D43)</f>
        <v>291</v>
      </c>
    </row>
    <row r="44" customFormat="false" ht="15" hidden="false" customHeight="false" outlineLevel="0" collapsed="false">
      <c r="A44" s="8" t="s">
        <v>57</v>
      </c>
      <c r="B44" s="20" t="n">
        <f aca="false">COUNTIFS(Data!$D$2:$D$2201,$A44,Data!$G$2:$G$2201,B$42)</f>
        <v>300</v>
      </c>
      <c r="C44" s="20" t="n">
        <f aca="false">COUNTIFS(Data!$D$2:$D$2201,$A44,Data!$G$2:$G$2201,C$42)</f>
        <v>1108</v>
      </c>
      <c r="D44" s="20" t="n">
        <f aca="false">COUNTIFS(Data!$D$2:$D$2201,$A44,Data!$G$2:$G$2201,D$42)</f>
        <v>203</v>
      </c>
      <c r="E44" s="23" t="n">
        <f aca="false">SUM(B44:D44)</f>
        <v>1611</v>
      </c>
    </row>
    <row r="45" customFormat="false" ht="15" hidden="false" customHeight="false" outlineLevel="0" collapsed="false">
      <c r="A45" s="8" t="s">
        <v>67</v>
      </c>
      <c r="B45" s="20" t="n">
        <f aca="false">COUNTIFS(Data!$D$2:$D$2201,$A45,Data!$G$2:$G$2201,B$42)</f>
        <v>83</v>
      </c>
      <c r="C45" s="20" t="n">
        <f aca="false">COUNTIFS(Data!$D$2:$D$2201,$A45,Data!$G$2:$G$2201,C$42)</f>
        <v>188</v>
      </c>
      <c r="D45" s="20" t="n">
        <f aca="false">COUNTIFS(Data!$D$2:$D$2201,$A45,Data!$G$2:$G$2201,D$42)</f>
        <v>27</v>
      </c>
      <c r="E45" s="23" t="n">
        <f aca="false">SUM(B45:D45)</f>
        <v>298</v>
      </c>
    </row>
    <row r="46" customFormat="false" ht="15" hidden="false" customHeight="false" outlineLevel="0" collapsed="false">
      <c r="A46" s="8" t="s">
        <v>25</v>
      </c>
      <c r="B46" s="23" t="n">
        <f aca="false">SUM(B43:B45)</f>
        <v>456</v>
      </c>
      <c r="C46" s="23" t="n">
        <f aca="false">SUM(C43:C45)</f>
        <v>1480</v>
      </c>
      <c r="D46" s="23" t="n">
        <f aca="false">SUM(D43:D45)</f>
        <v>264</v>
      </c>
      <c r="E46" s="23" t="n">
        <f aca="false">SUM(E43:E45)</f>
        <v>2200</v>
      </c>
    </row>
    <row r="48" customFormat="false" ht="15" hidden="false" customHeight="false" outlineLevel="0" collapsed="false">
      <c r="A48" s="4" t="s">
        <v>221</v>
      </c>
    </row>
    <row r="49" customFormat="false" ht="15" hidden="false" customHeight="false" outlineLevel="0" collapsed="false">
      <c r="A49" s="7" t="s">
        <v>45</v>
      </c>
      <c r="B49" s="7" t="s">
        <v>64</v>
      </c>
      <c r="C49" s="7" t="s">
        <v>61</v>
      </c>
      <c r="D49" s="7" t="s">
        <v>58</v>
      </c>
      <c r="E49" s="7" t="s">
        <v>25</v>
      </c>
    </row>
    <row r="50" customFormat="false" ht="15" hidden="false" customHeight="false" outlineLevel="0" collapsed="false">
      <c r="A50" s="8" t="s">
        <v>66</v>
      </c>
      <c r="B50" s="21" t="n">
        <f aca="false">B43/$E43</f>
        <v>0.25085910652921</v>
      </c>
      <c r="C50" s="21" t="n">
        <f aca="false">C43/$E43</f>
        <v>0.632302405498282</v>
      </c>
      <c r="D50" s="21" t="n">
        <f aca="false">D43/$E43</f>
        <v>0.116838487972509</v>
      </c>
      <c r="E50" s="21" t="n">
        <f aca="false">SUM(B50:D50)</f>
        <v>1</v>
      </c>
    </row>
    <row r="51" customFormat="false" ht="15" hidden="false" customHeight="false" outlineLevel="0" collapsed="false">
      <c r="A51" s="8" t="s">
        <v>57</v>
      </c>
      <c r="B51" s="21" t="n">
        <f aca="false">B44/$E44</f>
        <v>0.186219739292365</v>
      </c>
      <c r="C51" s="21" t="n">
        <f aca="false">C44/$E44</f>
        <v>0.687771570453135</v>
      </c>
      <c r="D51" s="21" t="n">
        <f aca="false">D44/$E44</f>
        <v>0.1260086902545</v>
      </c>
      <c r="E51" s="21" t="n">
        <f aca="false">SUM(B51:D51)</f>
        <v>1</v>
      </c>
    </row>
    <row r="52" customFormat="false" ht="15" hidden="false" customHeight="false" outlineLevel="0" collapsed="false">
      <c r="A52" s="8" t="s">
        <v>67</v>
      </c>
      <c r="B52" s="21" t="n">
        <f aca="false">B45/$E45</f>
        <v>0.278523489932886</v>
      </c>
      <c r="C52" s="21" t="n">
        <f aca="false">C45/$E45</f>
        <v>0.630872483221477</v>
      </c>
      <c r="D52" s="21" t="n">
        <f aca="false">D45/$E45</f>
        <v>0.0906040268456376</v>
      </c>
      <c r="E52" s="21" t="n">
        <f aca="false">SUM(B52:D52)</f>
        <v>1</v>
      </c>
    </row>
    <row r="54" customFormat="false" ht="15" hidden="false" customHeight="false" outlineLevel="0" collapsed="false">
      <c r="A54" s="4" t="s">
        <v>222</v>
      </c>
    </row>
    <row r="55" customFormat="false" ht="15" hidden="false" customHeight="false" outlineLevel="0" collapsed="false">
      <c r="A55" s="7" t="s">
        <v>45</v>
      </c>
      <c r="B55" s="7" t="s">
        <v>64</v>
      </c>
      <c r="C55" s="7" t="s">
        <v>61</v>
      </c>
      <c r="D55" s="7" t="s">
        <v>58</v>
      </c>
      <c r="E55" s="7" t="s">
        <v>25</v>
      </c>
    </row>
    <row r="56" customFormat="false" ht="15" hidden="false" customHeight="false" outlineLevel="0" collapsed="false">
      <c r="A56" s="8" t="s">
        <v>66</v>
      </c>
      <c r="B56" s="21" t="n">
        <f aca="false">B43/B$46</f>
        <v>0.160087719298246</v>
      </c>
      <c r="C56" s="21" t="n">
        <f aca="false">C43/C$46</f>
        <v>0.124324324324324</v>
      </c>
      <c r="D56" s="21" t="n">
        <f aca="false">D43/D$46</f>
        <v>0.128787878787879</v>
      </c>
      <c r="E56" s="21" t="n">
        <f aca="false">E43/$E$46</f>
        <v>0.132272727272727</v>
      </c>
    </row>
    <row r="57" customFormat="false" ht="15" hidden="false" customHeight="false" outlineLevel="0" collapsed="false">
      <c r="A57" s="8" t="s">
        <v>57</v>
      </c>
      <c r="B57" s="21" t="n">
        <f aca="false">B44/B$46</f>
        <v>0.657894736842105</v>
      </c>
      <c r="C57" s="21" t="n">
        <f aca="false">C44/C$46</f>
        <v>0.748648648648649</v>
      </c>
      <c r="D57" s="21" t="n">
        <f aca="false">D44/D$46</f>
        <v>0.768939393939394</v>
      </c>
      <c r="E57" s="21" t="n">
        <f aca="false">E44/$E$46</f>
        <v>0.732272727272727</v>
      </c>
    </row>
    <row r="58" customFormat="false" ht="15" hidden="false" customHeight="false" outlineLevel="0" collapsed="false">
      <c r="A58" s="8" t="s">
        <v>67</v>
      </c>
      <c r="B58" s="21" t="n">
        <f aca="false">B45/B$46</f>
        <v>0.182017543859649</v>
      </c>
      <c r="C58" s="21" t="n">
        <f aca="false">C45/C$46</f>
        <v>0.127027027027027</v>
      </c>
      <c r="D58" s="21" t="n">
        <f aca="false">D45/D$46</f>
        <v>0.102272727272727</v>
      </c>
      <c r="E58" s="21" t="n">
        <f aca="false">E45/$E$46</f>
        <v>0.135454545454545</v>
      </c>
    </row>
    <row r="60" customFormat="false" ht="15" hidden="false" customHeight="false" outlineLevel="0" collapsed="false">
      <c r="A60" s="4" t="s">
        <v>223</v>
      </c>
    </row>
    <row r="61" customFormat="false" ht="15" hidden="false" customHeight="false" outlineLevel="0" collapsed="false">
      <c r="A61" s="7" t="s">
        <v>45</v>
      </c>
      <c r="B61" s="7" t="s">
        <v>64</v>
      </c>
      <c r="C61" s="7" t="s">
        <v>61</v>
      </c>
      <c r="D61" s="7" t="s">
        <v>58</v>
      </c>
    </row>
    <row r="62" customFormat="false" ht="15" hidden="false" customHeight="false" outlineLevel="0" collapsed="false">
      <c r="A62" s="8" t="s">
        <v>66</v>
      </c>
      <c r="B62" s="22" t="n">
        <f aca="false">$E43*B$46/$E$46</f>
        <v>60.3163636363636</v>
      </c>
      <c r="C62" s="22" t="n">
        <f aca="false">$E43*C$46/$E$46</f>
        <v>195.763636363636</v>
      </c>
      <c r="D62" s="22" t="n">
        <f aca="false">$E43*D$46/$E$46</f>
        <v>34.92</v>
      </c>
    </row>
    <row r="63" customFormat="false" ht="15" hidden="false" customHeight="false" outlineLevel="0" collapsed="false">
      <c r="A63" s="8" t="s">
        <v>57</v>
      </c>
      <c r="B63" s="22" t="n">
        <f aca="false">$E44*B$46/$E$46</f>
        <v>333.916363636364</v>
      </c>
      <c r="C63" s="22" t="n">
        <f aca="false">$E44*C$46/$E$46</f>
        <v>1083.76363636364</v>
      </c>
      <c r="D63" s="22" t="n">
        <f aca="false">$E44*D$46/$E$46</f>
        <v>193.32</v>
      </c>
    </row>
    <row r="64" customFormat="false" ht="15" hidden="false" customHeight="false" outlineLevel="0" collapsed="false">
      <c r="A64" s="8" t="s">
        <v>67</v>
      </c>
      <c r="B64" s="22" t="n">
        <f aca="false">$E45*B$46/$E$46</f>
        <v>61.7672727272727</v>
      </c>
      <c r="C64" s="22" t="n">
        <f aca="false">$E45*C$46/$E$46</f>
        <v>200.472727272727</v>
      </c>
      <c r="D64" s="22" t="n">
        <f aca="false">$E45*D$46/$E$46</f>
        <v>35.76</v>
      </c>
    </row>
    <row r="66" customFormat="false" ht="15" hidden="false" customHeight="false" outlineLevel="0" collapsed="false">
      <c r="A66" s="8" t="s">
        <v>224</v>
      </c>
      <c r="B66" s="33" t="n">
        <f aca="false">SUMPRODUCT((B43:D45-B62:D64)^2/B62:D64)</f>
        <v>18.0906882817385</v>
      </c>
    </row>
    <row r="67" customFormat="false" ht="15" hidden="false" customHeight="false" outlineLevel="0" collapsed="false">
      <c r="A67" s="8" t="s">
        <v>225</v>
      </c>
      <c r="B67" s="17" t="n">
        <f aca="false">(ROWS(B43:B45)-1)*(COLUMNS(B43:D43)-1)</f>
        <v>4</v>
      </c>
    </row>
    <row r="68" customFormat="false" ht="15" hidden="false" customHeight="false" outlineLevel="0" collapsed="false">
      <c r="A68" s="8" t="s">
        <v>21</v>
      </c>
      <c r="B68" s="32" t="n">
        <f aca="false">CHIDIST(B66,B67)</f>
        <v>0.00118473651032928</v>
      </c>
    </row>
    <row r="69" customFormat="false" ht="15" hidden="false" customHeight="false" outlineLevel="0" collapsed="false">
      <c r="A69" s="8" t="s">
        <v>226</v>
      </c>
      <c r="B69" s="31" t="n">
        <f aca="false">SQRT(B66/(E46*(MIN(ROWS(B43:D45),COLUMNS(B43:D45))-1)))</f>
        <v>0.064121135860428</v>
      </c>
      <c r="C69" s="4" t="str">
        <f aca="false">IF(B69&lt;0.1,"Negligible",IF(B69&lt;0.3,"Weak",IF(B69&lt;0.5,"Moderate","Strong")))</f>
        <v>Negligible</v>
      </c>
    </row>
    <row r="71" customFormat="false" ht="40.5" hidden="false" customHeight="true" outlineLevel="0" collapsed="false">
      <c r="A71" s="15" t="s">
        <v>230</v>
      </c>
      <c r="B71" s="15"/>
      <c r="C71" s="15"/>
      <c r="D71" s="15"/>
      <c r="E71" s="15"/>
    </row>
  </sheetData>
  <mergeCells count="3">
    <mergeCell ref="A35:E35"/>
    <mergeCell ref="A36:E36"/>
    <mergeCell ref="A71:E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0"/>
    <col collapsed="false" customWidth="true" hidden="false" outlineLevel="0" max="6" min="5" style="0" width="13"/>
    <col collapsed="false" customWidth="true" hidden="false" outlineLevel="0" max="7" min="7" style="0" width="14"/>
    <col collapsed="false" customWidth="true" hidden="false" outlineLevel="0" max="8" min="8" style="0" width="15"/>
    <col collapsed="false" customWidth="true" hidden="false" outlineLevel="0" max="9" min="9" style="0" width="10"/>
    <col collapsed="false" customWidth="true" hidden="false" outlineLevel="0" max="10" min="10" style="0" width="13"/>
    <col collapsed="false" customWidth="true" hidden="false" outlineLevel="0" max="12" min="11" style="0" width="10"/>
  </cols>
  <sheetData>
    <row r="1" customFormat="false" ht="17.35" hidden="false" customHeight="false" outlineLevel="0" collapsed="false">
      <c r="A1" s="1" t="s">
        <v>231</v>
      </c>
    </row>
    <row r="2" customFormat="false" ht="15" hidden="false" customHeight="false" outlineLevel="0" collapsed="false">
      <c r="A2" s="2" t="s">
        <v>232</v>
      </c>
    </row>
    <row r="3" customFormat="false" ht="15" hidden="false" customHeight="false" outlineLevel="0" collapsed="false">
      <c r="A3" s="4" t="s">
        <v>233</v>
      </c>
      <c r="B3" s="18" t="n">
        <v>1.5</v>
      </c>
      <c r="C3" s="2" t="s">
        <v>234</v>
      </c>
    </row>
    <row r="5" customFormat="false" ht="15" hidden="false" customHeight="false" outlineLevel="0" collapsed="false">
      <c r="A5" s="7" t="s">
        <v>6</v>
      </c>
      <c r="B5" s="7" t="s">
        <v>12</v>
      </c>
      <c r="C5" s="7" t="s">
        <v>13</v>
      </c>
      <c r="D5" s="7" t="s">
        <v>235</v>
      </c>
      <c r="E5" s="7" t="s">
        <v>236</v>
      </c>
      <c r="F5" s="7" t="s">
        <v>237</v>
      </c>
      <c r="G5" s="7" t="s">
        <v>238</v>
      </c>
      <c r="H5" s="7" t="s">
        <v>239</v>
      </c>
      <c r="I5" s="7" t="s">
        <v>240</v>
      </c>
      <c r="J5" s="7" t="s">
        <v>26</v>
      </c>
      <c r="K5" s="7" t="s">
        <v>241</v>
      </c>
      <c r="L5" s="7" t="s">
        <v>242</v>
      </c>
    </row>
    <row r="6" customFormat="false" ht="15" hidden="false" customHeight="false" outlineLevel="0" collapsed="false">
      <c r="A6" s="8" t="s">
        <v>14</v>
      </c>
      <c r="B6" s="33" t="n">
        <f aca="false">QUARTILE(Data!$A$2:$A$2201,1)</f>
        <v>22.7693746325</v>
      </c>
      <c r="C6" s="33" t="n">
        <f aca="false">QUARTILE(Data!$A$2:$A$2201,3)</f>
        <v>28.5616539325</v>
      </c>
      <c r="D6" s="33" t="n">
        <f aca="false">C6-B6</f>
        <v>5.7922793</v>
      </c>
      <c r="E6" s="33" t="n">
        <f aca="false">B6-$B$3*D6</f>
        <v>14.0809556825</v>
      </c>
      <c r="F6" s="33" t="n">
        <f aca="false">C6+$B$3*D6</f>
        <v>37.2500728825</v>
      </c>
      <c r="G6" s="20" t="n">
        <f aca="false">COUNTIF(Data!$A$2:$A$2201,"&lt;"&amp;E6)</f>
        <v>38</v>
      </c>
      <c r="H6" s="20" t="n">
        <f aca="false">COUNTIF(Data!$A$2:$A$2201,"&gt;"&amp;F6)</f>
        <v>48</v>
      </c>
      <c r="I6" s="23" t="n">
        <f aca="false">G6+H6</f>
        <v>86</v>
      </c>
      <c r="J6" s="21" t="n">
        <f aca="false">I6/ROWS(Data!$A$2:$A$2201)</f>
        <v>0.0390909090909091</v>
      </c>
      <c r="K6" s="33" t="n">
        <f aca="false">MIN(Data!$A$2:$A$2201)</f>
        <v>8.825674745</v>
      </c>
      <c r="L6" s="33" t="n">
        <f aca="false">MAX(Data!$A$2:$A$2201)</f>
        <v>43.67549305</v>
      </c>
    </row>
    <row r="7" customFormat="false" ht="15" hidden="false" customHeight="false" outlineLevel="0" collapsed="false">
      <c r="A7" s="8" t="s">
        <v>15</v>
      </c>
      <c r="B7" s="33" t="n">
        <f aca="false">QUARTILE(Data!$B$2:$B$2201,1)</f>
        <v>64.551686</v>
      </c>
      <c r="C7" s="33" t="n">
        <f aca="false">QUARTILE(Data!$B$2:$B$2201,3)</f>
        <v>124.2675078</v>
      </c>
      <c r="D7" s="33" t="n">
        <f aca="false">C7-B7</f>
        <v>59.7158218</v>
      </c>
      <c r="E7" s="33" t="n">
        <f aca="false">B7-$B$3*D7</f>
        <v>-25.0220467</v>
      </c>
      <c r="F7" s="33" t="n">
        <f aca="false">C7+$B$3*D7</f>
        <v>213.8412405</v>
      </c>
      <c r="G7" s="20" t="n">
        <f aca="false">COUNTIF(Data!$B$2:$B$2201,"&lt;"&amp;E7)</f>
        <v>0</v>
      </c>
      <c r="H7" s="20" t="n">
        <f aca="false">COUNTIF(Data!$B$2:$B$2201,"&gt;"&amp;F7)</f>
        <v>100</v>
      </c>
      <c r="I7" s="23" t="n">
        <f aca="false">G7+H7</f>
        <v>100</v>
      </c>
      <c r="J7" s="21" t="n">
        <f aca="false">I7/ROWS(Data!$B$2:$B$2201)</f>
        <v>0.0454545454545455</v>
      </c>
      <c r="K7" s="33" t="n">
        <f aca="false">MIN(Data!$B$2:$B$2201)</f>
        <v>20.21126747</v>
      </c>
      <c r="L7" s="33" t="n">
        <f aca="false">MAX(Data!$B$2:$B$2201)</f>
        <v>298.5601175</v>
      </c>
    </row>
    <row r="8" customFormat="false" ht="15" hidden="false" customHeight="false" outlineLevel="0" collapsed="false">
      <c r="A8" s="8" t="s">
        <v>16</v>
      </c>
      <c r="B8" s="33" t="n">
        <f aca="false">QUARTILE(Data!$C$2:$C$2201,1)</f>
        <v>15.1799488934697</v>
      </c>
      <c r="C8" s="33" t="n">
        <f aca="false">QUARTILE(Data!$C$2:$C$2201,3)</f>
        <v>25.2551458211696</v>
      </c>
      <c r="D8" s="33" t="n">
        <f aca="false">C8-B8</f>
        <v>10.0751969276999</v>
      </c>
      <c r="E8" s="33" t="n">
        <f aca="false">B8-$B$3*D8</f>
        <v>0.0671535019198473</v>
      </c>
      <c r="F8" s="33" t="n">
        <f aca="false">C8+$B$3*D8</f>
        <v>40.3679412127194</v>
      </c>
      <c r="G8" s="20" t="n">
        <f aca="false">COUNTIF(Data!$C$2:$C$2201,"&lt;"&amp;E8)</f>
        <v>0</v>
      </c>
      <c r="H8" s="20" t="n">
        <f aca="false">COUNTIF(Data!$C$2:$C$2201,"&gt;"&amp;F8)</f>
        <v>0</v>
      </c>
      <c r="I8" s="23" t="n">
        <f aca="false">G8+H8</f>
        <v>0</v>
      </c>
      <c r="J8" s="21" t="n">
        <f aca="false">I8/ROWS(Data!$C$2:$C$2201)</f>
        <v>0</v>
      </c>
      <c r="K8" s="33" t="n">
        <f aca="false">MIN(Data!$C$2:$C$2201)</f>
        <v>10.0242604278505</v>
      </c>
      <c r="L8" s="33" t="n">
        <f aca="false">MAX(Data!$C$2:$C$2201)</f>
        <v>29.9978596528413</v>
      </c>
    </row>
    <row r="10" customFormat="false" ht="15" hidden="false" customHeight="false" outlineLevel="0" collapsed="false">
      <c r="A10" s="3" t="s">
        <v>194</v>
      </c>
    </row>
    <row r="11" customFormat="false" ht="27" hidden="false" customHeight="true" outlineLevel="0" collapsed="false">
      <c r="A11" s="15" t="s">
        <v>243</v>
      </c>
      <c r="B11" s="15"/>
      <c r="C11" s="15"/>
      <c r="D11" s="15"/>
      <c r="E11" s="15"/>
      <c r="F11" s="15"/>
      <c r="G11" s="15"/>
      <c r="H11" s="15"/>
      <c r="I11" s="15"/>
      <c r="J11" s="15"/>
      <c r="K11" s="15"/>
      <c r="L11" s="15"/>
    </row>
    <row r="12" customFormat="false" ht="27" hidden="false" customHeight="true" outlineLevel="0" collapsed="false">
      <c r="A12" s="15" t="s">
        <v>244</v>
      </c>
      <c r="B12" s="15"/>
      <c r="C12" s="15"/>
      <c r="D12" s="15"/>
      <c r="E12" s="15"/>
      <c r="F12" s="15"/>
      <c r="G12" s="15"/>
      <c r="H12" s="15"/>
      <c r="I12" s="15"/>
      <c r="J12" s="15"/>
      <c r="K12" s="15"/>
      <c r="L12" s="15"/>
    </row>
  </sheetData>
  <mergeCells count="2">
    <mergeCell ref="A11:L11"/>
    <mergeCell ref="A12:L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
    <col collapsed="false" customWidth="true" hidden="false" outlineLevel="0" max="3" min="3" style="0" width="10"/>
    <col collapsed="false" customWidth="true" hidden="false" outlineLevel="0" max="5" min="4" style="0" width="14"/>
    <col collapsed="false" customWidth="true" hidden="false" outlineLevel="0" max="6" min="6" style="0" width="16"/>
    <col collapsed="false" customWidth="true" hidden="false" outlineLevel="0" max="10" min="7" style="0" width="12"/>
    <col collapsed="false" customWidth="true" hidden="false" outlineLevel="0" max="12" min="11" style="0" width="14"/>
    <col collapsed="false" customWidth="true" hidden="false" outlineLevel="0" max="13" min="13" style="0" width="16"/>
  </cols>
  <sheetData>
    <row r="1" customFormat="false" ht="17.35" hidden="false" customHeight="false" outlineLevel="0" collapsed="false">
      <c r="A1" s="1" t="s">
        <v>245</v>
      </c>
    </row>
    <row r="2" customFormat="false" ht="15" hidden="false" customHeight="false" outlineLevel="0" collapsed="false">
      <c r="A2" s="2" t="s">
        <v>246</v>
      </c>
    </row>
    <row r="4" customFormat="false" ht="15" hidden="false" customHeight="false" outlineLevel="0" collapsed="false">
      <c r="A4" s="3" t="s">
        <v>247</v>
      </c>
    </row>
    <row r="5" customFormat="false" ht="23.85" hidden="false" customHeight="false" outlineLevel="0" collapsed="false">
      <c r="A5" s="7" t="s">
        <v>48</v>
      </c>
      <c r="B5" s="7" t="s">
        <v>248</v>
      </c>
      <c r="C5" s="7" t="s">
        <v>249</v>
      </c>
      <c r="D5" s="7" t="s">
        <v>250</v>
      </c>
      <c r="E5" s="7" t="s">
        <v>251</v>
      </c>
      <c r="F5" s="7" t="s">
        <v>252</v>
      </c>
      <c r="G5" s="7" t="s">
        <v>253</v>
      </c>
      <c r="H5" s="7" t="s">
        <v>254</v>
      </c>
      <c r="I5" s="7" t="s">
        <v>255</v>
      </c>
      <c r="J5" s="7" t="s">
        <v>256</v>
      </c>
      <c r="K5" s="7" t="s">
        <v>257</v>
      </c>
      <c r="L5" s="7" t="s">
        <v>258</v>
      </c>
      <c r="M5" s="7" t="s">
        <v>259</v>
      </c>
    </row>
    <row r="6" customFormat="false" ht="15" hidden="false" customHeight="false" outlineLevel="0" collapsed="false">
      <c r="A6" s="8" t="s">
        <v>64</v>
      </c>
      <c r="B6" s="20" t="n">
        <f aca="false">COUNTIF(Data!$G$2:$G$2201,A6)</f>
        <v>456</v>
      </c>
      <c r="C6" s="21" t="n">
        <f aca="false">B6/ROWS(Data!$A$2:$A$2201)</f>
        <v>0.207272727272727</v>
      </c>
      <c r="D6" s="33" t="n">
        <f aca="false">AVERAGEIFS(Data!$C$2:$C$2201,Data!$G$2:$G$2201,A6)</f>
        <v>13.9921046151214</v>
      </c>
      <c r="E6" s="33" t="n">
        <f aca="false">AVERAGEIFS(Data!$B$2:$B$2201,Data!$G$2:$G$2201,A6)</f>
        <v>64.955038986886</v>
      </c>
      <c r="F6" s="33" t="n">
        <f aca="false">AVERAGEIFS(Data!$A$2:$A$2201,Data!$G$2:$G$2201,A6)</f>
        <v>26.1737126252127</v>
      </c>
      <c r="G6" s="33" t="n">
        <f aca="false">_xlfn.MINIFS(Data!$C$2:$C$2201,Data!$G$2:$G$2201,A6)</f>
        <v>10.0485112429713</v>
      </c>
      <c r="H6" s="33" t="n">
        <f aca="false">_xlfn.MAXIFS(Data!$C$2:$C$2201,Data!$G$2:$G$2201,A6)</f>
        <v>17.9920561146135</v>
      </c>
      <c r="I6" s="33" t="n">
        <f aca="false">_xlfn.MINIFS(Data!$B$2:$B$2201,Data!$G$2:$G$2201,A6)</f>
        <v>20.39020503</v>
      </c>
      <c r="J6" s="33" t="n">
        <f aca="false">_xlfn.MAXIFS(Data!$B$2:$B$2201,Data!$G$2:$G$2201,A6)</f>
        <v>99.93100821</v>
      </c>
      <c r="K6" s="33" t="n">
        <f aca="false">(D6-D$9)/Descriptive!$D$12</f>
        <v>-1.06309648269294</v>
      </c>
      <c r="L6" s="33" t="n">
        <f aca="false">(E6-E$9)/Descriptive!$C$12</f>
        <v>-0.700686782536399</v>
      </c>
      <c r="M6" s="33" t="n">
        <f aca="false">(F6-F$9)/Descriptive!$B$12</f>
        <v>0.11009013627527</v>
      </c>
    </row>
    <row r="7" customFormat="false" ht="15" hidden="false" customHeight="false" outlineLevel="0" collapsed="false">
      <c r="A7" s="8" t="s">
        <v>61</v>
      </c>
      <c r="B7" s="20" t="n">
        <f aca="false">COUNTIF(Data!$G$2:$G$2201,A7)</f>
        <v>1480</v>
      </c>
      <c r="C7" s="21" t="n">
        <f aca="false">B7/ROWS(Data!$A$2:$A$2201)</f>
        <v>0.672727272727273</v>
      </c>
      <c r="D7" s="33" t="n">
        <f aca="false">AVERAGEIFS(Data!$C$2:$C$2201,Data!$G$2:$G$2201,A7)</f>
        <v>20.718860101063</v>
      </c>
      <c r="E7" s="33" t="n">
        <f aca="false">AVERAGEIFS(Data!$B$2:$B$2201,Data!$G$2:$G$2201,A7)</f>
        <v>108.053291201601</v>
      </c>
      <c r="F7" s="33" t="n">
        <f aca="false">AVERAGEIFS(Data!$A$2:$A$2201,Data!$G$2:$G$2201,A7)</f>
        <v>25.5781151546676</v>
      </c>
      <c r="G7" s="33" t="n">
        <f aca="false">_xlfn.MINIFS(Data!$C$2:$C$2201,Data!$G$2:$G$2201,A7)</f>
        <v>10.0242604278505</v>
      </c>
      <c r="H7" s="33" t="n">
        <f aca="false">_xlfn.MAXIFS(Data!$C$2:$C$2201,Data!$G$2:$G$2201,A7)</f>
        <v>29.9949290581981</v>
      </c>
      <c r="I7" s="33" t="n">
        <f aca="false">_xlfn.MINIFS(Data!$B$2:$B$2201,Data!$G$2:$G$2201,A7)</f>
        <v>20.21126747</v>
      </c>
      <c r="J7" s="33" t="n">
        <f aca="false">_xlfn.MAXIFS(Data!$B$2:$B$2201,Data!$G$2:$G$2201,A7)</f>
        <v>298.5601175</v>
      </c>
      <c r="K7" s="33" t="n">
        <f aca="false">(D7-D$9)/Descriptive!$D$12</f>
        <v>0.0979461097772608</v>
      </c>
      <c r="L7" s="33" t="n">
        <f aca="false">(E7-E$9)/Descriptive!$C$12</f>
        <v>0.0835111055659059</v>
      </c>
      <c r="M7" s="33" t="n">
        <f aca="false">(F7-F$9)/Descriptive!$B$12</f>
        <v>-0.00752973737919879</v>
      </c>
    </row>
    <row r="8" customFormat="false" ht="15" hidden="false" customHeight="false" outlineLevel="0" collapsed="false">
      <c r="A8" s="8" t="s">
        <v>58</v>
      </c>
      <c r="B8" s="20" t="n">
        <f aca="false">COUNTIF(Data!$G$2:$G$2201,A8)</f>
        <v>264</v>
      </c>
      <c r="C8" s="21" t="n">
        <f aca="false">B8/ROWS(Data!$A$2:$A$2201)</f>
        <v>0.12</v>
      </c>
      <c r="D8" s="33" t="n">
        <f aca="false">AVERAGEIFS(Data!$C$2:$C$2201,Data!$G$2:$G$2201,A8)</f>
        <v>27.6088654114491</v>
      </c>
      <c r="E8" s="33" t="n">
        <f aca="false">AVERAGEIFS(Data!$B$2:$B$2201,Data!$G$2:$G$2201,A8)</f>
        <v>144.248761963258</v>
      </c>
      <c r="F8" s="33" t="n">
        <f aca="false">AVERAGEIFS(Data!$A$2:$A$2201,Data!$G$2:$G$2201,A8)</f>
        <v>24.8670950299621</v>
      </c>
      <c r="G8" s="33" t="n">
        <f aca="false">_xlfn.MINIFS(Data!$C$2:$C$2201,Data!$G$2:$G$2201,A8)</f>
        <v>25.0086102795361</v>
      </c>
      <c r="H8" s="33" t="n">
        <f aca="false">_xlfn.MAXIFS(Data!$C$2:$C$2201,Data!$G$2:$G$2201,A8)</f>
        <v>29.9978596528413</v>
      </c>
      <c r="I8" s="33" t="n">
        <f aca="false">_xlfn.MINIFS(Data!$B$2:$B$2201,Data!$G$2:$G$2201,A8)</f>
        <v>100.1173443</v>
      </c>
      <c r="J8" s="33" t="n">
        <f aca="false">_xlfn.MAXIFS(Data!$B$2:$B$2201,Data!$G$2:$G$2201,A8)</f>
        <v>295.9248796</v>
      </c>
      <c r="K8" s="33" t="n">
        <f aca="false">(D8-D$9)/Descriptive!$D$12</f>
        <v>1.28716573347588</v>
      </c>
      <c r="L8" s="33" t="n">
        <f aca="false">(E8-E$9)/Descriptive!$C$12</f>
        <v>0.742108850754005</v>
      </c>
      <c r="M8" s="33" t="n">
        <f aca="false">(F8-F$9)/Descriptive!$B$12</f>
        <v>-0.147943525834499</v>
      </c>
    </row>
    <row r="9" customFormat="false" ht="15" hidden="false" customHeight="false" outlineLevel="0" collapsed="false">
      <c r="A9" s="34" t="s">
        <v>260</v>
      </c>
      <c r="B9" s="35" t="n">
        <f aca="false">ROWS(Data!$A$2:$A$2201)</f>
        <v>2200</v>
      </c>
      <c r="C9" s="36" t="n">
        <f aca="false">SUM(C6:C8)</f>
        <v>1</v>
      </c>
      <c r="D9" s="37" t="n">
        <f aca="false">AVERAGE(Data!$C$2:$C$2201)</f>
        <v>20.1513877830414</v>
      </c>
      <c r="E9" s="37" t="n">
        <f aca="false">AVERAGE(Data!$B$2:$B$2201)</f>
        <v>103.463655415768</v>
      </c>
      <c r="F9" s="37" t="n">
        <f aca="false">AVERAGE(Data!$A$2:$A$2201)</f>
        <v>25.6162438517795</v>
      </c>
      <c r="G9" s="37" t="n">
        <f aca="false">MIN(Data!$C$2:$C$2201)</f>
        <v>10.0242604278505</v>
      </c>
      <c r="H9" s="37" t="n">
        <f aca="false">MAX(Data!$C$2:$C$2201)</f>
        <v>29.9978596528413</v>
      </c>
      <c r="I9" s="37" t="n">
        <f aca="false">MIN(Data!$B$2:$B$2201)</f>
        <v>20.21126747</v>
      </c>
      <c r="J9" s="37" t="n">
        <f aca="false">MAX(Data!$B$2:$B$2201)</f>
        <v>298.5601175</v>
      </c>
    </row>
    <row r="12" customFormat="false" ht="15" hidden="false" customHeight="false" outlineLevel="0" collapsed="false">
      <c r="A12" s="3" t="s">
        <v>261</v>
      </c>
    </row>
    <row r="13" customFormat="false" ht="23.85" hidden="false" customHeight="false" outlineLevel="0" collapsed="false">
      <c r="A13" s="7" t="s">
        <v>47</v>
      </c>
      <c r="B13" s="7" t="s">
        <v>248</v>
      </c>
      <c r="C13" s="7" t="s">
        <v>249</v>
      </c>
      <c r="D13" s="7" t="s">
        <v>250</v>
      </c>
      <c r="E13" s="7" t="s">
        <v>251</v>
      </c>
      <c r="F13" s="7" t="s">
        <v>252</v>
      </c>
      <c r="G13" s="7" t="s">
        <v>253</v>
      </c>
      <c r="H13" s="7" t="s">
        <v>254</v>
      </c>
      <c r="I13" s="7" t="s">
        <v>255</v>
      </c>
      <c r="J13" s="7" t="s">
        <v>256</v>
      </c>
    </row>
    <row r="14" customFormat="false" ht="15" hidden="false" customHeight="false" outlineLevel="0" collapsed="false">
      <c r="A14" s="8" t="s">
        <v>23</v>
      </c>
      <c r="B14" s="20" t="n">
        <f aca="false">COUNTIF(Data!$F$2:$F$2201,A14)</f>
        <v>728</v>
      </c>
      <c r="C14" s="21" t="n">
        <f aca="false">B14/ROWS(Data!$A$2:$A$2201)</f>
        <v>0.330909090909091</v>
      </c>
      <c r="D14" s="33" t="n">
        <f aca="false">AVERAGEIFS(Data!$C$2:$C$2201,Data!$F$2:$F$2201,A14)</f>
        <v>26.3508710197073</v>
      </c>
      <c r="E14" s="33" t="n">
        <f aca="false">AVERAGEIFS(Data!$B$2:$B$2201,Data!$F$2:$F$2201,A14)</f>
        <v>121.272193253008</v>
      </c>
      <c r="F14" s="33" t="n">
        <f aca="false">AVERAGEIFS(Data!$A$2:$A$2201,Data!$F$2:$F$2201,A14)</f>
        <v>25.4013966917788</v>
      </c>
      <c r="G14" s="33" t="n">
        <f aca="false">_xlfn.MINIFS(Data!$C$2:$C$2201,Data!$F$2:$F$2201,A14)</f>
        <v>15.696490757525</v>
      </c>
      <c r="H14" s="33" t="n">
        <f aca="false">_xlfn.MAXIFS(Data!$C$2:$C$2201,Data!$F$2:$F$2201,A14)</f>
        <v>29.9978596528413</v>
      </c>
      <c r="I14" s="33" t="n">
        <f aca="false">_xlfn.MINIFS(Data!$B$2:$B$2201,Data!$F$2:$F$2201,A14)</f>
        <v>20.21126747</v>
      </c>
      <c r="J14" s="33" t="n">
        <f aca="false">_xlfn.MAXIFS(Data!$B$2:$B$2201,Data!$F$2:$F$2201,A14)</f>
        <v>298.5601175</v>
      </c>
    </row>
    <row r="15" customFormat="false" ht="15" hidden="false" customHeight="false" outlineLevel="0" collapsed="false">
      <c r="A15" s="8" t="s">
        <v>60</v>
      </c>
      <c r="B15" s="20" t="n">
        <f aca="false">COUNTIF(Data!$F$2:$F$2201,A15)</f>
        <v>747</v>
      </c>
      <c r="C15" s="21" t="n">
        <f aca="false">B15/ROWS(Data!$A$2:$A$2201)</f>
        <v>0.339545454545455</v>
      </c>
      <c r="D15" s="33" t="n">
        <f aca="false">AVERAGEIFS(Data!$C$2:$C$2201,Data!$F$2:$F$2201,A15)</f>
        <v>20.1582167605584</v>
      </c>
      <c r="E15" s="33" t="n">
        <f aca="false">AVERAGEIFS(Data!$B$2:$B$2201,Data!$F$2:$F$2201,A15)</f>
        <v>104.316478837604</v>
      </c>
      <c r="F15" s="33" t="n">
        <f aca="false">AVERAGEIFS(Data!$A$2:$A$2201,Data!$F$2:$F$2201,A15)</f>
        <v>25.7143108129224</v>
      </c>
      <c r="G15" s="33" t="n">
        <f aca="false">_xlfn.MINIFS(Data!$C$2:$C$2201,Data!$F$2:$F$2201,A15)</f>
        <v>10.2195042848142</v>
      </c>
      <c r="H15" s="33" t="n">
        <f aca="false">_xlfn.MAXIFS(Data!$C$2:$C$2201,Data!$F$2:$F$2201,A15)</f>
        <v>27.2116798946262</v>
      </c>
      <c r="I15" s="33" t="n">
        <f aca="false">_xlfn.MINIFS(Data!$B$2:$B$2201,Data!$F$2:$F$2201,A15)</f>
        <v>21.44532907</v>
      </c>
      <c r="J15" s="33" t="n">
        <f aca="false">_xlfn.MAXIFS(Data!$B$2:$B$2201,Data!$F$2:$F$2201,A15)</f>
        <v>287.5766935</v>
      </c>
    </row>
    <row r="16" customFormat="false" ht="15" hidden="false" customHeight="false" outlineLevel="0" collapsed="false">
      <c r="A16" s="8" t="s">
        <v>24</v>
      </c>
      <c r="B16" s="20" t="n">
        <f aca="false">COUNTIF(Data!$F$2:$F$2201,A16)</f>
        <v>725</v>
      </c>
      <c r="C16" s="21" t="n">
        <f aca="false">B16/ROWS(Data!$A$2:$A$2201)</f>
        <v>0.329545454545455</v>
      </c>
      <c r="D16" s="33" t="n">
        <f aca="false">AVERAGEIFS(Data!$C$2:$C$2201,Data!$F$2:$F$2201,A16)</f>
        <v>13.9192153106305</v>
      </c>
      <c r="E16" s="33" t="n">
        <f aca="false">AVERAGEIFS(Data!$B$2:$B$2201,Data!$F$2:$F$2201,A16)</f>
        <v>84.7027248756</v>
      </c>
      <c r="F16" s="33" t="n">
        <f aca="false">AVERAGEIFS(Data!$A$2:$A$2201,Data!$F$2:$F$2201,A16)</f>
        <v>25.7309372483407</v>
      </c>
      <c r="G16" s="33" t="n">
        <f aca="false">_xlfn.MINIFS(Data!$C$2:$C$2201,Data!$F$2:$F$2201,A16)</f>
        <v>10.0242604278505</v>
      </c>
      <c r="H16" s="33" t="n">
        <f aca="false">_xlfn.MAXIFS(Data!$C$2:$C$2201,Data!$F$2:$F$2201,A16)</f>
        <v>20.1616258769632</v>
      </c>
      <c r="I16" s="33" t="n">
        <f aca="false">_xlfn.MINIFS(Data!$B$2:$B$2201,Data!$F$2:$F$2201,A16)</f>
        <v>20.36001144</v>
      </c>
      <c r="J16" s="33" t="n">
        <f aca="false">_xlfn.MAXIFS(Data!$B$2:$B$2201,Data!$F$2:$F$2201,A16)</f>
        <v>218.9163567</v>
      </c>
    </row>
    <row r="17" customFormat="false" ht="15" hidden="false" customHeight="false" outlineLevel="0" collapsed="false">
      <c r="A17" s="34" t="s">
        <v>260</v>
      </c>
      <c r="B17" s="35" t="n">
        <f aca="false">ROWS(Data!$A$2:$A$2201)</f>
        <v>2200</v>
      </c>
      <c r="C17" s="36" t="n">
        <f aca="false">SUM(C14:C16)</f>
        <v>1</v>
      </c>
      <c r="D17" s="37" t="n">
        <f aca="false">AVERAGE(Data!$C$2:$C$2201)</f>
        <v>20.1513877830414</v>
      </c>
      <c r="E17" s="37" t="n">
        <f aca="false">AVERAGE(Data!$B$2:$B$2201)</f>
        <v>103.463655415768</v>
      </c>
      <c r="F17" s="37" t="n">
        <f aca="false">AVERAGE(Data!$A$2:$A$2201)</f>
        <v>25.6162438517795</v>
      </c>
      <c r="G17" s="37" t="n">
        <f aca="false">MIN(Data!$C$2:$C$2201)</f>
        <v>10.0242604278505</v>
      </c>
      <c r="H17" s="37" t="n">
        <f aca="false">MAX(Data!$C$2:$C$2201)</f>
        <v>29.9978596528413</v>
      </c>
      <c r="I17" s="37" t="n">
        <f aca="false">MIN(Data!$B$2:$B$2201)</f>
        <v>20.21126747</v>
      </c>
      <c r="J17" s="37" t="n">
        <f aca="false">MAX(Data!$B$2:$B$2201)</f>
        <v>298.5601175</v>
      </c>
    </row>
    <row r="20" customFormat="false" ht="15" hidden="false" customHeight="false" outlineLevel="0" collapsed="false">
      <c r="A20" s="3" t="s">
        <v>194</v>
      </c>
    </row>
    <row r="21" customFormat="false" ht="15" hidden="false" customHeight="true" outlineLevel="0" collapsed="false">
      <c r="A21" s="15" t="s">
        <v>262</v>
      </c>
      <c r="B21" s="15"/>
      <c r="C21" s="15"/>
      <c r="D21" s="15"/>
      <c r="E21" s="15"/>
      <c r="F21" s="15"/>
      <c r="G21" s="15"/>
      <c r="H21" s="15"/>
      <c r="I21" s="15"/>
      <c r="J21" s="15"/>
      <c r="K21" s="15"/>
      <c r="L21" s="15"/>
      <c r="M21" s="15"/>
    </row>
    <row r="22" customFormat="false" ht="27" hidden="false" customHeight="true" outlineLevel="0" collapsed="false">
      <c r="A22" s="15" t="s">
        <v>263</v>
      </c>
      <c r="B22" s="15"/>
      <c r="C22" s="15"/>
      <c r="D22" s="15"/>
      <c r="E22" s="15"/>
      <c r="F22" s="15"/>
      <c r="G22" s="15"/>
      <c r="H22" s="15"/>
      <c r="I22" s="15"/>
      <c r="J22" s="15"/>
      <c r="K22" s="15"/>
      <c r="L22" s="15"/>
      <c r="M22" s="15"/>
    </row>
  </sheetData>
  <mergeCells count="2">
    <mergeCell ref="A21:M21"/>
    <mergeCell ref="A22:M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2026-10-11T07:05:30Z</dcterms:created>
  <dc:creator>openpyxl</dc:creator>
  <dc:description/>
  <dc:language>en-US</dc:language>
  <cp:lastModifiedBy/>
  <dcterms:modified xsi:type="dcterms:W3CDTF">2026-10-11T07:05:30Z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